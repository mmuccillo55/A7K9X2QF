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<sst xmlns="http://schemas.openxmlformats.org/spreadsheetml/2006/main" count="1471" uniqueCount="483">
  <si>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</si>
  <si>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</si>
  <si>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</si>
  <si>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</si>
  <si>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</si>
  <si>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</si>
  <si>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</si>
  <si>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</si>
  <si>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</si>
  <si>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</si>
  <si>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</si>
  <si>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</si>
  <si>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</si>
  <si>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</si>
  <si>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</si>
  <si>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</si>
  <si>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</si>
  <si>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</si>
  <si>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</si>
  <si>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</si>
  <si>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</si>
  <si>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</si>
  <si>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</si>
  <si>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</si>
  <si>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</si>
  <si>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</si>
  <si>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</si>
  <si>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</si>
  <si>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</si>
  <si>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</si>
  <si>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</si>
  <si>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</si>
  <si>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</si>
  <si>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</si>
  <si>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</si>
  <si>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</si>
  <si>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</si>
  <si>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</si>
  <si>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</si>
  <si>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</si>
  <si>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</si>
  <si>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</si>
  <si>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</si>
  <si>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</si>
  <si>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</si>
  <si>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</si>
  <si>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</si>
  <si>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</si>
  <si>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</si>
  <si>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</si>
  <si>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</si>
  <si>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</si>
  <si>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</si>
  <si>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</si>
  <si>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</si>
  <si>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</si>
  <si>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</si>
  <si>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</si>
  <si>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</si>
  <si>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</si>
  <si>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</si>
  <si>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</si>
  <si>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</si>
  <si>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</si>
  <si>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</si>
  <si>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</si>
  <si>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</si>
  <si>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</si>
  <si>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</si>
  <si>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</si>
  <si>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</si>
  <si>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</si>
  <si>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</si>
  <si>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</si>
  <si>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</si>
  <si>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</si>
  <si>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</si>
  <si>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</si>
  <si>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</si>
  <si>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</si>
  <si>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</si>
  <si>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</si>
  <si>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</si>
  <si>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</si>
  <si>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</si>
  <si>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</si>
  <si>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</si>
  <si>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</si>
  <si>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</si>
  <si>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</si>
  <si>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</si>
  <si>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</si>
  <si>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</si>
  <si>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</si>
  <si>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</si>
  <si>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</si>
  <si>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</si>
  <si>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</si>
  <si>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</si>
  <si>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</si>
  <si>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</si>
  <si>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</si>
  <si>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</si>
  <si>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</si>
  <si>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</si>
  <si>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</si>
  <si>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</si>
  <si>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</si>
  <si>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</si>
  <si>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</si>
  <si>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</si>
  <si>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</si>
  <si>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</si>
  <si>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</si>
  <si>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</si>
  <si>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</si>
  <si>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</si>
  <si>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</si>
  <si>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</si>
  <si>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</si>
  <si>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</si>
  <si>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</si>
  <si>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</si>
  <si>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</si>
  <si>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</si>
  <si>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</si>
  <si>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</si>
  <si>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</si>
  <si>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</si>
  <si>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</si>
  <si>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</si>
  <si>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</si>
  <si>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</si>
  <si>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</si>
  <si>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</si>
  <si>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</si>
  <si>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</si>
  <si>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</si>
  <si>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</si>
  <si>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</si>
  <si>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</si>
  <si>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</si>
  <si>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</si>
  <si>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</si>
  <si>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</si>
  <si>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</si>
  <si>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</si>
  <si>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</si>
  <si>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</si>
  <si>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</si>
  <si>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</si>
  <si>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</si>
  <si>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</si>
  <si>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</si>
  <si>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</si>
  <si>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</si>
  <si>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</si>
  <si>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</si>
  <si>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</si>
  <si>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</si>
  <si>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</si>
  <si>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</si>
  <si>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</si>
  <si>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</si>
  <si>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</si>
  <si>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</si>
  <si>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</si>
  <si>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</si>
  <si>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</si>
  <si>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</si>
  <si>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</si>
  <si>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</si>
  <si>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</si>
  <si>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</si>
  <si>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</si>
  <si>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</si>
  <si>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</si>
  <si>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</si>
  <si>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</si>
  <si>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?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</si>
  <si>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</si>
  <si>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</si>
  <si>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</si>
  <si>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</si>
  <si>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</si>
  <si>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</si>
  <si>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</si>
  <si>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</si>
  <si>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</si>
  <si>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</si>
  <si>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</si>
  <si>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</si>
  <si>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</si>
  <si>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</si>
  <si>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</si>
  <si>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</si>
  <si>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</si>
  <si>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</si>
  <si>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</si>
  <si>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</si>
  <si>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</si>
  <si>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</si>
  <si>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</si>
  <si>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</si>
  <si>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</si>
  <si>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</si>
  <si>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</si>
  <si>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</si>
  <si>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</si>
  <si>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FIBRA IPLYC</t>
  </si>
  <si>
    <t>D.1</t>
  </si>
  <si>
    <t>SDI Out 1</t>
  </si>
  <si>
    <t>In 17</t>
  </si>
  <si>
    <t>IRD C12</t>
  </si>
  <si>
    <t>D.3</t>
  </si>
  <si>
    <t>In 18</t>
  </si>
  <si>
    <t>IRD TV P.</t>
  </si>
  <si>
    <t>TV PUBLICA</t>
  </si>
  <si>
    <t>D.4</t>
  </si>
  <si>
    <t>In 19</t>
  </si>
  <si>
    <t>IRD WELL. H</t>
  </si>
  <si>
    <t>MOV. SATELITAL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</si>
  <si>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</si>
  <si>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</si>
  <si>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</si>
  <si>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</si>
  <si>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</si>
  <si>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</si>
  <si>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</si>
  <si>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</si>
  <si>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</si>
  <si>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</si>
  <si>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</si>
  <si>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</si>
  <si>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</si>
  <si>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</si>
  <si>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</si>
  <si>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</si>
  <si>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</si>
  <si>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</si>
  <si>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</si>
  <si>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</si>
  <si>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</si>
  <si>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</si>
  <si>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</si>
  <si>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</si>
  <si>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</si>
  <si>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</si>
  <si>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</si>
  <si>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</si>
  <si>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</si>
  <si>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</si>
  <si>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</si>
  <si>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</si>
  <si>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</si>
  <si>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</si>
  <si>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</si>
  <si>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</si>
  <si>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</si>
  <si>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</si>
  <si>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</si>
  <si>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</si>
  <si>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</si>
  <si>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</si>
  <si>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</si>
  <si>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</si>
  <si>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</si>
  <si>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</si>
  <si>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</si>
  <si>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</si>
  <si>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</si>
  <si>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</si>
  <si>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</si>
  <si>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</si>
  <si>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</si>
  <si>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</si>
  <si>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</si>
  <si>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</si>
  <si>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</si>
  <si>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</si>
  <si>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</si>
  <si>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</si>
  <si>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</si>
  <si>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</si>
  <si>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</si>
  <si>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</si>
  <si>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</si>
  <si>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</si>
  <si>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</si>
  <si>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</si>
  <si>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</si>
  <si>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</si>
  <si>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</si>
  <si>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</si>
  <si>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</si>
  <si>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</si>
  <si>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</si>
  <si>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</si>
  <si>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</si>
  <si>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</si>
  <si>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</si>
  <si>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</si>
  <si>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</si>
  <si>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</si>
  <si>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</si>
  <si>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</si>
  <si>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</si>
  <si>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</si>
  <si>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</si>
  <si>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</si>
  <si>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</si>
  <si>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</si>
  <si>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</si>
  <si>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</si>
  <si>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</si>
  <si>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</si>
  <si>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</si>
  <si>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</si>
  <si>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</si>
  <si>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</si>
  <si>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</si>
  <si>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</si>
  <si>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</si>
  <si>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</si>
  <si>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</si>
  <si>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</si>
  <si>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</si>
  <si>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</si>
  <si>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</si>
  <si>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</si>
  <si>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</si>
  <si>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</si>
  <si>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</si>
  <si>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</si>
  <si>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</si>
  <si>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</si>
  <si>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</si>
  <si>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</si>
  <si>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</si>
  <si>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</si>
  <si>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</si>
  <si>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</si>
  <si>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</si>
  <si>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</si>
  <si>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</si>
  <si>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</si>
  <si>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</si>
  <si>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</si>
  <si>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</si>
  <si>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</si>
  <si>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</si>
  <si>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</si>
  <si>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Dist. Amp. 2x4</t>
  </si>
  <si>
    <t>J4</t>
  </si>
  <si>
    <t>J2</t>
  </si>
  <si>
    <t>Cable amarillo a Piso?</t>
  </si>
  <si>
    <t>J6</t>
  </si>
  <si>
    <t>De-embbeder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</si>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</sst>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/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188</v>
      </c>
      <c r="B67" s="6" t="str">
        <f>IF(A67="","",VLOOKUP(A67,DB!A:B,2,0))</f>
        <v>Player B</v>
      </c>
      <c r="C67" s="6">
        <v>1.0</v>
      </c>
      <c r="D67" s="6" t="s">
        <v>185</v>
      </c>
      <c r="E67" s="6" t="s">
        <v>186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189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190</v>
      </c>
      <c r="B68" s="7" t="str">
        <f>IF(A68="","",VLOOKUP(A68,DB!A:B,2,0))</f>
        <v>Player C</v>
      </c>
      <c r="C68" s="8">
        <v>1.0</v>
      </c>
      <c r="D68" s="7" t="s">
        <v>185</v>
      </c>
      <c r="E68" s="7" t="s">
        <v>186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191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190</v>
      </c>
      <c r="B69" s="9" t="str">
        <f>IF(A69="","",VLOOKUP(A69,DB!A:B,2,0))</f>
        <v>Player C</v>
      </c>
      <c r="C69" s="10">
        <v>2.0</v>
      </c>
      <c r="D69" s="9" t="s">
        <v>185</v>
      </c>
      <c r="E69" s="9" t="s">
        <v>186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192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193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194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195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148</v>
      </c>
      <c r="B72" s="7" t="str">
        <f>IF(A72="","",VLOOKUP(A72,DB!A:B,2,0))</f>
        <v>AJA FS2</v>
      </c>
      <c r="C72" s="7"/>
      <c r="D72" s="7"/>
      <c r="E72" s="7" t="s">
        <v>15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196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197</v>
      </c>
      <c r="B73" s="9" t="str">
        <f>IF(A73="","",VLOOKUP(A73,DB!A:B,2,0))</f>
        <v>Telairity BE-IRD 5503</v>
      </c>
      <c r="C73" s="9"/>
      <c r="D73" s="9"/>
      <c r="E73" s="9" t="s">
        <v>198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199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1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200</v>
      </c>
      <c r="B75" s="6" t="str">
        <f>IF(A75="","",VLOOKUP(A75,DB!A:B,2,0))</f>
        <v>openGear X</v>
      </c>
      <c r="C75" s="6">
        <v>2.0</v>
      </c>
      <c r="D75" s="6" t="s">
        <v>201</v>
      </c>
      <c r="E75" s="6" t="s">
        <v>202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200</v>
      </c>
      <c r="B76" s="6" t="str">
        <f>IF(A76="","",VLOOKUP(A76,DB!A:B,2,0))</f>
        <v>openGear X</v>
      </c>
      <c r="C76" s="6">
        <v>5.0</v>
      </c>
      <c r="D76" s="6" t="s">
        <v>201</v>
      </c>
      <c r="E76" s="6" t="s">
        <v>202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205</v>
      </c>
      <c r="B77" s="6" t="str">
        <f>IF(A77="","",VLOOKUP(A77,DB!A:B,2,0))</f>
        <v>BM OF to SDI</v>
      </c>
      <c r="C77" s="5"/>
      <c r="D77" s="5"/>
      <c r="E77" s="6" t="s">
        <v>202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206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200</v>
      </c>
      <c r="B78" s="6" t="str">
        <f>IF(A78="","",VLOOKUP(A78,DB!A:B,2,0))</f>
        <v>openGear X</v>
      </c>
      <c r="C78" s="6">
        <v>6.0</v>
      </c>
      <c r="D78" s="6" t="s">
        <v>201</v>
      </c>
      <c r="E78" s="6" t="s">
        <v>202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207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200</v>
      </c>
      <c r="B79" s="6" t="str">
        <f>IF(A79="","",VLOOKUP(A79,DB!A:B,2,0))</f>
        <v>openGear X</v>
      </c>
      <c r="C79" s="6">
        <v>4.0</v>
      </c>
      <c r="D79" s="6" t="s">
        <v>201</v>
      </c>
      <c r="E79" s="6" t="s">
        <v>202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208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200</v>
      </c>
      <c r="B81" s="6" t="str">
        <f>IF(A81="","",VLOOKUP(A81,DB!A:B,2,0))</f>
        <v>openGear X</v>
      </c>
      <c r="C81" s="6">
        <v>3.0</v>
      </c>
      <c r="D81" s="6" t="s">
        <v>201</v>
      </c>
      <c r="E81" s="6" t="s">
        <v>202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209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210</v>
      </c>
      <c r="B82" s="6" t="str">
        <f>IF(A82="","",VLOOKUP(A82,DB!A:B,2,0))</f>
        <v>Telairity BE-IRD 5501</v>
      </c>
      <c r="C82" s="5"/>
      <c r="D82" s="5"/>
      <c r="E82" s="6" t="s">
        <v>211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212</v>
      </c>
      <c r="L82" s="6" t="s">
        <v>213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214</v>
      </c>
      <c r="B83" s="6" t="str">
        <f>IF(A83="","",VLOOKUP(A83,DB!A:B,2,0))</f>
        <v>Wellav UMH160R</v>
      </c>
      <c r="C83" s="5"/>
      <c r="D83" s="5"/>
      <c r="E83" s="6" t="s">
        <v>211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215</v>
      </c>
      <c r="L83" s="6" t="s">
        <v>216</v>
      </c>
      <c r="M83" s="6" t="s">
        <v>217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218</v>
      </c>
      <c r="B84" s="6" t="str">
        <f>IF(A84="","",VLOOKUP(A84,DB!A:B,2,0))</f>
        <v>Wellav UMH160R</v>
      </c>
      <c r="C84" s="5"/>
      <c r="D84" s="5"/>
      <c r="E84" s="6" t="s">
        <v>211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219</v>
      </c>
      <c r="L84" s="6" t="s">
        <v>220</v>
      </c>
      <c r="M84" s="6" t="s">
        <v>221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211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223</v>
      </c>
      <c r="L85" s="6" t="s">
        <v>224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225</v>
      </c>
      <c r="B86" s="6" t="str">
        <f>IF(A86="","",VLOOKUP(A86,DB!A:B,2,0))</f>
        <v>CRD1000D</v>
      </c>
      <c r="C86" s="5"/>
      <c r="D86" s="5"/>
      <c r="E86" s="6" t="s">
        <v>226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227</v>
      </c>
      <c r="L86" s="6" t="s">
        <v>228</v>
      </c>
      <c r="M86" s="5"/>
      <c r="N86" s="6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145</v>
      </c>
      <c r="B87" s="6" t="str">
        <f>IF(A87="","",VLOOKUP(A87,DB!A:B,2,0))</f>
        <v>GrassValley T2</v>
      </c>
      <c r="C87" s="5"/>
      <c r="D87" s="5"/>
      <c r="E87" s="6" t="s">
        <v>186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230</v>
      </c>
      <c r="L87" s="6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232</v>
      </c>
      <c r="B88" s="6" t="str">
        <f>IF(A88="","",VLOOKUP(A88,DB!A:B,2,0))</f>
        <v>Videocasetera</v>
      </c>
      <c r="C88" s="5"/>
      <c r="D88" s="5"/>
      <c r="E88" s="6" t="s">
        <v>233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234</v>
      </c>
      <c r="L88" s="6" t="s">
        <v>235</v>
      </c>
      <c r="M88" s="5"/>
      <c r="N88" s="6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237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179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238</v>
      </c>
      <c r="L90" s="6" t="s">
        <v>179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141</v>
      </c>
      <c r="B91" s="6" t="str">
        <f>IF(A91="","",VLOOKUP(A91,DB!A:B,2,0))</f>
        <v>openGear X</v>
      </c>
      <c r="C91" s="6">
        <v>1.0</v>
      </c>
      <c r="D91" s="6" t="s">
        <v>239</v>
      </c>
      <c r="E91" s="6" t="s">
        <v>15</v>
      </c>
      <c r="F91" s="6" t="s">
        <v>240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141</v>
      </c>
      <c r="B92" s="6" t="str">
        <f>IF(A92="","",VLOOKUP(A92,DB!A:B,2,0))</f>
        <v>openGear X</v>
      </c>
      <c r="C92" s="6">
        <v>2.0</v>
      </c>
      <c r="D92" s="6" t="s">
        <v>239</v>
      </c>
      <c r="E92" s="6" t="s">
        <v>15</v>
      </c>
      <c r="F92" s="6" t="s">
        <v>240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141</v>
      </c>
      <c r="B93" s="6" t="str">
        <f>IF(A93="","",VLOOKUP(A93,DB!A:B,2,0))</f>
        <v>openGear X</v>
      </c>
      <c r="C93" s="6">
        <v>3.0</v>
      </c>
      <c r="D93" s="6" t="s">
        <v>239</v>
      </c>
      <c r="E93" s="6" t="s">
        <v>15</v>
      </c>
      <c r="F93" s="6" t="s">
        <v>240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99</v>
      </c>
      <c r="B94" s="6" t="str">
        <f>IF(A94="","",VLOOKUP(A94,DB!A:B,2,0))</f>
        <v>PC Rack</v>
      </c>
      <c r="C94" s="6">
        <v>1.0</v>
      </c>
      <c r="D94" s="6" t="s">
        <v>185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202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103</v>
      </c>
      <c r="B96" s="6" t="str">
        <f>IF(A96="","",VLOOKUP(A96,DB!A:B,2,0))</f>
        <v>Datavideo TC-200</v>
      </c>
      <c r="C96" s="5"/>
      <c r="D96" s="5"/>
      <c r="E96" s="6" t="s">
        <v>202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240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240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240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240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240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240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240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211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211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211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211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179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99</v>
      </c>
      <c r="B118" s="6" t="str">
        <f>IF(A118="","",VLOOKUP(A118,DB!A:B,2,0))</f>
        <v>PC Rack</v>
      </c>
      <c r="C118" s="6">
        <v>1.0</v>
      </c>
      <c r="D118" s="6" t="s">
        <v>185</v>
      </c>
      <c r="E118" s="6" t="s">
        <v>186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179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185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211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179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182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240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202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184</v>
      </c>
      <c r="B130" s="6" t="str">
        <f>IF(A130="","",VLOOKUP(A130,DB!A:B,2,0))</f>
        <v>Player A</v>
      </c>
      <c r="C130" s="6">
        <v>2.0</v>
      </c>
      <c r="D130" s="6" t="s">
        <v>185</v>
      </c>
      <c r="E130" s="6" t="s">
        <v>186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188</v>
      </c>
      <c r="B131" s="6" t="str">
        <f>IF(A131="","",VLOOKUP(A131,DB!A:B,2,0))</f>
        <v>Player B</v>
      </c>
      <c r="C131" s="6">
        <v>2.0</v>
      </c>
      <c r="D131" s="6" t="s">
        <v>185</v>
      </c>
      <c r="E131" s="6" t="s">
        <v>186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187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240</v>
      </c>
      <c r="G136" s="6" t="s">
        <v>54</v>
      </c>
      <c r="H136" s="6" t="s">
        <v>141</v>
      </c>
      <c r="I136" s="5" t="str">
        <f>IF(H136="","",VLOOKUP(H136,DB!A:B,2,0))</f>
        <v>openGear X</v>
      </c>
      <c r="J136" s="6">
        <v>4.0</v>
      </c>
      <c r="K136" s="6" t="s">
        <v>104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240</v>
      </c>
      <c r="G137" s="6" t="s">
        <v>57</v>
      </c>
      <c r="H137" s="6" t="s">
        <v>141</v>
      </c>
      <c r="I137" s="5" t="str">
        <f>IF(H137="","",VLOOKUP(H137,DB!A:B,2,0))</f>
        <v>openGear X</v>
      </c>
      <c r="J137" s="6">
        <v>5.0</v>
      </c>
      <c r="K137" s="6" t="s">
        <v>104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240</v>
      </c>
      <c r="G138" s="6" t="s">
        <v>60</v>
      </c>
      <c r="H138" s="6" t="s">
        <v>141</v>
      </c>
      <c r="I138" s="5" t="str">
        <f>IF(H138="","",VLOOKUP(H138,DB!A:B,2,0))</f>
        <v>openGear X</v>
      </c>
      <c r="J138" s="6">
        <v>6.0</v>
      </c>
      <c r="K138" s="6" t="s">
        <v>104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240</v>
      </c>
      <c r="G139" s="6" t="s">
        <v>63</v>
      </c>
      <c r="H139" s="6" t="s">
        <v>141</v>
      </c>
      <c r="I139" s="5" t="str">
        <f>IF(H139="","",VLOOKUP(H139,DB!A:B,2,0))</f>
        <v>openGear X</v>
      </c>
      <c r="J139" s="6">
        <v>7.0</v>
      </c>
      <c r="K139" s="6" t="s">
        <v>104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217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221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209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332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334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240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240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240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240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240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240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240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240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240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240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240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240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240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240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240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240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240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240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240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111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240</v>
      </c>
      <c r="G168" s="6" t="s">
        <v>17</v>
      </c>
      <c r="H168" s="6" t="s">
        <v>336</v>
      </c>
      <c r="I168" s="5" t="str">
        <f>IF(H168="","",VLOOKUP(H168,DB!A:B,2,0))</f>
        <v>Monitor Pvw TX</v>
      </c>
      <c r="J168" s="5"/>
      <c r="K168" s="6" t="s">
        <v>241</v>
      </c>
      <c r="L168" s="5"/>
      <c r="M168" s="6" t="s">
        <v>337</v>
      </c>
      <c r="N168" s="6" t="s">
        <v>338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111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240</v>
      </c>
      <c r="G169" s="6" t="s">
        <v>20</v>
      </c>
      <c r="H169" s="6" t="s">
        <v>179</v>
      </c>
      <c r="I169" s="5" t="str">
        <f>IF(H169="","",VLOOKUP(H169,DB!A:B,2,0))</f>
        <v/>
      </c>
      <c r="J169" s="5"/>
      <c r="K169" s="5"/>
      <c r="L169" s="5"/>
      <c r="M169" s="5"/>
      <c r="N169" s="6" t="s">
        <v>137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111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240</v>
      </c>
      <c r="G170" s="6" t="s">
        <v>23</v>
      </c>
      <c r="H170" s="6" t="s">
        <v>339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6" t="s">
        <v>340</v>
      </c>
      <c r="N170" s="6" t="s">
        <v>338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111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240</v>
      </c>
      <c r="G171" s="6" t="s">
        <v>26</v>
      </c>
      <c r="H171" s="6" t="s">
        <v>341</v>
      </c>
      <c r="I171" s="5" t="str">
        <f>IF(H171="","",VLOOKUP(H171,DB!A:B,2,0))</f>
        <v>Monitor MV TX</v>
      </c>
      <c r="J171" s="5"/>
      <c r="K171" s="6" t="s">
        <v>241</v>
      </c>
      <c r="L171" s="5"/>
      <c r="M171" s="6" t="s">
        <v>342</v>
      </c>
      <c r="N171" s="6" t="s">
        <v>338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111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240</v>
      </c>
      <c r="G172" s="6" t="s">
        <v>29</v>
      </c>
      <c r="H172" s="6" t="s">
        <v>343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338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111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240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111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240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111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240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111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240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111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240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111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240</v>
      </c>
      <c r="G178" s="6" t="s">
        <v>48</v>
      </c>
      <c r="H178" s="6" t="s">
        <v>344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111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240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111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240</v>
      </c>
      <c r="G180" s="6" t="s">
        <v>54</v>
      </c>
      <c r="H180" s="6" t="s">
        <v>345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338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111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240</v>
      </c>
      <c r="G181" s="6" t="s">
        <v>57</v>
      </c>
      <c r="H181" s="6" t="s">
        <v>346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338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111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240</v>
      </c>
      <c r="G182" s="6" t="s">
        <v>60</v>
      </c>
      <c r="H182" s="6" t="s">
        <v>347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338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111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240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198</v>
      </c>
      <c r="F184" s="6" t="s">
        <v>240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198</v>
      </c>
      <c r="F185" s="5"/>
      <c r="G185" s="5"/>
      <c r="H185" s="6" t="s">
        <v>182</v>
      </c>
      <c r="I185" s="5" t="str">
        <f>IF(H185="","",VLOOKUP(H185,DB!A:B,2,0))</f>
        <v>openGear X</v>
      </c>
      <c r="J185" s="6">
        <v>6.0</v>
      </c>
      <c r="K185" s="6" t="s">
        <v>104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141</v>
      </c>
      <c r="B186" s="6" t="str">
        <f>IF(A186="","",VLOOKUP(A186,DB!A:B,2,0))</f>
        <v>openGear X</v>
      </c>
      <c r="C186" s="6">
        <v>4.0</v>
      </c>
      <c r="D186" s="6" t="s">
        <v>348</v>
      </c>
      <c r="E186" s="6" t="s">
        <v>349</v>
      </c>
      <c r="F186" s="6" t="s">
        <v>240</v>
      </c>
      <c r="G186" s="6" t="s">
        <v>104</v>
      </c>
      <c r="H186" s="6" t="s">
        <v>350</v>
      </c>
      <c r="I186" s="5" t="str">
        <f>IF(H186="","",VLOOKUP(H186,DB!A:B,2,0))</f>
        <v>Yamaha QL5</v>
      </c>
      <c r="J186" s="5"/>
      <c r="K186" s="6" t="s">
        <v>51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141</v>
      </c>
      <c r="B187" s="6" t="str">
        <f>IF(A187="","",VLOOKUP(A187,DB!A:B,2,0))</f>
        <v>openGear X</v>
      </c>
      <c r="C187" s="6">
        <v>5.0</v>
      </c>
      <c r="D187" s="6" t="s">
        <v>348</v>
      </c>
      <c r="E187" s="6" t="s">
        <v>349</v>
      </c>
      <c r="F187" s="6" t="s">
        <v>240</v>
      </c>
      <c r="G187" s="6" t="s">
        <v>104</v>
      </c>
      <c r="H187" s="6" t="s">
        <v>350</v>
      </c>
      <c r="I187" s="5" t="str">
        <f>IF(H187="","",VLOOKUP(H187,DB!A:B,2,0))</f>
        <v>Yamaha QL5</v>
      </c>
      <c r="J187" s="5"/>
      <c r="K187" s="6" t="s">
        <v>57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141</v>
      </c>
      <c r="B188" s="6" t="str">
        <f>IF(A188="","",VLOOKUP(A188,DB!A:B,2,0))</f>
        <v>openGear X</v>
      </c>
      <c r="C188" s="6">
        <v>6.0</v>
      </c>
      <c r="D188" s="6" t="s">
        <v>348</v>
      </c>
      <c r="E188" s="6" t="s">
        <v>349</v>
      </c>
      <c r="F188" s="6" t="s">
        <v>240</v>
      </c>
      <c r="G188" s="6" t="s">
        <v>104</v>
      </c>
      <c r="H188" s="6" t="s">
        <v>350</v>
      </c>
      <c r="I188" s="5" t="str">
        <f>IF(H188="","",VLOOKUP(H188,DB!A:B,2,0))</f>
        <v>Yamaha QL5</v>
      </c>
      <c r="J188" s="5"/>
      <c r="K188" s="6" t="s">
        <v>60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141</v>
      </c>
      <c r="B189" s="6" t="str">
        <f>IF(A189="","",VLOOKUP(A189,DB!A:B,2,0))</f>
        <v>openGear X</v>
      </c>
      <c r="C189" s="6">
        <v>7.0</v>
      </c>
      <c r="D189" s="6" t="s">
        <v>348</v>
      </c>
      <c r="E189" s="6" t="s">
        <v>349</v>
      </c>
      <c r="F189" s="6" t="s">
        <v>240</v>
      </c>
      <c r="G189" s="6" t="s">
        <v>104</v>
      </c>
      <c r="H189" s="6" t="s">
        <v>350</v>
      </c>
      <c r="I189" s="5" t="str">
        <f>IF(H189="","",VLOOKUP(H189,DB!A:B,2,0))</f>
        <v>Yamaha QL5</v>
      </c>
      <c r="J189" s="5"/>
      <c r="K189" s="6" t="s">
        <v>63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141</v>
      </c>
      <c r="B190" s="6" t="str">
        <f>IF(A190="","",VLOOKUP(A190,DB!A:B,2,0))</f>
        <v>openGear X</v>
      </c>
      <c r="C190" s="6">
        <v>8.0</v>
      </c>
      <c r="D190" s="6" t="s">
        <v>348</v>
      </c>
      <c r="E190" s="6" t="s">
        <v>349</v>
      </c>
      <c r="F190" s="6" t="s">
        <v>240</v>
      </c>
      <c r="G190" s="6" t="s">
        <v>104</v>
      </c>
      <c r="H190" s="6" t="s">
        <v>87</v>
      </c>
      <c r="I190" s="5" t="str">
        <f>IF(H190="","",VLOOKUP(H190,DB!A:B,2,0))</f>
        <v/>
      </c>
      <c r="J190" s="5"/>
      <c r="K190" s="6" t="s">
        <v>87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141</v>
      </c>
      <c r="B191" s="6" t="str">
        <f>IF(A191="","",VLOOKUP(A191,DB!A:B,2,0))</f>
        <v>openGear X</v>
      </c>
      <c r="C191" s="6">
        <v>4.0</v>
      </c>
      <c r="D191" s="6" t="s">
        <v>348</v>
      </c>
      <c r="E191" s="6" t="s">
        <v>351</v>
      </c>
      <c r="F191" s="6" t="s">
        <v>240</v>
      </c>
      <c r="G191" s="6" t="s">
        <v>104</v>
      </c>
      <c r="H191" s="6" t="s">
        <v>350</v>
      </c>
      <c r="I191" s="5" t="str">
        <f>IF(H191="","",VLOOKUP(H191,DB!A:B,2,0))</f>
        <v>Yamaha QL5</v>
      </c>
      <c r="J191" s="5"/>
      <c r="K191" s="6" t="s">
        <v>54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141</v>
      </c>
      <c r="B192" s="6" t="str">
        <f>IF(A192="","",VLOOKUP(A192,DB!A:B,2,0))</f>
        <v>openGear X</v>
      </c>
      <c r="C192" s="6">
        <v>5.0</v>
      </c>
      <c r="D192" s="6" t="s">
        <v>348</v>
      </c>
      <c r="E192" s="6" t="s">
        <v>351</v>
      </c>
      <c r="F192" s="6" t="s">
        <v>240</v>
      </c>
      <c r="G192" s="6" t="s">
        <v>104</v>
      </c>
      <c r="H192" s="6" t="s">
        <v>87</v>
      </c>
      <c r="I192" s="5" t="str">
        <f>IF(H192="","",VLOOKUP(H192,DB!A:B,2,0))</f>
        <v/>
      </c>
      <c r="J192" s="5"/>
      <c r="K192" s="6" t="s">
        <v>87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141</v>
      </c>
      <c r="B193" s="6" t="str">
        <f>IF(A193="","",VLOOKUP(A193,DB!A:B,2,0))</f>
        <v>openGear X</v>
      </c>
      <c r="C193" s="6">
        <v>6.0</v>
      </c>
      <c r="D193" s="6" t="s">
        <v>348</v>
      </c>
      <c r="E193" s="6" t="s">
        <v>351</v>
      </c>
      <c r="F193" s="6" t="s">
        <v>240</v>
      </c>
      <c r="G193" s="6" t="s">
        <v>104</v>
      </c>
      <c r="H193" s="6" t="s">
        <v>87</v>
      </c>
      <c r="I193" s="5" t="str">
        <f>IF(H193="","",VLOOKUP(H193,DB!A:B,2,0))</f>
        <v/>
      </c>
      <c r="J193" s="5"/>
      <c r="K193" s="6" t="s">
        <v>87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141</v>
      </c>
      <c r="B194" s="6" t="str">
        <f>IF(A194="","",VLOOKUP(A194,DB!A:B,2,0))</f>
        <v>openGear X</v>
      </c>
      <c r="C194" s="6">
        <v>7.0</v>
      </c>
      <c r="D194" s="6" t="s">
        <v>348</v>
      </c>
      <c r="E194" s="6" t="s">
        <v>351</v>
      </c>
      <c r="F194" s="6" t="s">
        <v>240</v>
      </c>
      <c r="G194" s="6" t="s">
        <v>104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141</v>
      </c>
      <c r="B195" s="6" t="str">
        <f>IF(A195="","",VLOOKUP(A195,DB!A:B,2,0))</f>
        <v>openGear X</v>
      </c>
      <c r="C195" s="6">
        <v>8.0</v>
      </c>
      <c r="D195" s="6" t="s">
        <v>348</v>
      </c>
      <c r="E195" s="6" t="s">
        <v>351</v>
      </c>
      <c r="F195" s="6" t="s">
        <v>240</v>
      </c>
      <c r="G195" s="6" t="s">
        <v>104</v>
      </c>
      <c r="H195" s="6" t="s">
        <v>87</v>
      </c>
      <c r="I195" s="5" t="str">
        <f>IF(H195="","",VLOOKUP(H195,DB!A:B,2,0))</f>
        <v/>
      </c>
      <c r="J195" s="5"/>
      <c r="K195" s="6" t="s">
        <v>87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141</v>
      </c>
      <c r="B196" s="6" t="str">
        <f>IF(A196="","",VLOOKUP(A196,DB!A:B,2,0))</f>
        <v>openGear X</v>
      </c>
      <c r="C196" s="6">
        <v>9.0</v>
      </c>
      <c r="D196" s="6" t="s">
        <v>352</v>
      </c>
      <c r="E196" s="6" t="s">
        <v>353</v>
      </c>
      <c r="F196" s="6" t="s">
        <v>240</v>
      </c>
      <c r="G196" s="6" t="s">
        <v>354</v>
      </c>
      <c r="H196" s="6" t="s">
        <v>179</v>
      </c>
      <c r="I196" s="5" t="str">
        <f>IF(H196="","",VLOOKUP(H196,DB!A:B,2,0))</f>
        <v/>
      </c>
      <c r="J196" s="5"/>
      <c r="K196" s="5"/>
      <c r="L196" s="5"/>
      <c r="M196" s="6" t="s">
        <v>355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141</v>
      </c>
      <c r="B197" s="6" t="str">
        <f>IF(A197="","",VLOOKUP(A197,DB!A:B,2,0))</f>
        <v>openGear X</v>
      </c>
      <c r="C197" s="6">
        <v>9.0</v>
      </c>
      <c r="D197" s="6" t="s">
        <v>352</v>
      </c>
      <c r="E197" s="6" t="s">
        <v>356</v>
      </c>
      <c r="F197" s="6" t="s">
        <v>240</v>
      </c>
      <c r="G197" s="6" t="s">
        <v>354</v>
      </c>
      <c r="H197" s="6" t="s">
        <v>179</v>
      </c>
      <c r="I197" s="5" t="str">
        <f>IF(H197="","",VLOOKUP(H197,DB!A:B,2,0))</f>
        <v/>
      </c>
      <c r="J197" s="5"/>
      <c r="K197" s="5"/>
      <c r="L197" s="5"/>
      <c r="M197" s="6" t="s">
        <v>355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141</v>
      </c>
      <c r="B198" s="6" t="str">
        <f>IF(A198="","",VLOOKUP(A198,DB!A:B,2,0))</f>
        <v>openGear X</v>
      </c>
      <c r="C198" s="6">
        <v>7.0</v>
      </c>
      <c r="D198" s="6" t="s">
        <v>348</v>
      </c>
      <c r="E198" s="6" t="s">
        <v>202</v>
      </c>
      <c r="F198" s="6" t="s">
        <v>240</v>
      </c>
      <c r="G198" s="6" t="s">
        <v>104</v>
      </c>
      <c r="H198" s="6" t="s">
        <v>89</v>
      </c>
      <c r="I198" s="5" t="str">
        <f>IF(H198="","",VLOOKUP(H198,DB!A:B,2,0))</f>
        <v>FOR A HVS-390HS</v>
      </c>
      <c r="J198" s="5"/>
      <c r="K198" s="6" t="s">
        <v>44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141</v>
      </c>
      <c r="B199" s="6" t="str">
        <f>IF(A199="","",VLOOKUP(A199,DB!A:B,2,0))</f>
        <v>openGear X</v>
      </c>
      <c r="C199" s="6">
        <v>4.0</v>
      </c>
      <c r="D199" s="6" t="s">
        <v>348</v>
      </c>
      <c r="E199" s="6" t="s">
        <v>202</v>
      </c>
      <c r="F199" s="6" t="s">
        <v>240</v>
      </c>
      <c r="G199" s="6" t="s">
        <v>104</v>
      </c>
      <c r="H199" s="6" t="s">
        <v>89</v>
      </c>
      <c r="I199" s="5" t="str">
        <f>IF(H199="","",VLOOKUP(H199,DB!A:B,2,0))</f>
        <v>FOR A HVS-390HS</v>
      </c>
      <c r="J199" s="5"/>
      <c r="K199" s="6" t="s">
        <v>35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141</v>
      </c>
      <c r="B200" s="6" t="str">
        <f>IF(A200="","",VLOOKUP(A200,DB!A:B,2,0))</f>
        <v>openGear X</v>
      </c>
      <c r="C200" s="6">
        <v>5.0</v>
      </c>
      <c r="D200" s="6" t="s">
        <v>348</v>
      </c>
      <c r="E200" s="6" t="s">
        <v>202</v>
      </c>
      <c r="F200" s="6" t="s">
        <v>240</v>
      </c>
      <c r="G200" s="6" t="s">
        <v>104</v>
      </c>
      <c r="H200" s="6" t="s">
        <v>89</v>
      </c>
      <c r="I200" s="5" t="str">
        <f>IF(H200="","",VLOOKUP(H200,DB!A:B,2,0))</f>
        <v>FOR A HVS-390HS</v>
      </c>
      <c r="J200" s="5"/>
      <c r="K200" s="6" t="s">
        <v>38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141</v>
      </c>
      <c r="B201" s="6" t="str">
        <f>IF(A201="","",VLOOKUP(A201,DB!A:B,2,0))</f>
        <v>openGear X</v>
      </c>
      <c r="C201" s="6">
        <v>6.0</v>
      </c>
      <c r="D201" s="6" t="s">
        <v>348</v>
      </c>
      <c r="E201" s="6" t="s">
        <v>202</v>
      </c>
      <c r="F201" s="6" t="s">
        <v>240</v>
      </c>
      <c r="G201" s="6" t="s">
        <v>104</v>
      </c>
      <c r="H201" s="6" t="s">
        <v>89</v>
      </c>
      <c r="I201" s="5" t="str">
        <f>IF(H201="","",VLOOKUP(H201,DB!A:B,2,0))</f>
        <v>FOR A HVS-390HS</v>
      </c>
      <c r="J201" s="5"/>
      <c r="K201" s="6" t="s">
        <v>41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141</v>
      </c>
      <c r="B202" s="6" t="str">
        <f>IF(A202="","",VLOOKUP(A202,DB!A:B,2,0))</f>
        <v>openGear X</v>
      </c>
      <c r="C202" s="6">
        <v>8.0</v>
      </c>
      <c r="D202" s="6" t="s">
        <v>348</v>
      </c>
      <c r="E202" s="6" t="s">
        <v>202</v>
      </c>
      <c r="F202" s="6" t="s">
        <v>240</v>
      </c>
      <c r="G202" s="6" t="s">
        <v>104</v>
      </c>
      <c r="H202" s="6" t="s">
        <v>87</v>
      </c>
      <c r="I202" s="5" t="str">
        <f>IF(H202="","",VLOOKUP(H202,DB!A:B,2,0))</f>
        <v/>
      </c>
      <c r="J202" s="5"/>
      <c r="K202" s="6" t="s">
        <v>87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141</v>
      </c>
      <c r="B203" s="6" t="str">
        <f>IF(A203="","",VLOOKUP(A203,DB!A:B,2,0))</f>
        <v>openGear X</v>
      </c>
      <c r="C203" s="6">
        <v>8.0</v>
      </c>
      <c r="D203" s="6" t="s">
        <v>357</v>
      </c>
      <c r="E203" s="6" t="s">
        <v>202</v>
      </c>
      <c r="F203" s="6" t="s">
        <v>240</v>
      </c>
      <c r="G203" s="6" t="s">
        <v>104</v>
      </c>
      <c r="H203" s="6" t="s">
        <v>87</v>
      </c>
      <c r="I203" s="5" t="str">
        <f>IF(H203="","",VLOOKUP(H203,DB!A:B,2,0))</f>
        <v/>
      </c>
      <c r="J203" s="5"/>
      <c r="K203" s="6" t="s">
        <v>87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358</v>
      </c>
      <c r="B204" s="6" t="str">
        <f>IF(A204="","",VLOOKUP(A204,DB!A:B,2,0))</f>
        <v>Cisco D9865</v>
      </c>
      <c r="C204" s="5"/>
      <c r="D204" s="5"/>
      <c r="E204" s="6" t="s">
        <v>359</v>
      </c>
      <c r="F204" s="5"/>
      <c r="G204" s="5"/>
      <c r="H204" s="6" t="s">
        <v>222</v>
      </c>
      <c r="I204" s="5" t="str">
        <f>IF(H204="","",VLOOKUP(H204,DB!A:B,2,0))</f>
        <v>AJA FS2</v>
      </c>
      <c r="J204" s="5"/>
      <c r="K204" s="6" t="s">
        <v>360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182</v>
      </c>
      <c r="B205" s="6" t="str">
        <f>IF(A205="","",VLOOKUP(A205,DB!A:B,2,0))</f>
        <v>openGear X</v>
      </c>
      <c r="C205" s="6">
        <v>1.0</v>
      </c>
      <c r="D205" s="6" t="s">
        <v>361</v>
      </c>
      <c r="E205" s="6" t="s">
        <v>362</v>
      </c>
      <c r="F205" s="5"/>
      <c r="G205" s="6"/>
      <c r="H205" s="6" t="s">
        <v>179</v>
      </c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182</v>
      </c>
      <c r="B206" s="6" t="str">
        <f>IF(A206="","",VLOOKUP(A206,DB!A:B,2,0))</f>
        <v>openGear X</v>
      </c>
      <c r="C206" s="6">
        <v>2.0</v>
      </c>
      <c r="D206" s="6" t="s">
        <v>361</v>
      </c>
      <c r="E206" s="6" t="s">
        <v>362</v>
      </c>
      <c r="F206" s="5"/>
      <c r="G206" s="6"/>
      <c r="H206" s="6" t="s">
        <v>179</v>
      </c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182</v>
      </c>
      <c r="B207" s="6" t="str">
        <f>IF(A207="","",VLOOKUP(A207,DB!A:B,2,0))</f>
        <v>openGear X</v>
      </c>
      <c r="C207" s="6">
        <v>3.0</v>
      </c>
      <c r="D207" s="6" t="s">
        <v>361</v>
      </c>
      <c r="E207" s="6" t="s">
        <v>362</v>
      </c>
      <c r="F207" s="5"/>
      <c r="G207" s="6"/>
      <c r="H207" s="6" t="s">
        <v>179</v>
      </c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182</v>
      </c>
      <c r="B208" s="6" t="str">
        <f>IF(A208="","",VLOOKUP(A208,DB!A:B,2,0))</f>
        <v>openGear X</v>
      </c>
      <c r="C208" s="6">
        <v>1.0</v>
      </c>
      <c r="D208" s="6" t="s">
        <v>361</v>
      </c>
      <c r="E208" s="6" t="s">
        <v>363</v>
      </c>
      <c r="F208" s="5"/>
      <c r="G208" s="6"/>
      <c r="H208" s="6" t="s">
        <v>179</v>
      </c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182</v>
      </c>
      <c r="B209" s="6" t="str">
        <f>IF(A209="","",VLOOKUP(A209,DB!A:B,2,0))</f>
        <v>openGear X</v>
      </c>
      <c r="C209" s="6">
        <v>2.0</v>
      </c>
      <c r="D209" s="6" t="s">
        <v>361</v>
      </c>
      <c r="E209" s="6" t="s">
        <v>363</v>
      </c>
      <c r="F209" s="5"/>
      <c r="G209" s="6"/>
      <c r="H209" s="6" t="s">
        <v>179</v>
      </c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182</v>
      </c>
      <c r="B210" s="6" t="str">
        <f>IF(A210="","",VLOOKUP(A210,DB!A:B,2,0))</f>
        <v>openGear X</v>
      </c>
      <c r="C210" s="6">
        <v>5.0</v>
      </c>
      <c r="D210" s="6" t="s">
        <v>361</v>
      </c>
      <c r="E210" s="6" t="s">
        <v>363</v>
      </c>
      <c r="F210" s="5"/>
      <c r="G210" s="6"/>
      <c r="H210" s="6" t="s">
        <v>179</v>
      </c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182</v>
      </c>
      <c r="B211" s="6" t="str">
        <f>IF(A211="","",VLOOKUP(A211,DB!A:B,2,0))</f>
        <v>openGear X</v>
      </c>
      <c r="C211" s="6">
        <v>6.0</v>
      </c>
      <c r="D211" s="6" t="s">
        <v>314</v>
      </c>
      <c r="E211" s="6" t="s">
        <v>364</v>
      </c>
      <c r="F211" s="6" t="s">
        <v>240</v>
      </c>
      <c r="G211" s="6" t="s">
        <v>316</v>
      </c>
      <c r="H211" s="6" t="s">
        <v>365</v>
      </c>
      <c r="I211" s="5" t="str">
        <f>IF(H211="","",VLOOKUP(H211,DB!A:B,2,0))</f>
        <v>VIDEOTRON</v>
      </c>
      <c r="J211" s="5"/>
      <c r="K211" s="6" t="s">
        <v>160</v>
      </c>
      <c r="L211" s="6" t="s">
        <v>179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182</v>
      </c>
      <c r="B212" s="6" t="str">
        <f>IF(A212="","",VLOOKUP(A212,DB!A:B,2,0))</f>
        <v>openGear X</v>
      </c>
      <c r="C212" s="6">
        <v>1.0</v>
      </c>
      <c r="D212" s="6" t="s">
        <v>361</v>
      </c>
      <c r="E212" s="6" t="s">
        <v>202</v>
      </c>
      <c r="F212" s="5"/>
      <c r="G212" s="6"/>
      <c r="H212" s="6" t="s">
        <v>179</v>
      </c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182</v>
      </c>
      <c r="B213" s="6" t="str">
        <f>IF(A213="","",VLOOKUP(A213,DB!A:B,2,0))</f>
        <v>openGear X</v>
      </c>
      <c r="C213" s="6">
        <v>2.0</v>
      </c>
      <c r="D213" s="6" t="s">
        <v>361</v>
      </c>
      <c r="E213" s="6" t="s">
        <v>202</v>
      </c>
      <c r="F213" s="5"/>
      <c r="G213" s="6"/>
      <c r="H213" s="6" t="s">
        <v>179</v>
      </c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182</v>
      </c>
      <c r="B214" s="6" t="str">
        <f>IF(A214="","",VLOOKUP(A214,DB!A:B,2,0))</f>
        <v>openGear X</v>
      </c>
      <c r="C214" s="6">
        <v>5.0</v>
      </c>
      <c r="D214" s="6" t="s">
        <v>357</v>
      </c>
      <c r="E214" s="6" t="s">
        <v>202</v>
      </c>
      <c r="F214" s="6" t="s">
        <v>240</v>
      </c>
      <c r="G214" s="6" t="s">
        <v>104</v>
      </c>
      <c r="H214" s="6" t="s">
        <v>222</v>
      </c>
      <c r="I214" s="5" t="str">
        <f>IF(H214="","",VLOOKUP(H214,DB!A:B,2,0))</f>
        <v>AJA FS2</v>
      </c>
      <c r="J214" s="5"/>
      <c r="K214" s="6" t="s">
        <v>160</v>
      </c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366</v>
      </c>
      <c r="B215" s="6" t="str">
        <f>IF(A215="","",VLOOKUP(A215,DB!A:B,2,0))</f>
        <v>Raspberry PI 1</v>
      </c>
      <c r="C215" s="5"/>
      <c r="D215" s="6"/>
      <c r="E215" s="6" t="s">
        <v>257</v>
      </c>
      <c r="F215" s="5"/>
      <c r="G215" s="5"/>
      <c r="H215" s="6" t="s">
        <v>141</v>
      </c>
      <c r="I215" s="5" t="str">
        <f>IF(H215="","",VLOOKUP(H215,DB!A:B,2,0))</f>
        <v>openGear X</v>
      </c>
      <c r="J215" s="6">
        <v>1.0</v>
      </c>
      <c r="K215" s="6" t="s">
        <v>241</v>
      </c>
      <c r="L215" s="5"/>
      <c r="M215" s="6" t="s">
        <v>367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368</v>
      </c>
      <c r="B216" s="6" t="str">
        <f>IF(A216="","",VLOOKUP(A216,DB!A:B,2,0))</f>
        <v>Raspberry PI 2</v>
      </c>
      <c r="C216" s="5"/>
      <c r="D216" s="6"/>
      <c r="E216" s="6" t="s">
        <v>257</v>
      </c>
      <c r="F216" s="5"/>
      <c r="G216" s="5"/>
      <c r="H216" s="6" t="s">
        <v>141</v>
      </c>
      <c r="I216" s="5" t="str">
        <f>IF(H216="","",VLOOKUP(H216,DB!A:B,2,0))</f>
        <v>openGear X</v>
      </c>
      <c r="J216" s="6">
        <v>2.0</v>
      </c>
      <c r="K216" s="6" t="s">
        <v>241</v>
      </c>
      <c r="L216" s="5"/>
      <c r="M216" s="6" t="s">
        <v>369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370</v>
      </c>
      <c r="B217" s="6" t="str">
        <f>IF(A217="","",VLOOKUP(A217,DB!A:B,2,0))</f>
        <v>Deco Direccion</v>
      </c>
      <c r="C217" s="5"/>
      <c r="D217" s="5"/>
      <c r="E217" s="6" t="s">
        <v>257</v>
      </c>
      <c r="F217" s="5"/>
      <c r="G217" s="5"/>
      <c r="H217" s="6" t="s">
        <v>261</v>
      </c>
      <c r="I217" s="5" t="str">
        <f>IF(H217="","",VLOOKUP(H217,DB!A:B,2,0))</f>
        <v>Patch Panel</v>
      </c>
      <c r="J217" s="5"/>
      <c r="K217" s="6" t="s">
        <v>41</v>
      </c>
      <c r="L217" s="5"/>
      <c r="M217" s="5"/>
      <c r="N217" s="6" t="s">
        <v>260</v>
      </c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371</v>
      </c>
      <c r="B218" s="6" t="str">
        <f>IF(A218="","",VLOOKUP(A218,DB!A:B,2,0))</f>
        <v>PC Videollamada</v>
      </c>
      <c r="C218" s="6">
        <v>1.0</v>
      </c>
      <c r="D218" s="6" t="s">
        <v>185</v>
      </c>
      <c r="E218" s="6" t="s">
        <v>372</v>
      </c>
      <c r="F218" s="5"/>
      <c r="G218" s="5"/>
      <c r="H218" s="6" t="s">
        <v>261</v>
      </c>
      <c r="I218" s="5" t="str">
        <f>IF(H218="","",VLOOKUP(H218,DB!A:B,2,0))</f>
        <v>Patch Panel</v>
      </c>
      <c r="J218" s="5"/>
      <c r="K218" s="6" t="s">
        <v>57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276</v>
      </c>
      <c r="B219" s="6" t="str">
        <f>IF(A219="","",VLOOKUP(A219,DB!A:B,2,0))</f>
        <v>Sony HXCU-100 Cam 1</v>
      </c>
      <c r="C219" s="5"/>
      <c r="D219" s="5"/>
      <c r="E219" s="6" t="s">
        <v>198</v>
      </c>
      <c r="F219" s="5"/>
      <c r="G219" s="5"/>
      <c r="H219" s="6" t="s">
        <v>250</v>
      </c>
      <c r="I219" s="5" t="str">
        <f>IF(H219="","",VLOOKUP(H219,DB!A:B,2,0))</f>
        <v>Blackmagic Multiview 4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276</v>
      </c>
      <c r="B220" s="6" t="str">
        <f>IF(A220="","",VLOOKUP(A220,DB!A:B,2,0))</f>
        <v>Sony HXCU-100 Cam 1</v>
      </c>
      <c r="C220" s="5"/>
      <c r="D220" s="5"/>
      <c r="E220" s="6" t="s">
        <v>307</v>
      </c>
      <c r="F220" s="5"/>
      <c r="G220" s="5"/>
      <c r="H220" s="6" t="s">
        <v>89</v>
      </c>
      <c r="I220" s="5" t="str">
        <f>IF(H220="","",VLOOKUP(H220,DB!A:B,2,0))</f>
        <v>FOR A HVS-390HS</v>
      </c>
      <c r="J220" s="5"/>
      <c r="K220" s="6" t="s">
        <v>17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279</v>
      </c>
      <c r="B221" s="6" t="str">
        <f>IF(A221="","",VLOOKUP(A221,DB!A:B,2,0))</f>
        <v>Sony HXCU-100 Cam 2</v>
      </c>
      <c r="C221" s="5"/>
      <c r="D221" s="5"/>
      <c r="E221" s="6" t="s">
        <v>198</v>
      </c>
      <c r="F221" s="5"/>
      <c r="G221" s="5"/>
      <c r="H221" s="6" t="s">
        <v>250</v>
      </c>
      <c r="I221" s="5" t="str">
        <f>IF(H221="","",VLOOKUP(H221,DB!A:B,2,0))</f>
        <v>Blackmagic Multiview 4</v>
      </c>
      <c r="J221" s="5"/>
      <c r="K221" s="6" t="s">
        <v>20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279</v>
      </c>
      <c r="B222" s="6" t="str">
        <f>IF(A222="","",VLOOKUP(A222,DB!A:B,2,0))</f>
        <v>Sony HXCU-100 Cam 2</v>
      </c>
      <c r="C222" s="5"/>
      <c r="D222" s="5"/>
      <c r="E222" s="6" t="s">
        <v>307</v>
      </c>
      <c r="F222" s="5"/>
      <c r="G222" s="5"/>
      <c r="H222" s="6" t="s">
        <v>89</v>
      </c>
      <c r="I222" s="5" t="str">
        <f>IF(H222="","",VLOOKUP(H222,DB!A:B,2,0))</f>
        <v>FOR A HVS-390HS</v>
      </c>
      <c r="J222" s="5"/>
      <c r="K222" s="6" t="s">
        <v>20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282</v>
      </c>
      <c r="B223" s="6" t="str">
        <f>IF(A223="","",VLOOKUP(A223,DB!A:B,2,0))</f>
        <v>Sony HXCU-100 Cam 3</v>
      </c>
      <c r="C223" s="5"/>
      <c r="D223" s="5"/>
      <c r="E223" s="6" t="s">
        <v>198</v>
      </c>
      <c r="F223" s="5"/>
      <c r="G223" s="5"/>
      <c r="H223" s="6" t="s">
        <v>250</v>
      </c>
      <c r="I223" s="5" t="str">
        <f>IF(H223="","",VLOOKUP(H223,DB!A:B,2,0))</f>
        <v>Blackmagic Multiview 4</v>
      </c>
      <c r="J223" s="5"/>
      <c r="K223" s="6" t="s">
        <v>23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282</v>
      </c>
      <c r="B224" s="6" t="str">
        <f>IF(A224="","",VLOOKUP(A224,DB!A:B,2,0))</f>
        <v>Sony HXCU-100 Cam 3</v>
      </c>
      <c r="C224" s="5"/>
      <c r="D224" s="5"/>
      <c r="E224" s="6" t="s">
        <v>307</v>
      </c>
      <c r="F224" s="5"/>
      <c r="G224" s="5"/>
      <c r="H224" s="6" t="s">
        <v>89</v>
      </c>
      <c r="I224" s="5" t="str">
        <f>IF(H224="","",VLOOKUP(H224,DB!A:B,2,0))</f>
        <v>FOR A HVS-390HS</v>
      </c>
      <c r="J224" s="5"/>
      <c r="K224" s="6" t="s">
        <v>23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285</v>
      </c>
      <c r="B225" s="6" t="str">
        <f>IF(A225="","",VLOOKUP(A225,DB!A:B,2,0))</f>
        <v>Sony HXCU-100 Cam 4</v>
      </c>
      <c r="C225" s="5"/>
      <c r="D225" s="5"/>
      <c r="E225" s="6" t="s">
        <v>198</v>
      </c>
      <c r="F225" s="5"/>
      <c r="G225" s="5"/>
      <c r="H225" s="6" t="s">
        <v>250</v>
      </c>
      <c r="I225" s="5" t="str">
        <f>IF(H225="","",VLOOKUP(H225,DB!A:B,2,0))</f>
        <v>Blackmagic Multiview 4</v>
      </c>
      <c r="J225" s="5"/>
      <c r="K225" s="6" t="s">
        <v>26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285</v>
      </c>
      <c r="B226" s="6" t="str">
        <f>IF(A226="","",VLOOKUP(A226,DB!A:B,2,0))</f>
        <v>Sony HXCU-100 Cam 4</v>
      </c>
      <c r="C226" s="5"/>
      <c r="D226" s="5"/>
      <c r="E226" s="6" t="s">
        <v>307</v>
      </c>
      <c r="F226" s="5"/>
      <c r="G226" s="5"/>
      <c r="H226" s="6" t="s">
        <v>89</v>
      </c>
      <c r="I226" s="5" t="str">
        <f>IF(H226="","",VLOOKUP(H226,DB!A:B,2,0))</f>
        <v>FOR A HVS-390HS</v>
      </c>
      <c r="J226" s="5"/>
      <c r="K226" s="6" t="s">
        <v>26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89</v>
      </c>
      <c r="B227" s="6" t="str">
        <f>IF(A227="","",VLOOKUP(A227,DB!A:B,2,0))</f>
        <v>FOR A HVS-390HS</v>
      </c>
      <c r="C227" s="5"/>
      <c r="D227" s="5"/>
      <c r="E227" s="6" t="s">
        <v>373</v>
      </c>
      <c r="F227" s="5"/>
      <c r="G227" s="5"/>
      <c r="H227" s="6" t="s">
        <v>374</v>
      </c>
      <c r="I227" s="5" t="str">
        <f>IF(H227="","",VLOOKUP(H227,DB!A:B,2,0))</f>
        <v>Monitor Director 2</v>
      </c>
      <c r="J227" s="5"/>
      <c r="K227" s="6" t="s">
        <v>241</v>
      </c>
      <c r="L227" s="5"/>
      <c r="M227" s="5"/>
      <c r="N227" s="6" t="s">
        <v>338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375</v>
      </c>
      <c r="F228" s="5"/>
      <c r="G228" s="5"/>
      <c r="H228" s="6" t="s">
        <v>376</v>
      </c>
      <c r="I228" s="5" t="str">
        <f>IF(H228="","",VLOOKUP(H228,DB!A:B,2,0))</f>
        <v>PC Pantalla</v>
      </c>
      <c r="J228" s="5"/>
      <c r="K228" s="6" t="s">
        <v>241</v>
      </c>
      <c r="L228" s="5"/>
      <c r="M228" s="5"/>
      <c r="N228" s="6" t="s">
        <v>377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89</v>
      </c>
      <c r="B229" s="6" t="str">
        <f>IF(A229="","",VLOOKUP(A229,DB!A:B,2,0))</f>
        <v>FOR A HVS-390HS</v>
      </c>
      <c r="C229" s="5"/>
      <c r="D229" s="5"/>
      <c r="E229" s="6" t="s">
        <v>19</v>
      </c>
      <c r="F229" s="5"/>
      <c r="G229" s="5"/>
      <c r="H229" s="6" t="s">
        <v>378</v>
      </c>
      <c r="I229" s="5" t="str">
        <f>IF(H229="","",VLOOKUP(H229,DB!A:B,2,0))</f>
        <v>AJA HD5DA</v>
      </c>
      <c r="J229" s="5"/>
      <c r="K229" s="6" t="s">
        <v>104</v>
      </c>
      <c r="L229" s="5"/>
      <c r="M229" s="5"/>
      <c r="N229" s="6" t="s">
        <v>379</v>
      </c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378</v>
      </c>
      <c r="B230" s="6" t="str">
        <f>IF(A230="","",VLOOKUP(A230,DB!A:B,2,0))</f>
        <v>AJA HD5DA</v>
      </c>
      <c r="C230" s="5"/>
      <c r="D230" s="5"/>
      <c r="E230" s="6" t="s">
        <v>211</v>
      </c>
      <c r="F230" s="5"/>
      <c r="G230" s="5"/>
      <c r="H230" s="6" t="s">
        <v>276</v>
      </c>
      <c r="I230" s="5" t="str">
        <f>IF(H230="","",VLOOKUP(H230,DB!A:B,2,0))</f>
        <v>Sony HXCU-100 Cam 1</v>
      </c>
      <c r="J230" s="5"/>
      <c r="K230" s="6" t="s">
        <v>380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378</v>
      </c>
      <c r="B231" s="6" t="str">
        <f>IF(A231="","",VLOOKUP(A231,DB!A:B,2,0))</f>
        <v>AJA HD5DA</v>
      </c>
      <c r="C231" s="5"/>
      <c r="D231" s="5"/>
      <c r="E231" s="6" t="s">
        <v>198</v>
      </c>
      <c r="F231" s="5"/>
      <c r="G231" s="5"/>
      <c r="H231" s="6" t="s">
        <v>279</v>
      </c>
      <c r="I231" s="5" t="str">
        <f>IF(H231="","",VLOOKUP(H231,DB!A:B,2,0))</f>
        <v>Sony HXCU-100 Cam 2</v>
      </c>
      <c r="J231" s="5"/>
      <c r="K231" s="6" t="s">
        <v>380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378</v>
      </c>
      <c r="B232" s="6" t="str">
        <f>IF(A232="","",VLOOKUP(A232,DB!A:B,2,0))</f>
        <v>AJA HD5DA</v>
      </c>
      <c r="C232" s="5"/>
      <c r="D232" s="5"/>
      <c r="E232" s="6" t="s">
        <v>307</v>
      </c>
      <c r="F232" s="5"/>
      <c r="G232" s="5"/>
      <c r="H232" s="6" t="s">
        <v>282</v>
      </c>
      <c r="I232" s="5" t="str">
        <f>IF(H232="","",VLOOKUP(H232,DB!A:B,2,0))</f>
        <v>Sony HXCU-100 Cam 3</v>
      </c>
      <c r="J232" s="5"/>
      <c r="K232" s="6" t="s">
        <v>380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378</v>
      </c>
      <c r="B233" s="6" t="str">
        <f>IF(A233="","",VLOOKUP(A233,DB!A:B,2,0))</f>
        <v>AJA HD5DA</v>
      </c>
      <c r="C233" s="5"/>
      <c r="D233" s="5"/>
      <c r="E233" s="6" t="s">
        <v>310</v>
      </c>
      <c r="F233" s="5"/>
      <c r="G233" s="5"/>
      <c r="H233" s="6" t="s">
        <v>285</v>
      </c>
      <c r="I233" s="5" t="str">
        <f>IF(H233="","",VLOOKUP(H233,DB!A:B,2,0))</f>
        <v>Sony HXCU-100 Cam 4</v>
      </c>
      <c r="J233" s="5"/>
      <c r="K233" s="6" t="s">
        <v>380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87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261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20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23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26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29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32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35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38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44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48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51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54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381</v>
      </c>
      <c r="B246" s="6" t="str">
        <f>IF(A246="","",VLOOKUP(A246,DB!A:B,2,0))</f>
        <v>Patch Estudio</v>
      </c>
      <c r="C246" s="5"/>
      <c r="D246" s="5"/>
      <c r="E246" s="6" t="s">
        <v>382</v>
      </c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60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87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261</v>
      </c>
      <c r="I247" s="5" t="str">
        <f>IF(H247="","",VLOOKUP(H247,DB!A:B,2,0))</f>
        <v>Patch Panel</v>
      </c>
      <c r="J247" s="5"/>
      <c r="K247" s="6" t="s">
        <v>63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48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16</v>
      </c>
      <c r="I249" s="5" t="str">
        <f>IF(H249="","",VLOOKUP(H249,DB!A:B,2,0))</f>
        <v>Blackmagic 12 x 12</v>
      </c>
      <c r="J249" s="5"/>
      <c r="K249" s="6" t="s">
        <v>51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87</v>
      </c>
      <c r="B250" s="6" t="str">
        <f>IF(A250="","",VLOOKUP(A250,DB!A:B,2,0))</f>
        <v/>
      </c>
      <c r="C250" s="5"/>
      <c r="D250" s="6"/>
      <c r="E250" s="6"/>
      <c r="F250" s="5"/>
      <c r="G250" s="5"/>
      <c r="H250" s="6" t="s">
        <v>141</v>
      </c>
      <c r="I250" s="5" t="str">
        <f>IF(H250="","",VLOOKUP(H250,DB!A:B,2,0))</f>
        <v>openGear X</v>
      </c>
      <c r="J250" s="6">
        <v>3.0</v>
      </c>
      <c r="K250" s="6" t="s">
        <v>241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</sheetData>
  <conditionalFormatting sqref="A1:AB250">
    <cfRule type="cellIs" dxfId="0" priority="1" operator="equal">
      <formula>"?"</formula>
    </cfRule>
  </conditionalFormatting>
  <conditionalFormatting sqref="A1:AB250">
    <cfRule type="cellIs" dxfId="1" priority="2" operator="equal">
      <formula>"N/C"</formula>
    </cfRule>
  </conditionalFormatting>
  <conditionalFormatting sqref="A1:AB250">
    <cfRule type="expression" dxfId="2" priority="3">
      <formula>ISEVEN(ROW())</formula>
    </cfRule>
  </conditionalFormatting>
  <dataValidations>
    <dataValidation type="list" allowBlank="1" showErrorMessage="1" sqref="A2:A250 H2:H250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2" t="s">
        <v>383</v>
      </c>
      <c r="B1" s="13" t="s">
        <v>384</v>
      </c>
      <c r="C1" s="14" t="s">
        <v>385</v>
      </c>
      <c r="D1" s="15" t="s">
        <v>386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387</v>
      </c>
      <c r="B2" s="7" t="s">
        <v>388</v>
      </c>
      <c r="C2" s="16" t="s">
        <v>389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184</v>
      </c>
      <c r="B3" s="7" t="s">
        <v>390</v>
      </c>
      <c r="C3" s="16" t="s">
        <v>391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188</v>
      </c>
      <c r="B4" s="7" t="s">
        <v>392</v>
      </c>
      <c r="C4" s="16" t="s">
        <v>393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190</v>
      </c>
      <c r="B5" s="7" t="s">
        <v>394</v>
      </c>
      <c r="C5" s="16" t="s">
        <v>395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396</v>
      </c>
      <c r="C6" s="17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/>
      <c r="B7" s="7"/>
      <c r="C7" s="16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397</v>
      </c>
      <c r="B8" s="7" t="s">
        <v>398</v>
      </c>
      <c r="C8" s="16" t="s">
        <v>399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71</v>
      </c>
      <c r="B9" s="7" t="s">
        <v>400</v>
      </c>
      <c r="C9" s="16" t="s">
        <v>401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402</v>
      </c>
      <c r="C10" s="16" t="s">
        <v>403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80</v>
      </c>
      <c r="B11" s="7" t="s">
        <v>404</v>
      </c>
      <c r="C11" s="16" t="s">
        <v>405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/>
      <c r="B12" s="7"/>
      <c r="C12" s="16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406</v>
      </c>
      <c r="B13" s="7" t="s">
        <v>407</v>
      </c>
      <c r="C13" s="17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408</v>
      </c>
      <c r="B14" s="7" t="s">
        <v>409</v>
      </c>
      <c r="C14" s="16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</v>
      </c>
      <c r="B15" s="7" t="s">
        <v>410</v>
      </c>
      <c r="C15" s="16" t="s">
        <v>411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47</v>
      </c>
      <c r="B16" s="7" t="s">
        <v>412</v>
      </c>
      <c r="C16" s="16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</v>
      </c>
      <c r="B17" s="7" t="s">
        <v>413</v>
      </c>
      <c r="C17" s="17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261</v>
      </c>
      <c r="B18" s="7" t="s">
        <v>414</v>
      </c>
      <c r="C18" s="16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111</v>
      </c>
      <c r="B19" s="7" t="s">
        <v>414</v>
      </c>
      <c r="C19" s="1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366</v>
      </c>
      <c r="B21" s="18" t="s">
        <v>415</v>
      </c>
      <c r="C21" s="17" t="s">
        <v>416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8" t="s">
        <v>417</v>
      </c>
      <c r="C22" s="17" t="s">
        <v>418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419</v>
      </c>
      <c r="B23" s="7"/>
      <c r="C23" s="16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/>
      <c r="B24" s="7"/>
      <c r="C24" s="1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210</v>
      </c>
      <c r="B25" s="7" t="s">
        <v>420</v>
      </c>
      <c r="C25" s="1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421</v>
      </c>
      <c r="B26" s="7" t="s">
        <v>422</v>
      </c>
      <c r="C26" s="1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214</v>
      </c>
      <c r="B27" s="7" t="s">
        <v>423</v>
      </c>
      <c r="C27" s="1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423</v>
      </c>
      <c r="C28" s="17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225</v>
      </c>
      <c r="B29" s="7" t="s">
        <v>424</v>
      </c>
      <c r="C29" s="16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197</v>
      </c>
      <c r="B30" s="7" t="s">
        <v>425</v>
      </c>
      <c r="C30" s="1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141</v>
      </c>
      <c r="B31" s="7" t="s">
        <v>426</v>
      </c>
      <c r="C31" s="1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358</v>
      </c>
      <c r="B32" s="7" t="s">
        <v>422</v>
      </c>
      <c r="C32" s="1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182</v>
      </c>
      <c r="B33" s="7" t="s">
        <v>426</v>
      </c>
      <c r="C33" s="16" t="s">
        <v>427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428</v>
      </c>
      <c r="B34" s="7" t="s">
        <v>429</v>
      </c>
      <c r="C34" s="16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66</v>
      </c>
      <c r="B35" s="7" t="s">
        <v>430</v>
      </c>
      <c r="C35" s="1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148</v>
      </c>
      <c r="B36" s="7" t="s">
        <v>431</v>
      </c>
      <c r="C36" s="17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222</v>
      </c>
      <c r="B37" s="7" t="s">
        <v>431</v>
      </c>
      <c r="C37" s="16" t="s">
        <v>432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433</v>
      </c>
      <c r="B38" s="7" t="s">
        <v>434</v>
      </c>
      <c r="C38" s="16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435</v>
      </c>
      <c r="B39" s="7" t="s">
        <v>436</v>
      </c>
      <c r="C39" s="1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232</v>
      </c>
      <c r="B40" s="7" t="s">
        <v>437</v>
      </c>
      <c r="C40" s="1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1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438</v>
      </c>
      <c r="B42" s="7" t="s">
        <v>439</v>
      </c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152</v>
      </c>
      <c r="B43" s="7" t="s">
        <v>440</v>
      </c>
      <c r="C43" s="1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172</v>
      </c>
      <c r="B44" s="7" t="s">
        <v>441</v>
      </c>
      <c r="C44" s="1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99</v>
      </c>
      <c r="B45" s="7" t="s">
        <v>442</v>
      </c>
      <c r="C45" s="16" t="s">
        <v>443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444</v>
      </c>
      <c r="C46" s="16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/>
      <c r="B47" s="7"/>
      <c r="C47" s="1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445</v>
      </c>
      <c r="B48" s="7" t="s">
        <v>179</v>
      </c>
      <c r="C48" s="1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276</v>
      </c>
      <c r="B49" s="18" t="s">
        <v>446</v>
      </c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8" t="s">
        <v>447</v>
      </c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8" t="s">
        <v>448</v>
      </c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8" t="s">
        <v>449</v>
      </c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250</v>
      </c>
      <c r="B53" s="7" t="s">
        <v>450</v>
      </c>
      <c r="C53" s="16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89</v>
      </c>
      <c r="B54" s="7" t="s">
        <v>451</v>
      </c>
      <c r="C54" s="17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378</v>
      </c>
      <c r="B55" s="7" t="s">
        <v>452</v>
      </c>
      <c r="C55" s="16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453</v>
      </c>
      <c r="B57" s="7"/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8" t="s">
        <v>365</v>
      </c>
      <c r="B59" s="6" t="s">
        <v>454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8" t="s">
        <v>455</v>
      </c>
      <c r="B60" s="18" t="s">
        <v>456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8" t="s">
        <v>457</v>
      </c>
      <c r="B61" s="18" t="s">
        <v>458</v>
      </c>
      <c r="C61" s="16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8" t="s">
        <v>344</v>
      </c>
      <c r="B62" s="18" t="s">
        <v>459</v>
      </c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8" t="s">
        <v>460</v>
      </c>
      <c r="B63" s="7"/>
      <c r="C63" s="16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8" t="s">
        <v>200</v>
      </c>
      <c r="B64" s="7" t="s">
        <v>426</v>
      </c>
      <c r="C64" s="16" t="s">
        <v>461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8"/>
      <c r="B65" s="7"/>
      <c r="C65" s="16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8" t="s">
        <v>205</v>
      </c>
      <c r="B66" s="6" t="s">
        <v>462</v>
      </c>
      <c r="C66" s="16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8" t="s">
        <v>463</v>
      </c>
      <c r="B67" s="7"/>
      <c r="C67" s="16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8" t="s">
        <v>464</v>
      </c>
      <c r="B68" s="7"/>
      <c r="C68" s="16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 t="s">
        <v>256</v>
      </c>
      <c r="B70" s="7" t="s">
        <v>465</v>
      </c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381</v>
      </c>
      <c r="B71" s="7" t="s">
        <v>466</v>
      </c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347</v>
      </c>
      <c r="B72" s="7" t="s">
        <v>467</v>
      </c>
      <c r="C72" s="1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343</v>
      </c>
      <c r="B74" s="7" t="s">
        <v>468</v>
      </c>
      <c r="C74" s="1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350</v>
      </c>
      <c r="B75" s="7" t="s">
        <v>469</v>
      </c>
      <c r="C75" s="1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345</v>
      </c>
      <c r="B76" s="7" t="s">
        <v>470</v>
      </c>
      <c r="C76" s="1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371</v>
      </c>
      <c r="B77" s="7" t="s">
        <v>471</v>
      </c>
      <c r="C77" s="1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472</v>
      </c>
      <c r="B78" s="7" t="s">
        <v>473</v>
      </c>
      <c r="C78" s="1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374</v>
      </c>
      <c r="B79" s="7" t="s">
        <v>474</v>
      </c>
      <c r="C79" s="1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145</v>
      </c>
      <c r="B80" s="7" t="s">
        <v>475</v>
      </c>
      <c r="C80" s="1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346</v>
      </c>
      <c r="B81" s="7" t="s">
        <v>476</v>
      </c>
      <c r="C81" s="1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376</v>
      </c>
      <c r="B82" s="7" t="s">
        <v>477</v>
      </c>
      <c r="C82" s="1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107</v>
      </c>
      <c r="B83" s="7" t="s">
        <v>478</v>
      </c>
      <c r="C83" s="1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8" t="s">
        <v>370</v>
      </c>
      <c r="B84" s="18" t="s">
        <v>479</v>
      </c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480</v>
      </c>
      <c r="B86" s="7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179</v>
      </c>
      <c r="B88" s="7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87</v>
      </c>
      <c r="B90" s="7"/>
      <c r="C90" s="1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341</v>
      </c>
      <c r="B92" s="6" t="s">
        <v>342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339</v>
      </c>
      <c r="B93" s="6" t="s">
        <v>340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336</v>
      </c>
      <c r="B94" s="6" t="s">
        <v>337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"?"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481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482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Conexiones!A2:N250,
    IF(A2="""", ROW(Conexiones!A2:A250)^0, ISNUMBER(SEARCH(A2, Conexiones!A2:A250))),
    IF(B2="""", ROW(Conexiones!B2:B250)^0, ISNUMBER(SEARCH(B2, Conexiones!B2:B250))),
    IF(C2="""", ROW(Conexiones!C2:C250)^0, "&amp;"ISNUMBER(SEARCH(C2, Conexiones!C2:C250))),
    IF(D2="""", ROW(Conexiones!D2:D250)^0, ISNUMBER(SEARCH(D2, Conexiones!D2:D250))),
    IF(E2="""", ROW(Conexiones!E2:E250)^0, ISNUMBER(SEARCH(E2, Conexiones!E2:E250))),
    IF(F2="""", ROW(Conexiones!F2:F250)^"&amp;"0, ISNUMBER(SEARCH(F2, Conexiones!F2:F250))),
    IF(G2="""", ROW(Conexiones!G2:G250)^0, ISNUMBER(SEARCH(G2, Conexiones!G2:G250))),
    IF(H2="""", ROW(Conexiones!H2:H250)^0, ISNUMBER(SEARCH(H2, Conexiones!H2:H250))),
    IF(B2="""", ROW(Conexiones!H2:H25"&amp;"0)^0, ISNUMBER(SEARCH(B2, Conexiones!H2:H250))),
    IF(I2="""", ROW(Conexiones!I2:I250)^0, ISNUMBER(SEARCH(I2, Conexiones!I2:I250))),
    IF(J2="""", ROW(Conexiones!J2:J250)^0, ISNUMBER(SEARCH(J2, Conexiones!J2:J250))),
    IF(K2="""", ROW(Conexiones!K2:"&amp;"K250)^0, ISNUMBER(SEARCH(K2, Conexiones!K2:K250))),
    IF(L2="""", ROW(Conexiones!L2:L250)^0, ISNUMBER(SEARCH(L2, Conexiones!L2:L250))),
    IF(M2="""", ROW(Conexiones!M2:M250)^0, ISNUMBER(SEARCH(M2, Conexiones!M2:M250))),
    IF(N2="""", ROW(Conexiones!"&amp;"N2:N250)^0, ISNUMBER(SEARCH(N2, Conexiones!N2:N250)))
  ),
  P2,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IFERROR(__xludf.DUMMYFUNCTION("""COMPUTED_VALUE"""),6.0)</f>
        <v>6</v>
      </c>
      <c r="D3" s="5" t="str">
        <f>IFERROR(__xludf.DUMMYFUNCTION("""COMPUTED_VALUE"""),"Dist. Amp. 1x9")</f>
        <v>Dist. Amp. 1x9</v>
      </c>
      <c r="E3" s="5" t="str">
        <f>IFERROR(__xludf.DUMMYFUNCTION("""COMPUTED_VALUE"""),"J3")</f>
        <v>J3</v>
      </c>
      <c r="F3" s="5" t="str">
        <f>IFERROR(__xludf.DUMMYFUNCTION("""COMPUTED_VALUE"""),"T")</f>
        <v>T</v>
      </c>
      <c r="G3" s="5" t="str">
        <f>IFERROR(__xludf.DUMMYFUNCTION("""COMPUTED_VALUE"""),"J1")</f>
        <v>J1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62")</f>
        <v>In 62</v>
      </c>
      <c r="L3" s="5" t="str">
        <f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IFERROR(__xludf.DUMMYFUNCTION("""COMPUTED_VALUE"""),1.0)</f>
        <v>1</v>
      </c>
      <c r="D4" s="5" t="str">
        <f>IFERROR(__xludf.DUMMYFUNCTION("""COMPUTED_VALUE"""),"Emb / De-emb")</f>
        <v>Emb / De-emb</v>
      </c>
      <c r="E4" s="5" t="str">
        <f>IFERROR(__xludf.DUMMYFUNCTION("""COMPUTED_VALUE"""),"A1")</f>
        <v>A1</v>
      </c>
      <c r="F4" s="5"/>
      <c r="G4" s="5"/>
      <c r="H4" s="5" t="str">
        <f>IFERROR(__xludf.DUMMYFUNCTION("""COMPUTED_VALUE"""),"?")</f>
        <v>?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IFERROR(__xludf.DUMMYFUNCTION("""COMPUTED_VALUE"""),2.0)</f>
        <v>2</v>
      </c>
      <c r="D5" s="5" t="str">
        <f>IFERROR(__xludf.DUMMYFUNCTION("""COMPUTED_VALUE"""),"Emb / De-emb")</f>
        <v>Emb / De-emb</v>
      </c>
      <c r="E5" s="5" t="str">
        <f>IFERROR(__xludf.DUMMYFUNCTION("""COMPUTED_VALUE"""),"A1")</f>
        <v>A1</v>
      </c>
      <c r="F5" s="5"/>
      <c r="G5" s="5"/>
      <c r="H5" s="5" t="str">
        <f>IFERROR(__xludf.DUMMYFUNCTION("""COMPUTED_VALUE"""),"?")</f>
        <v>?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IFERROR(__xludf.DUMMYFUNCTION("""COMPUTED_VALUE"""),3.0)</f>
        <v>3</v>
      </c>
      <c r="D6" s="5" t="str">
        <f>IFERROR(__xludf.DUMMYFUNCTION("""COMPUTED_VALUE"""),"Emb / De-emb")</f>
        <v>Emb / De-emb</v>
      </c>
      <c r="E6" s="5" t="str">
        <f>IFERROR(__xludf.DUMMYFUNCTION("""COMPUTED_VALUE"""),"A1")</f>
        <v>A1</v>
      </c>
      <c r="F6" s="5"/>
      <c r="G6" s="5"/>
      <c r="H6" s="5" t="str">
        <f>IFERROR(__xludf.DUMMYFUNCTION("""COMPUTED_VALUE"""),"?")</f>
        <v>?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IFERROR(__xludf.DUMMYFUNCTION("""COMPUTED_VALUE"""),"Emb / De-emb")</f>
        <v>Emb / De-emb</v>
      </c>
      <c r="E7" s="5" t="str">
        <f>IFERROR(__xludf.DUMMYFUNCTION("""COMPUTED_VALUE"""),"A2")</f>
        <v>A2</v>
      </c>
      <c r="F7" s="5"/>
      <c r="G7" s="5"/>
      <c r="H7" s="5" t="str">
        <f>IFERROR(__xludf.DUMMYFUNCTION("""COMPUTED_VALUE"""),"?")</f>
        <v>?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IFERROR(__xludf.DUMMYFUNCTION("""COMPUTED_VALUE"""),2.0)</f>
        <v>2</v>
      </c>
      <c r="D8" s="5" t="str">
        <f>IFERROR(__xludf.DUMMYFUNCTION("""COMPUTED_VALUE"""),"Emb / De-emb")</f>
        <v>Emb / De-emb</v>
      </c>
      <c r="E8" s="5" t="str">
        <f>IFERROR(__xludf.DUMMYFUNCTION("""COMPUTED_VALUE"""),"A2")</f>
        <v>A2</v>
      </c>
      <c r="F8" s="5"/>
      <c r="G8" s="5"/>
      <c r="H8" s="5" t="str">
        <f>IFERROR(__xludf.DUMMYFUNCTION("""COMPUTED_VALUE"""),"?")</f>
        <v>?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IFERROR(__xludf.DUMMYFUNCTION("""COMPUTED_VALUE"""),5.0)</f>
        <v>5</v>
      </c>
      <c r="D9" s="5" t="str">
        <f>IFERROR(__xludf.DUMMYFUNCTION("""COMPUTED_VALUE"""),"Emb / De-emb")</f>
        <v>Emb / De-emb</v>
      </c>
      <c r="E9" s="5" t="str">
        <f>IFERROR(__xludf.DUMMYFUNCTION("""COMPUTED_VALUE"""),"A2")</f>
        <v>A2</v>
      </c>
      <c r="F9" s="5"/>
      <c r="G9" s="5"/>
      <c r="H9" s="5" t="str">
        <f>IFERROR(__xludf.DUMMYFUNCTION("""COMPUTED_VALUE"""),"?")</f>
        <v>?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IFERROR(__xludf.DUMMYFUNCTION("""COMPUTED_VALUE"""),"J5")</f>
        <v>J5</v>
      </c>
      <c r="F10" s="5" t="str">
        <f>IFERROR(__xludf.DUMMYFUNCTION("""COMPUTED_VALUE"""),"T")</f>
        <v>T</v>
      </c>
      <c r="G10" s="5" t="str">
        <f>IFERROR(__xludf.DUMMYFUNCTION("""COMPUTED_VALUE"""),"J1")</f>
        <v>J1</v>
      </c>
      <c r="H10" s="5" t="str">
        <f>IFERROR(__xludf.DUMMYFUNCTION("""COMPUTED_VALUE"""),"L.1")</f>
        <v>L.1</v>
      </c>
      <c r="I10" s="5" t="str">
        <f>IFERROR(__xludf.DUMMYFUNCTION("""COMPUTED_VALUE"""),"VIDEOTRON")</f>
        <v>VIDEOTRON</v>
      </c>
      <c r="J10" s="5"/>
      <c r="K10" s="5" t="str">
        <f>IFERROR(__xludf.DUMMYFUNCTION("""COMPUTED_VALUE"""),"SDI In 1")</f>
        <v>SDI In 1</v>
      </c>
      <c r="L10" s="5" t="str">
        <f>IFERROR(__xludf.DUMMYFUNCTION("""COMPUTED_VALUE"""),"?")</f>
        <v>?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IFERROR(__xludf.DUMMYFUNCTION("""COMPUTED_VALUE"""),"Emb / De-emb")</f>
        <v>Emb / De-emb</v>
      </c>
      <c r="E11" s="5" t="str">
        <f>IFERROR(__xludf.DUMMYFUNCTION("""COMPUTED_VALUE"""),"SDI Out")</f>
        <v>SDI Out</v>
      </c>
      <c r="F11" s="5"/>
      <c r="G11" s="5"/>
      <c r="H11" s="5" t="str">
        <f>IFERROR(__xludf.DUMMYFUNCTION("""COMPUTED_VALUE"""),"?")</f>
        <v>?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IFERROR(__xludf.DUMMYFUNCTION("""COMPUTED_VALUE"""),2.0)</f>
        <v>2</v>
      </c>
      <c r="D12" s="5" t="str">
        <f>IFERROR(__xludf.DUMMYFUNCTION("""COMPUTED_VALUE"""),"Emb / De-emb")</f>
        <v>Emb / De-emb</v>
      </c>
      <c r="E12" s="5" t="str">
        <f>IFERROR(__xludf.DUMMYFUNCTION("""COMPUTED_VALUE"""),"SDI Out")</f>
        <v>SDI Out</v>
      </c>
      <c r="F12" s="5"/>
      <c r="G12" s="5"/>
      <c r="H12" s="5" t="str">
        <f>IFERROR(__xludf.DUMMYFUNCTION("""COMPUTED_VALUE"""),"?")</f>
        <v>?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IFERROR(__xludf.DUMMYFUNCTION("""COMPUTED_VALUE"""),5.0)</f>
        <v>5</v>
      </c>
      <c r="D13" s="5" t="str">
        <f>IFERROR(__xludf.DUMMYFUNCTION("""COMPUTED_VALUE"""),"De-embbeder")</f>
        <v>De-embbeder</v>
      </c>
      <c r="E13" s="5" t="str">
        <f>IFERROR(__xludf.DUMMYFUNCTION("""COMPUTED_VALUE"""),"SDI Out")</f>
        <v>SDI Out</v>
      </c>
      <c r="F13" s="5" t="str">
        <f>IFERROR(__xludf.DUMMYFUNCTION("""COMPUTED_VALUE"""),"T")</f>
        <v>T</v>
      </c>
      <c r="G13" s="5" t="str">
        <f>IFERROR(__xludf.DUMMYFUNCTION("""COMPUTED_VALUE"""),"SDI In")</f>
        <v>SDI In</v>
      </c>
      <c r="H13" s="5" t="str">
        <f>IFERROR(__xludf.DUMMYFUNCTION("""COMPUTED_VALUE"""),"D.13")</f>
        <v>D.13</v>
      </c>
      <c r="I13" s="5" t="str">
        <f>IFERROR(__xludf.DUMMYFUNCTION("""COMPUTED_VALUE"""),"AJA FS2")</f>
        <v>AJA FS2</v>
      </c>
      <c r="J13" s="5"/>
      <c r="K13" s="5" t="str">
        <f>IFERROR(__xludf.DUMMYFUNCTION("""COMPUTED_VALUE"""),"SDI In 1")</f>
        <v>SDI In 1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