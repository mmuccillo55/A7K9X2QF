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<sst xmlns="http://schemas.openxmlformats.org/spreadsheetml/2006/main" count="1617" uniqueCount="510">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</sst>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6" t="s">
        <v>98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99</v>
      </c>
      <c r="F31" s="5"/>
      <c r="G31" s="5"/>
      <c r="H31" s="6" t="s">
        <v>100</v>
      </c>
      <c r="I31" s="5" t="str">
        <f>IF(H31="","",VLOOKUP(H31,DB!A:B,2,0))</f>
        <v>PC Rack</v>
      </c>
      <c r="J31" s="6">
        <v>1.0</v>
      </c>
      <c r="K31" s="6" t="s">
        <v>101</v>
      </c>
      <c r="L31" s="6" t="s">
        <v>102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103</v>
      </c>
      <c r="F32" s="5"/>
      <c r="G32" s="5"/>
      <c r="H32" s="6" t="s">
        <v>104</v>
      </c>
      <c r="I32" s="5" t="str">
        <f>IF(H32="","",VLOOKUP(H32,DB!A:B,2,0))</f>
        <v>Datavideo TC-200</v>
      </c>
      <c r="J32" s="5"/>
      <c r="K32" s="6" t="s">
        <v>105</v>
      </c>
      <c r="L32" s="6" t="s">
        <v>106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107</v>
      </c>
      <c r="F33" s="5"/>
      <c r="G33" s="5"/>
      <c r="H33" s="6" t="s">
        <v>108</v>
      </c>
      <c r="I33" s="5" t="str">
        <f>IF(H33="","",VLOOKUP(H33,DB!A:B,2,0))</f>
        <v>Escalador Pantalla</v>
      </c>
      <c r="J33" s="5"/>
      <c r="K33" s="5"/>
      <c r="L33" s="6" t="s">
        <v>109</v>
      </c>
      <c r="M33" s="6" t="s">
        <v>110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111</v>
      </c>
      <c r="F34" s="5"/>
      <c r="G34" s="5"/>
      <c r="H34" s="6" t="s">
        <v>112</v>
      </c>
      <c r="I34" s="5" t="str">
        <f>IF(H34="","",VLOOKUP(H34,DB!A:B,2,0))</f>
        <v>Patch Panel</v>
      </c>
      <c r="J34" s="5"/>
      <c r="K34" s="6" t="s">
        <v>63</v>
      </c>
      <c r="L34" s="6" t="s">
        <v>113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114</v>
      </c>
      <c r="F35" s="5"/>
      <c r="G35" s="5"/>
      <c r="H35" s="6" t="s">
        <v>112</v>
      </c>
      <c r="I35" s="5" t="str">
        <f>IF(H35="","",VLOOKUP(H35,DB!A:B,2,0))</f>
        <v>Patch Panel</v>
      </c>
      <c r="J35" s="5"/>
      <c r="K35" s="6" t="s">
        <v>60</v>
      </c>
      <c r="L35" s="6" t="s">
        <v>115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116</v>
      </c>
      <c r="F36" s="5"/>
      <c r="G36" s="5"/>
      <c r="H36" s="6" t="s">
        <v>112</v>
      </c>
      <c r="I36" s="5" t="str">
        <f>IF(H36="","",VLOOKUP(H36,DB!A:B,2,0))</f>
        <v>Patch Panel</v>
      </c>
      <c r="J36" s="5"/>
      <c r="K36" s="6" t="s">
        <v>57</v>
      </c>
      <c r="L36" s="6" t="s">
        <v>117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118</v>
      </c>
      <c r="F37" s="5"/>
      <c r="G37" s="5"/>
      <c r="H37" s="6" t="s">
        <v>112</v>
      </c>
      <c r="I37" s="5" t="str">
        <f>IF(H37="","",VLOOKUP(H37,DB!A:B,2,0))</f>
        <v>Patch Panel</v>
      </c>
      <c r="J37" s="5"/>
      <c r="K37" s="6" t="s">
        <v>54</v>
      </c>
      <c r="L37" s="6" t="s">
        <v>119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120</v>
      </c>
      <c r="F38" s="5"/>
      <c r="G38" s="5"/>
      <c r="H38" s="6" t="s">
        <v>112</v>
      </c>
      <c r="I38" s="5" t="str">
        <f>IF(H38="","",VLOOKUP(H38,DB!A:B,2,0))</f>
        <v>Patch Panel</v>
      </c>
      <c r="J38" s="5"/>
      <c r="K38" s="6" t="s">
        <v>51</v>
      </c>
      <c r="L38" s="6" t="s">
        <v>121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122</v>
      </c>
      <c r="F39" s="5"/>
      <c r="G39" s="5"/>
      <c r="H39" s="6" t="s">
        <v>112</v>
      </c>
      <c r="I39" s="5" t="str">
        <f>IF(H39="","",VLOOKUP(H39,DB!A:B,2,0))</f>
        <v>Patch Panel</v>
      </c>
      <c r="J39" s="5"/>
      <c r="K39" s="6" t="s">
        <v>48</v>
      </c>
      <c r="L39" s="6" t="s">
        <v>123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124</v>
      </c>
      <c r="F40" s="5"/>
      <c r="G40" s="5"/>
      <c r="H40" s="6" t="s">
        <v>112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125</v>
      </c>
      <c r="F41" s="5"/>
      <c r="G41" s="5"/>
      <c r="H41" s="6" t="s">
        <v>112</v>
      </c>
      <c r="I41" s="5" t="str">
        <f>IF(H41="","",VLOOKUP(H41,DB!A:B,2,0))</f>
        <v>Patch Panel</v>
      </c>
      <c r="J41" s="5"/>
      <c r="K41" s="6" t="s">
        <v>41</v>
      </c>
      <c r="L41" s="6" t="s">
        <v>113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126</v>
      </c>
      <c r="F42" s="5"/>
      <c r="G42" s="5"/>
      <c r="H42" s="6" t="s">
        <v>112</v>
      </c>
      <c r="I42" s="5" t="str">
        <f>IF(H42="","",VLOOKUP(H42,DB!A:B,2,0))</f>
        <v>Patch Panel</v>
      </c>
      <c r="J42" s="5"/>
      <c r="K42" s="6" t="s">
        <v>38</v>
      </c>
      <c r="L42" s="6" t="s">
        <v>127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128</v>
      </c>
      <c r="F43" s="5"/>
      <c r="G43" s="5"/>
      <c r="H43" s="6" t="s">
        <v>112</v>
      </c>
      <c r="I43" s="5" t="str">
        <f>IF(H43="","",VLOOKUP(H43,DB!A:B,2,0))</f>
        <v>Patch Panel</v>
      </c>
      <c r="J43" s="5"/>
      <c r="K43" s="6" t="s">
        <v>35</v>
      </c>
      <c r="L43" s="6" t="s">
        <v>129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130</v>
      </c>
      <c r="F44" s="5"/>
      <c r="G44" s="5"/>
      <c r="H44" s="6" t="s">
        <v>112</v>
      </c>
      <c r="I44" s="5" t="str">
        <f>IF(H44="","",VLOOKUP(H44,DB!A:B,2,0))</f>
        <v>Patch Panel</v>
      </c>
      <c r="J44" s="5"/>
      <c r="K44" s="6" t="s">
        <v>32</v>
      </c>
      <c r="L44" s="6" t="s">
        <v>131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132</v>
      </c>
      <c r="F45" s="5"/>
      <c r="G45" s="5"/>
      <c r="H45" s="6" t="s">
        <v>112</v>
      </c>
      <c r="I45" s="5" t="str">
        <f>IF(H45="","",VLOOKUP(H45,DB!A:B,2,0))</f>
        <v>Patch Panel</v>
      </c>
      <c r="J45" s="5"/>
      <c r="K45" s="6" t="s">
        <v>29</v>
      </c>
      <c r="L45" s="6" t="s">
        <v>133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134</v>
      </c>
      <c r="F46" s="5"/>
      <c r="G46" s="5"/>
      <c r="H46" s="6" t="s">
        <v>112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135</v>
      </c>
      <c r="F47" s="5"/>
      <c r="G47" s="5"/>
      <c r="H47" s="6" t="s">
        <v>112</v>
      </c>
      <c r="I47" s="5" t="str">
        <f>IF(H47="","",VLOOKUP(H47,DB!A:B,2,0))</f>
        <v>Patch Panel</v>
      </c>
      <c r="J47" s="5"/>
      <c r="K47" s="6" t="s">
        <v>23</v>
      </c>
      <c r="L47" s="6" t="s">
        <v>136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137</v>
      </c>
      <c r="F48" s="5"/>
      <c r="G48" s="5"/>
      <c r="H48" s="6" t="s">
        <v>112</v>
      </c>
      <c r="I48" s="5" t="str">
        <f>IF(H48="","",VLOOKUP(H48,DB!A:B,2,0))</f>
        <v>Patch Panel</v>
      </c>
      <c r="J48" s="5"/>
      <c r="K48" s="6" t="s">
        <v>20</v>
      </c>
      <c r="L48" s="6" t="s">
        <v>138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139</v>
      </c>
      <c r="F49" s="5"/>
      <c r="G49" s="5"/>
      <c r="H49" s="6" t="s">
        <v>112</v>
      </c>
      <c r="I49" s="5" t="str">
        <f>IF(H49="","",VLOOKUP(H49,DB!A:B,2,0))</f>
        <v>Patch Panel</v>
      </c>
      <c r="J49" s="5"/>
      <c r="K49" s="6" t="s">
        <v>17</v>
      </c>
      <c r="L49" s="6" t="s">
        <v>140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141</v>
      </c>
      <c r="F50" s="5"/>
      <c r="G50" s="5"/>
      <c r="H50" s="6" t="s">
        <v>142</v>
      </c>
      <c r="I50" s="5" t="str">
        <f>IF(H50="","",VLOOKUP(H50,DB!A:B,2,0))</f>
        <v>openGear X</v>
      </c>
      <c r="J50" s="6">
        <v>9.0</v>
      </c>
      <c r="K50" s="6" t="s">
        <v>143</v>
      </c>
      <c r="L50" s="6" t="s">
        <v>115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144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145</v>
      </c>
      <c r="F52" s="5"/>
      <c r="G52" s="5"/>
      <c r="H52" s="6" t="s">
        <v>146</v>
      </c>
      <c r="I52" s="5" t="str">
        <f>IF(H52="","",VLOOKUP(H52,DB!A:B,2,0))</f>
        <v>GrassValley T2</v>
      </c>
      <c r="J52" s="5"/>
      <c r="K52" s="6" t="s">
        <v>17</v>
      </c>
      <c r="L52" s="6" t="s">
        <v>147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148</v>
      </c>
      <c r="F53" s="5"/>
      <c r="G53" s="5"/>
      <c r="H53" s="6" t="s">
        <v>149</v>
      </c>
      <c r="I53" s="5" t="str">
        <f>IF(H53="","",VLOOKUP(H53,DB!A:B,2,0))</f>
        <v>AJA FS2</v>
      </c>
      <c r="J53" s="5"/>
      <c r="K53" s="6" t="s">
        <v>67</v>
      </c>
      <c r="L53" s="6" t="s">
        <v>150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151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152</v>
      </c>
      <c r="F55" s="5"/>
      <c r="G55" s="5"/>
      <c r="H55" s="6" t="s">
        <v>153</v>
      </c>
      <c r="I55" s="5" t="str">
        <f>IF(H55="","",VLOOKUP(H55,DB!A:B,2,0))</f>
        <v>Thomson ViBE CP6100</v>
      </c>
      <c r="J55" s="5"/>
      <c r="K55" s="6" t="s">
        <v>17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>openGear X</v>
      </c>
      <c r="J64" s="6" t="s">
        <v>180</v>
      </c>
      <c r="K64" s="6" t="s">
        <v>105</v>
      </c>
      <c r="L64" s="6" t="s">
        <v>181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182</v>
      </c>
      <c r="F65" s="5"/>
      <c r="G65" s="5"/>
      <c r="H65" s="6" t="s">
        <v>183</v>
      </c>
      <c r="I65" s="5" t="str">
        <f>IF(H65="","",VLOOKUP(H65,DB!A:B,2,0))</f>
        <v>openGear X</v>
      </c>
      <c r="J65" s="6">
        <v>5.0</v>
      </c>
      <c r="K65" s="6" t="s">
        <v>105</v>
      </c>
      <c r="L65" s="6" t="s">
        <v>184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185</v>
      </c>
      <c r="B66" s="6" t="str">
        <f>IF(A66="","",VLOOKUP(A66,DB!A:B,2,0))</f>
        <v>Player A</v>
      </c>
      <c r="C66" s="6">
        <v>1.0</v>
      </c>
      <c r="D66" s="6" t="s">
        <v>186</v>
      </c>
      <c r="E66" s="6" t="s">
        <v>187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188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189</v>
      </c>
      <c r="B67" s="6" t="str">
        <f>IF(A67="","",VLOOKUP(A67,DB!A:B,2,0))</f>
        <v>Player B</v>
      </c>
      <c r="C67" s="6">
        <v>1.0</v>
      </c>
      <c r="D67" s="6" t="s">
        <v>186</v>
      </c>
      <c r="E67" s="6" t="s">
        <v>187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190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191</v>
      </c>
      <c r="B68" s="7" t="str">
        <f>IF(A68="","",VLOOKUP(A68,DB!A:B,2,0))</f>
        <v>Player C</v>
      </c>
      <c r="C68" s="8">
        <v>1.0</v>
      </c>
      <c r="D68" s="7" t="s">
        <v>186</v>
      </c>
      <c r="E68" s="7" t="s">
        <v>187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192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191</v>
      </c>
      <c r="B69" s="9" t="str">
        <f>IF(A69="","",VLOOKUP(A69,DB!A:B,2,0))</f>
        <v>Player C</v>
      </c>
      <c r="C69" s="10">
        <v>2.0</v>
      </c>
      <c r="D69" s="9" t="s">
        <v>186</v>
      </c>
      <c r="E69" s="9" t="s">
        <v>187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193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194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195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196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149</v>
      </c>
      <c r="B72" s="7" t="str">
        <f>IF(A72="","",VLOOKUP(A72,DB!A:B,2,0))</f>
        <v>AJA FS2</v>
      </c>
      <c r="C72" s="7"/>
      <c r="D72" s="7"/>
      <c r="E72" s="11" t="s">
        <v>197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198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199</v>
      </c>
      <c r="B73" s="9" t="str">
        <f>IF(A73="","",VLOOKUP(A73,DB!A:B,2,0))</f>
        <v>Telairity BE-IRD 5503</v>
      </c>
      <c r="C73" s="9"/>
      <c r="D73" s="9"/>
      <c r="E73" s="9" t="s">
        <v>200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201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2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179</v>
      </c>
      <c r="B75" s="6" t="str">
        <f>IF(A75="","",VLOOKUP(A75,DB!A:B,2,0))</f>
        <v>openGear X</v>
      </c>
      <c r="C75" s="6">
        <v>2.0</v>
      </c>
      <c r="D75" s="6" t="s">
        <v>202</v>
      </c>
      <c r="E75" s="6" t="s">
        <v>203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204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179</v>
      </c>
      <c r="B76" s="6" t="str">
        <f>IF(A76="","",VLOOKUP(A76,DB!A:B,2,0))</f>
        <v>openGear X</v>
      </c>
      <c r="C76" s="6">
        <v>5.0</v>
      </c>
      <c r="D76" s="6" t="s">
        <v>202</v>
      </c>
      <c r="E76" s="6" t="s">
        <v>203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205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206</v>
      </c>
      <c r="B77" s="6" t="str">
        <f>IF(A77="","",VLOOKUP(A77,DB!A:B,2,0))</f>
        <v>BM OF to SDI</v>
      </c>
      <c r="C77" s="5"/>
      <c r="D77" s="5"/>
      <c r="E77" s="6" t="s">
        <v>203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207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179</v>
      </c>
      <c r="B78" s="6" t="str">
        <f>IF(A78="","",VLOOKUP(A78,DB!A:B,2,0))</f>
        <v>openGear X</v>
      </c>
      <c r="C78" s="6">
        <v>6.0</v>
      </c>
      <c r="D78" s="6" t="s">
        <v>202</v>
      </c>
      <c r="E78" s="6" t="s">
        <v>203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208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179</v>
      </c>
      <c r="B79" s="6" t="str">
        <f>IF(A79="","",VLOOKUP(A79,DB!A:B,2,0))</f>
        <v>openGear X</v>
      </c>
      <c r="C79" s="6">
        <v>4.0</v>
      </c>
      <c r="D79" s="6" t="s">
        <v>202</v>
      </c>
      <c r="E79" s="6" t="s">
        <v>203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209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6" t="s">
        <v>210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179</v>
      </c>
      <c r="B81" s="6" t="str">
        <f>IF(A81="","",VLOOKUP(A81,DB!A:B,2,0))</f>
        <v>openGear X</v>
      </c>
      <c r="C81" s="6">
        <v>3.0</v>
      </c>
      <c r="D81" s="6" t="s">
        <v>202</v>
      </c>
      <c r="E81" s="6" t="s">
        <v>203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211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212</v>
      </c>
      <c r="B82" s="6" t="str">
        <f>IF(A82="","",VLOOKUP(A82,DB!A:B,2,0))</f>
        <v>Telairity BE-IRD 5501</v>
      </c>
      <c r="C82" s="5"/>
      <c r="D82" s="5"/>
      <c r="E82" s="6" t="s">
        <v>197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213</v>
      </c>
      <c r="L82" s="6" t="s">
        <v>214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215</v>
      </c>
      <c r="B83" s="6" t="str">
        <f>IF(A83="","",VLOOKUP(A83,DB!A:B,2,0))</f>
        <v>Wellav UMH160R</v>
      </c>
      <c r="C83" s="5"/>
      <c r="D83" s="5"/>
      <c r="E83" s="6" t="s">
        <v>197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216</v>
      </c>
      <c r="L83" s="6" t="s">
        <v>217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218</v>
      </c>
      <c r="B84" s="6" t="str">
        <f>IF(A84="","",VLOOKUP(A84,DB!A:B,2,0))</f>
        <v>Wellav UMH160R</v>
      </c>
      <c r="C84" s="5"/>
      <c r="D84" s="5"/>
      <c r="E84" s="6" t="s">
        <v>197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219</v>
      </c>
      <c r="L84" s="6" t="s">
        <v>220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221</v>
      </c>
      <c r="B85" s="6" t="str">
        <f>IF(A85="","",VLOOKUP(A85,DB!A:B,2,0))</f>
        <v>AJA FS2</v>
      </c>
      <c r="C85" s="5"/>
      <c r="D85" s="5"/>
      <c r="E85" s="6" t="s">
        <v>197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222</v>
      </c>
      <c r="L85" s="6" t="s">
        <v>223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224</v>
      </c>
      <c r="B86" s="6" t="str">
        <f>IF(A86="","",VLOOKUP(A86,DB!A:B,2,0))</f>
        <v>CRD1000D</v>
      </c>
      <c r="C86" s="5"/>
      <c r="D86" s="5"/>
      <c r="E86" s="6" t="s">
        <v>225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226</v>
      </c>
      <c r="L86" s="6" t="s">
        <v>227</v>
      </c>
      <c r="M86" s="5"/>
      <c r="N86" s="6" t="s">
        <v>228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146</v>
      </c>
      <c r="B87" s="6" t="str">
        <f>IF(A87="","",VLOOKUP(A87,DB!A:B,2,0))</f>
        <v>GrassValley T2</v>
      </c>
      <c r="C87" s="5"/>
      <c r="D87" s="5"/>
      <c r="E87" s="6" t="s">
        <v>187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229</v>
      </c>
      <c r="L87" s="6" t="s">
        <v>230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231</v>
      </c>
      <c r="B88" s="6" t="str">
        <f>IF(A88="","",VLOOKUP(A88,DB!A:B,2,0))</f>
        <v>Videocasetera</v>
      </c>
      <c r="C88" s="5"/>
      <c r="D88" s="5"/>
      <c r="E88" s="6" t="s">
        <v>232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233</v>
      </c>
      <c r="L88" s="6" t="s">
        <v>234</v>
      </c>
      <c r="M88" s="5"/>
      <c r="N88" s="6" t="s">
        <v>235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236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180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237</v>
      </c>
      <c r="L90" s="6" t="s">
        <v>180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142</v>
      </c>
      <c r="B91" s="6" t="str">
        <f>IF(A91="","",VLOOKUP(A91,DB!A:B,2,0))</f>
        <v>openGear X</v>
      </c>
      <c r="C91" s="6">
        <v>1.0</v>
      </c>
      <c r="D91" s="6" t="s">
        <v>238</v>
      </c>
      <c r="E91" s="6" t="s">
        <v>15</v>
      </c>
      <c r="F91" s="6" t="s">
        <v>239</v>
      </c>
      <c r="G91" s="6" t="s">
        <v>240</v>
      </c>
      <c r="H91" s="6" t="s">
        <v>14</v>
      </c>
      <c r="I91" s="5" t="str">
        <f>IF(H91="","",VLOOKUP(H91,DB!A:B,2,0))</f>
        <v>AJA KUMO 6464</v>
      </c>
      <c r="J91" s="5"/>
      <c r="K91" s="6" t="s">
        <v>241</v>
      </c>
      <c r="L91" s="6" t="s">
        <v>242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142</v>
      </c>
      <c r="B92" s="6" t="str">
        <f>IF(A92="","",VLOOKUP(A92,DB!A:B,2,0))</f>
        <v>openGear X</v>
      </c>
      <c r="C92" s="6">
        <v>2.0</v>
      </c>
      <c r="D92" s="6" t="s">
        <v>238</v>
      </c>
      <c r="E92" s="6" t="s">
        <v>15</v>
      </c>
      <c r="F92" s="6" t="s">
        <v>239</v>
      </c>
      <c r="G92" s="6" t="s">
        <v>240</v>
      </c>
      <c r="H92" s="6" t="s">
        <v>14</v>
      </c>
      <c r="I92" s="5" t="str">
        <f>IF(H92="","",VLOOKUP(H92,DB!A:B,2,0))</f>
        <v>AJA KUMO 6464</v>
      </c>
      <c r="J92" s="5"/>
      <c r="K92" s="6" t="s">
        <v>243</v>
      </c>
      <c r="L92" s="6" t="s">
        <v>244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142</v>
      </c>
      <c r="B93" s="6" t="str">
        <f>IF(A93="","",VLOOKUP(A93,DB!A:B,2,0))</f>
        <v>openGear X</v>
      </c>
      <c r="C93" s="6">
        <v>3.0</v>
      </c>
      <c r="D93" s="6" t="s">
        <v>238</v>
      </c>
      <c r="E93" s="6" t="s">
        <v>15</v>
      </c>
      <c r="F93" s="6" t="s">
        <v>239</v>
      </c>
      <c r="G93" s="6" t="s">
        <v>240</v>
      </c>
      <c r="H93" s="6" t="s">
        <v>14</v>
      </c>
      <c r="I93" s="5" t="str">
        <f>IF(H93="","",VLOOKUP(H93,DB!A:B,2,0))</f>
        <v>AJA KUMO 6464</v>
      </c>
      <c r="J93" s="5"/>
      <c r="K93" s="6" t="s">
        <v>245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100</v>
      </c>
      <c r="B94" s="6" t="str">
        <f>IF(A94="","",VLOOKUP(A94,DB!A:B,2,0))</f>
        <v>PC Rack</v>
      </c>
      <c r="C94" s="6">
        <v>1.0</v>
      </c>
      <c r="D94" s="6" t="s">
        <v>186</v>
      </c>
      <c r="E94" s="6" t="s">
        <v>246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247</v>
      </c>
      <c r="L94" s="6" t="s">
        <v>248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249</v>
      </c>
      <c r="B95" s="6" t="str">
        <f>IF(A95="","",VLOOKUP(A95,DB!A:B,2,0))</f>
        <v>Blackmagic Multiview 4</v>
      </c>
      <c r="C95" s="5"/>
      <c r="D95" s="5"/>
      <c r="E95" s="6" t="s">
        <v>203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250</v>
      </c>
      <c r="L95" s="6" t="s">
        <v>251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104</v>
      </c>
      <c r="B96" s="6" t="str">
        <f>IF(A96="","",VLOOKUP(A96,DB!A:B,2,0))</f>
        <v>Datavideo TC-200</v>
      </c>
      <c r="C96" s="5"/>
      <c r="D96" s="5"/>
      <c r="E96" s="6" t="s">
        <v>203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252</v>
      </c>
      <c r="L96" s="6" t="s">
        <v>253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254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255</v>
      </c>
      <c r="B98" s="6" t="str">
        <f>IF(A98="","",VLOOKUP(A98,DB!A:B,2,0))</f>
        <v>Apple TV</v>
      </c>
      <c r="C98" s="5"/>
      <c r="D98" s="5"/>
      <c r="E98" s="6" t="s">
        <v>256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257</v>
      </c>
      <c r="L98" s="6" t="s">
        <v>258</v>
      </c>
      <c r="M98" s="5"/>
      <c r="N98" s="6" t="s">
        <v>259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260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239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261</v>
      </c>
      <c r="L99" s="6" t="s">
        <v>262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260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239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263</v>
      </c>
      <c r="L100" s="6" t="s">
        <v>264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260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239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265</v>
      </c>
      <c r="L101" s="6" t="s">
        <v>266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260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239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267</v>
      </c>
      <c r="L102" s="6" t="s">
        <v>268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260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239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269</v>
      </c>
      <c r="L103" s="6" t="s">
        <v>270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260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239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271</v>
      </c>
      <c r="L104" s="6" t="s">
        <v>272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260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239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273</v>
      </c>
      <c r="L105" s="6" t="s">
        <v>274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275</v>
      </c>
      <c r="B106" s="6" t="str">
        <f>IF(A106="","",VLOOKUP(A106,DB!A:B,2,0))</f>
        <v>Sony HXCU-100 Cam 1</v>
      </c>
      <c r="C106" s="5"/>
      <c r="D106" s="5"/>
      <c r="E106" s="6" t="s">
        <v>197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276</v>
      </c>
      <c r="L106" s="6" t="s">
        <v>277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278</v>
      </c>
      <c r="B107" s="6" t="str">
        <f>IF(A107="","",VLOOKUP(A107,DB!A:B,2,0))</f>
        <v>Sony HXCU-100 Cam 2</v>
      </c>
      <c r="C107" s="5"/>
      <c r="D107" s="5"/>
      <c r="E107" s="6" t="s">
        <v>197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279</v>
      </c>
      <c r="L107" s="6" t="s">
        <v>280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281</v>
      </c>
      <c r="B108" s="6" t="str">
        <f>IF(A108="","",VLOOKUP(A108,DB!A:B,2,0))</f>
        <v>Sony HXCU-100 Cam 3</v>
      </c>
      <c r="C108" s="5"/>
      <c r="D108" s="5"/>
      <c r="E108" s="6" t="s">
        <v>197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282</v>
      </c>
      <c r="L108" s="6" t="s">
        <v>283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284</v>
      </c>
      <c r="B109" s="6" t="str">
        <f>IF(A109="","",VLOOKUP(A109,DB!A:B,2,0))</f>
        <v>Sony HXCU-100 Cam 4</v>
      </c>
      <c r="C109" s="5"/>
      <c r="D109" s="5"/>
      <c r="E109" s="6" t="s">
        <v>197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285</v>
      </c>
      <c r="L109" s="6" t="s">
        <v>286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287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288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289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290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180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291</v>
      </c>
      <c r="L114" s="6" t="s">
        <v>292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293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294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295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100</v>
      </c>
      <c r="B118" s="6" t="str">
        <f>IF(A118="","",VLOOKUP(A118,DB!A:B,2,0))</f>
        <v>PC Rack</v>
      </c>
      <c r="C118" s="6">
        <v>1.0</v>
      </c>
      <c r="D118" s="6" t="s">
        <v>186</v>
      </c>
      <c r="E118" s="6" t="s">
        <v>187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296</v>
      </c>
      <c r="L118" s="6" t="s">
        <v>297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180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298</v>
      </c>
      <c r="L119" s="6" t="s">
        <v>299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186</v>
      </c>
      <c r="E120" s="6" t="s">
        <v>300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301</v>
      </c>
      <c r="L120" s="6" t="s">
        <v>302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303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197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304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180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305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306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307</v>
      </c>
      <c r="L124" s="6" t="s">
        <v>308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309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310</v>
      </c>
      <c r="L125" s="6" t="s">
        <v>311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312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183</v>
      </c>
      <c r="B127" s="6" t="str">
        <f>IF(A127="","",VLOOKUP(A127,DB!A:B,2,0))</f>
        <v>openGear X</v>
      </c>
      <c r="C127" s="6">
        <v>6.0</v>
      </c>
      <c r="D127" s="6" t="s">
        <v>313</v>
      </c>
      <c r="E127" s="6" t="s">
        <v>314</v>
      </c>
      <c r="F127" s="6" t="s">
        <v>239</v>
      </c>
      <c r="G127" s="6" t="s">
        <v>315</v>
      </c>
      <c r="H127" s="6" t="s">
        <v>14</v>
      </c>
      <c r="I127" s="5" t="str">
        <f>IF(H127="","",VLOOKUP(H127,DB!A:B,2,0))</f>
        <v>AJA KUMO 6464</v>
      </c>
      <c r="J127" s="5"/>
      <c r="K127" s="6" t="s">
        <v>316</v>
      </c>
      <c r="L127" s="6" t="s">
        <v>317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203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318</v>
      </c>
      <c r="L128" s="6" t="s">
        <v>319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320</v>
      </c>
      <c r="L129" s="6" t="s">
        <v>321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185</v>
      </c>
      <c r="B130" s="6" t="str">
        <f>IF(A130="","",VLOOKUP(A130,DB!A:B,2,0))</f>
        <v>Player A</v>
      </c>
      <c r="C130" s="6">
        <v>2.0</v>
      </c>
      <c r="D130" s="6" t="s">
        <v>186</v>
      </c>
      <c r="E130" s="6" t="s">
        <v>187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189</v>
      </c>
      <c r="B131" s="6" t="str">
        <f>IF(A131="","",VLOOKUP(A131,DB!A:B,2,0))</f>
        <v>Player B</v>
      </c>
      <c r="C131" s="6">
        <v>2.0</v>
      </c>
      <c r="D131" s="6" t="s">
        <v>186</v>
      </c>
      <c r="E131" s="6" t="s">
        <v>187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188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322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323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324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239</v>
      </c>
      <c r="G136" s="6" t="s">
        <v>54</v>
      </c>
      <c r="H136" s="6" t="s">
        <v>142</v>
      </c>
      <c r="I136" s="5" t="str">
        <f>IF(H136="","",VLOOKUP(H136,DB!A:B,2,0))</f>
        <v>openGear X</v>
      </c>
      <c r="J136" s="6">
        <v>4.0</v>
      </c>
      <c r="K136" s="6" t="s">
        <v>105</v>
      </c>
      <c r="L136" s="6" t="s">
        <v>325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239</v>
      </c>
      <c r="G137" s="6" t="s">
        <v>57</v>
      </c>
      <c r="H137" s="6" t="s">
        <v>142</v>
      </c>
      <c r="I137" s="5" t="str">
        <f>IF(H137="","",VLOOKUP(H137,DB!A:B,2,0))</f>
        <v>openGear X</v>
      </c>
      <c r="J137" s="6">
        <v>5.0</v>
      </c>
      <c r="K137" s="6" t="s">
        <v>105</v>
      </c>
      <c r="L137" s="6" t="s">
        <v>326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239</v>
      </c>
      <c r="G138" s="6" t="s">
        <v>60</v>
      </c>
      <c r="H138" s="6" t="s">
        <v>142</v>
      </c>
      <c r="I138" s="5" t="str">
        <f>IF(H138="","",VLOOKUP(H138,DB!A:B,2,0))</f>
        <v>openGear X</v>
      </c>
      <c r="J138" s="6">
        <v>6.0</v>
      </c>
      <c r="K138" s="6" t="s">
        <v>105</v>
      </c>
      <c r="L138" s="6" t="s">
        <v>327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239</v>
      </c>
      <c r="G139" s="6" t="s">
        <v>63</v>
      </c>
      <c r="H139" s="6" t="s">
        <v>142</v>
      </c>
      <c r="I139" s="5" t="str">
        <f>IF(H139="","",VLOOKUP(H139,DB!A:B,2,0))</f>
        <v>openGear X</v>
      </c>
      <c r="J139" s="6">
        <v>7.0</v>
      </c>
      <c r="K139" s="6" t="s">
        <v>105</v>
      </c>
      <c r="L139" s="6" t="s">
        <v>328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329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330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331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332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211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333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334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335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239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336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239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239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239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239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239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239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239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239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239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260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239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260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239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260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239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260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239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260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239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260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239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260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239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260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239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260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239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112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239</v>
      </c>
      <c r="G168" s="6" t="s">
        <v>17</v>
      </c>
      <c r="H168" s="6" t="s">
        <v>337</v>
      </c>
      <c r="I168" s="5" t="str">
        <f>IF(H168="","",VLOOKUP(H168,DB!A:B,2,0))</f>
        <v>Monitor Pvw TX</v>
      </c>
      <c r="J168" s="5"/>
      <c r="K168" s="6" t="s">
        <v>240</v>
      </c>
      <c r="L168" s="5"/>
      <c r="M168" s="6" t="s">
        <v>338</v>
      </c>
      <c r="N168" s="6" t="s">
        <v>339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112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239</v>
      </c>
      <c r="G169" s="6" t="s">
        <v>20</v>
      </c>
      <c r="H169" s="6" t="s">
        <v>180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138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112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239</v>
      </c>
      <c r="G170" s="6" t="s">
        <v>23</v>
      </c>
      <c r="H170" s="6" t="s">
        <v>340</v>
      </c>
      <c r="I170" s="5" t="str">
        <f>IF(H170="","",VLOOKUP(H170,DB!A:B,2,0))</f>
        <v>Monitor Linea TX</v>
      </c>
      <c r="J170" s="5"/>
      <c r="K170" s="6" t="s">
        <v>240</v>
      </c>
      <c r="L170" s="5"/>
      <c r="M170" s="6" t="s">
        <v>341</v>
      </c>
      <c r="N170" s="6" t="s">
        <v>339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112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239</v>
      </c>
      <c r="G171" s="6" t="s">
        <v>26</v>
      </c>
      <c r="H171" s="6" t="s">
        <v>342</v>
      </c>
      <c r="I171" s="5" t="str">
        <f>IF(H171="","",VLOOKUP(H171,DB!A:B,2,0))</f>
        <v>Monitor MV TX</v>
      </c>
      <c r="J171" s="5"/>
      <c r="K171" s="6" t="s">
        <v>240</v>
      </c>
      <c r="L171" s="5"/>
      <c r="M171" s="6" t="s">
        <v>343</v>
      </c>
      <c r="N171" s="6" t="s">
        <v>339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112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239</v>
      </c>
      <c r="G172" s="6" t="s">
        <v>29</v>
      </c>
      <c r="H172" s="6" t="s">
        <v>344</v>
      </c>
      <c r="I172" s="5" t="str">
        <f>IF(H172="","",VLOOKUP(H172,DB!A:B,2,0))</f>
        <v>Monitor Sonidista</v>
      </c>
      <c r="J172" s="5"/>
      <c r="K172" s="6" t="s">
        <v>240</v>
      </c>
      <c r="L172" s="5"/>
      <c r="M172" s="5"/>
      <c r="N172" s="6" t="s">
        <v>339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112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239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112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239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112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239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112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239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112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239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112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239</v>
      </c>
      <c r="G178" s="6" t="s">
        <v>48</v>
      </c>
      <c r="H178" s="6" t="s">
        <v>345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123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112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239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112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239</v>
      </c>
      <c r="G180" s="6" t="s">
        <v>54</v>
      </c>
      <c r="H180" s="6" t="s">
        <v>346</v>
      </c>
      <c r="I180" s="5" t="str">
        <f>IF(H180="","",VLOOKUP(H180,DB!A:B,2,0))</f>
        <v>Monitor Titulos</v>
      </c>
      <c r="J180" s="5"/>
      <c r="K180" s="6" t="s">
        <v>240</v>
      </c>
      <c r="L180" s="5"/>
      <c r="M180" s="5"/>
      <c r="N180" s="6" t="s">
        <v>339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112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239</v>
      </c>
      <c r="G181" s="6" t="s">
        <v>57</v>
      </c>
      <c r="H181" s="6" t="s">
        <v>347</v>
      </c>
      <c r="I181" s="5" t="str">
        <f>IF(H181="","",VLOOKUP(H181,DB!A:B,2,0))</f>
        <v>Monitor Iluminador</v>
      </c>
      <c r="J181" s="5"/>
      <c r="K181" s="6" t="s">
        <v>240</v>
      </c>
      <c r="L181" s="5"/>
      <c r="M181" s="5"/>
      <c r="N181" s="6" t="s">
        <v>339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112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239</v>
      </c>
      <c r="G182" s="6" t="s">
        <v>60</v>
      </c>
      <c r="H182" s="6" t="s">
        <v>348</v>
      </c>
      <c r="I182" s="5" t="str">
        <f>IF(H182="","",VLOOKUP(H182,DB!A:B,2,0))</f>
        <v>Monitor Piso</v>
      </c>
      <c r="J182" s="5"/>
      <c r="K182" s="6" t="s">
        <v>240</v>
      </c>
      <c r="L182" s="5"/>
      <c r="M182" s="5"/>
      <c r="N182" s="6" t="s">
        <v>339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112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239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200</v>
      </c>
      <c r="F184" s="6" t="s">
        <v>239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221</v>
      </c>
      <c r="B185" s="6" t="str">
        <f>IF(A185="","",VLOOKUP(A185,DB!A:B,2,0))</f>
        <v>AJA FS2</v>
      </c>
      <c r="C185" s="5"/>
      <c r="D185" s="5"/>
      <c r="E185" s="6" t="s">
        <v>200</v>
      </c>
      <c r="F185" s="5"/>
      <c r="G185" s="5"/>
      <c r="H185" s="6" t="s">
        <v>183</v>
      </c>
      <c r="I185" s="5" t="str">
        <f>IF(H185="","",VLOOKUP(H185,DB!A:B,2,0))</f>
        <v>openGear X</v>
      </c>
      <c r="J185" s="6">
        <v>6.0</v>
      </c>
      <c r="K185" s="6" t="s">
        <v>105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142</v>
      </c>
      <c r="B186" s="6" t="str">
        <f>IF(A186="","",VLOOKUP(A186,DB!A:B,2,0))</f>
        <v>openGear X</v>
      </c>
      <c r="C186" s="6">
        <v>4.0</v>
      </c>
      <c r="D186" s="6" t="s">
        <v>349</v>
      </c>
      <c r="E186" s="6" t="s">
        <v>203</v>
      </c>
      <c r="F186" s="6" t="s">
        <v>239</v>
      </c>
      <c r="G186" s="6" t="s">
        <v>105</v>
      </c>
      <c r="H186" s="6" t="s">
        <v>89</v>
      </c>
      <c r="I186" s="5" t="str">
        <f>IF(H186="","",VLOOKUP(H186,DB!A:B,2,0))</f>
        <v>FOR A HVS-390HS</v>
      </c>
      <c r="J186" s="5"/>
      <c r="K186" s="6" t="s">
        <v>35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142</v>
      </c>
      <c r="B187" s="6" t="str">
        <f>IF(A187="","",VLOOKUP(A187,DB!A:B,2,0))</f>
        <v>openGear X</v>
      </c>
      <c r="C187" s="6">
        <v>4.0</v>
      </c>
      <c r="D187" s="6" t="s">
        <v>349</v>
      </c>
      <c r="E187" s="6" t="s">
        <v>350</v>
      </c>
      <c r="F187" s="6" t="s">
        <v>239</v>
      </c>
      <c r="G187" s="6" t="s">
        <v>105</v>
      </c>
      <c r="H187" s="6" t="s">
        <v>351</v>
      </c>
      <c r="I187" s="5" t="str">
        <f>IF(H187="","",VLOOKUP(H187,DB!A:B,2,0))</f>
        <v>Yamaha QL5</v>
      </c>
      <c r="J187" s="5"/>
      <c r="K187" s="6" t="s">
        <v>51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142</v>
      </c>
      <c r="B188" s="6" t="str">
        <f>IF(A188="","",VLOOKUP(A188,DB!A:B,2,0))</f>
        <v>openGear X</v>
      </c>
      <c r="C188" s="6">
        <v>4.0</v>
      </c>
      <c r="D188" s="6" t="s">
        <v>349</v>
      </c>
      <c r="E188" s="6" t="s">
        <v>352</v>
      </c>
      <c r="F188" s="6" t="s">
        <v>239</v>
      </c>
      <c r="G188" s="6" t="s">
        <v>105</v>
      </c>
      <c r="H188" s="6" t="s">
        <v>351</v>
      </c>
      <c r="I188" s="5" t="str">
        <f>IF(H188="","",VLOOKUP(H188,DB!A:B,2,0))</f>
        <v>Yamaha QL5</v>
      </c>
      <c r="J188" s="5"/>
      <c r="K188" s="6" t="s">
        <v>54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142</v>
      </c>
      <c r="B189" s="6" t="str">
        <f>IF(A189="","",VLOOKUP(A189,DB!A:B,2,0))</f>
        <v>openGear X</v>
      </c>
      <c r="C189" s="6">
        <v>5.0</v>
      </c>
      <c r="D189" s="6" t="s">
        <v>349</v>
      </c>
      <c r="E189" s="6" t="s">
        <v>203</v>
      </c>
      <c r="F189" s="6" t="s">
        <v>239</v>
      </c>
      <c r="G189" s="6" t="s">
        <v>105</v>
      </c>
      <c r="H189" s="6" t="s">
        <v>89</v>
      </c>
      <c r="I189" s="5" t="str">
        <f>IF(H189="","",VLOOKUP(H189,DB!A:B,2,0))</f>
        <v>FOR A HVS-390HS</v>
      </c>
      <c r="J189" s="5"/>
      <c r="K189" s="6" t="s">
        <v>38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142</v>
      </c>
      <c r="B190" s="6" t="str">
        <f>IF(A190="","",VLOOKUP(A190,DB!A:B,2,0))</f>
        <v>openGear X</v>
      </c>
      <c r="C190" s="6">
        <v>5.0</v>
      </c>
      <c r="D190" s="6" t="s">
        <v>349</v>
      </c>
      <c r="E190" s="6" t="s">
        <v>350</v>
      </c>
      <c r="F190" s="6" t="s">
        <v>239</v>
      </c>
      <c r="G190" s="6" t="s">
        <v>105</v>
      </c>
      <c r="H190" s="6" t="s">
        <v>351</v>
      </c>
      <c r="I190" s="5" t="str">
        <f>IF(H190="","",VLOOKUP(H190,DB!A:B,2,0))</f>
        <v>Yamaha QL5</v>
      </c>
      <c r="J190" s="5"/>
      <c r="K190" s="6" t="s">
        <v>57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142</v>
      </c>
      <c r="B191" s="6" t="str">
        <f>IF(A191="","",VLOOKUP(A191,DB!A:B,2,0))</f>
        <v>openGear X</v>
      </c>
      <c r="C191" s="6">
        <v>5.0</v>
      </c>
      <c r="D191" s="6" t="s">
        <v>349</v>
      </c>
      <c r="E191" s="6" t="s">
        <v>352</v>
      </c>
      <c r="F191" s="6" t="s">
        <v>239</v>
      </c>
      <c r="G191" s="6" t="s">
        <v>105</v>
      </c>
      <c r="H191" s="6" t="s">
        <v>87</v>
      </c>
      <c r="I191" s="5" t="str">
        <f>IF(H191="","",VLOOKUP(H191,DB!A:B,2,0))</f>
        <v/>
      </c>
      <c r="J191" s="5"/>
      <c r="K191" s="6" t="s">
        <v>87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142</v>
      </c>
      <c r="B192" s="6" t="str">
        <f>IF(A192="","",VLOOKUP(A192,DB!A:B,2,0))</f>
        <v>openGear X</v>
      </c>
      <c r="C192" s="6">
        <v>6.0</v>
      </c>
      <c r="D192" s="6" t="s">
        <v>349</v>
      </c>
      <c r="E192" s="6" t="s">
        <v>203</v>
      </c>
      <c r="F192" s="6" t="s">
        <v>239</v>
      </c>
      <c r="G192" s="6" t="s">
        <v>105</v>
      </c>
      <c r="H192" s="6" t="s">
        <v>89</v>
      </c>
      <c r="I192" s="5" t="str">
        <f>IF(H192="","",VLOOKUP(H192,DB!A:B,2,0))</f>
        <v>FOR A HVS-390HS</v>
      </c>
      <c r="J192" s="5"/>
      <c r="K192" s="6" t="s">
        <v>41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142</v>
      </c>
      <c r="B193" s="6" t="str">
        <f>IF(A193="","",VLOOKUP(A193,DB!A:B,2,0))</f>
        <v>openGear X</v>
      </c>
      <c r="C193" s="6">
        <v>6.0</v>
      </c>
      <c r="D193" s="6" t="s">
        <v>349</v>
      </c>
      <c r="E193" s="6" t="s">
        <v>350</v>
      </c>
      <c r="F193" s="6" t="s">
        <v>239</v>
      </c>
      <c r="G193" s="6" t="s">
        <v>105</v>
      </c>
      <c r="H193" s="6" t="s">
        <v>351</v>
      </c>
      <c r="I193" s="5" t="str">
        <f>IF(H193="","",VLOOKUP(H193,DB!A:B,2,0))</f>
        <v>Yamaha QL5</v>
      </c>
      <c r="J193" s="5"/>
      <c r="K193" s="6" t="s">
        <v>60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142</v>
      </c>
      <c r="B194" s="6" t="str">
        <f>IF(A194="","",VLOOKUP(A194,DB!A:B,2,0))</f>
        <v>openGear X</v>
      </c>
      <c r="C194" s="6">
        <v>6.0</v>
      </c>
      <c r="D194" s="6" t="s">
        <v>349</v>
      </c>
      <c r="E194" s="6" t="s">
        <v>352</v>
      </c>
      <c r="F194" s="6" t="s">
        <v>239</v>
      </c>
      <c r="G194" s="6" t="s">
        <v>105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142</v>
      </c>
      <c r="B195" s="6" t="str">
        <f>IF(A195="","",VLOOKUP(A195,DB!A:B,2,0))</f>
        <v>openGear X</v>
      </c>
      <c r="C195" s="6">
        <v>7.0</v>
      </c>
      <c r="D195" s="6" t="s">
        <v>349</v>
      </c>
      <c r="E195" s="6" t="s">
        <v>203</v>
      </c>
      <c r="F195" s="6" t="s">
        <v>239</v>
      </c>
      <c r="G195" s="6" t="s">
        <v>105</v>
      </c>
      <c r="H195" s="6" t="s">
        <v>89</v>
      </c>
      <c r="I195" s="5" t="str">
        <f>IF(H195="","",VLOOKUP(H195,DB!A:B,2,0))</f>
        <v>FOR A HVS-390HS</v>
      </c>
      <c r="J195" s="5"/>
      <c r="K195" s="6" t="s">
        <v>44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142</v>
      </c>
      <c r="B196" s="6" t="str">
        <f>IF(A196="","",VLOOKUP(A196,DB!A:B,2,0))</f>
        <v>openGear X</v>
      </c>
      <c r="C196" s="6">
        <v>7.0</v>
      </c>
      <c r="D196" s="6" t="s">
        <v>349</v>
      </c>
      <c r="E196" s="6" t="s">
        <v>350</v>
      </c>
      <c r="F196" s="6" t="s">
        <v>239</v>
      </c>
      <c r="G196" s="6" t="s">
        <v>105</v>
      </c>
      <c r="H196" s="6" t="s">
        <v>351</v>
      </c>
      <c r="I196" s="5" t="str">
        <f>IF(H196="","",VLOOKUP(H196,DB!A:B,2,0))</f>
        <v>Yamaha QL5</v>
      </c>
      <c r="J196" s="5"/>
      <c r="K196" s="6" t="s">
        <v>63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142</v>
      </c>
      <c r="B197" s="6" t="str">
        <f>IF(A197="","",VLOOKUP(A197,DB!A:B,2,0))</f>
        <v>openGear X</v>
      </c>
      <c r="C197" s="6">
        <v>7.0</v>
      </c>
      <c r="D197" s="6" t="s">
        <v>349</v>
      </c>
      <c r="E197" s="6" t="s">
        <v>352</v>
      </c>
      <c r="F197" s="6" t="s">
        <v>239</v>
      </c>
      <c r="G197" s="6" t="s">
        <v>105</v>
      </c>
      <c r="H197" s="6" t="s">
        <v>87</v>
      </c>
      <c r="I197" s="5" t="str">
        <f>IF(H197="","",VLOOKUP(H197,DB!A:B,2,0))</f>
        <v/>
      </c>
      <c r="J197" s="5"/>
      <c r="K197" s="6" t="s">
        <v>87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142</v>
      </c>
      <c r="B198" s="6" t="str">
        <f>IF(A198="","",VLOOKUP(A198,DB!A:B,2,0))</f>
        <v>openGear X</v>
      </c>
      <c r="C198" s="6">
        <v>8.0</v>
      </c>
      <c r="D198" s="6" t="s">
        <v>353</v>
      </c>
      <c r="E198" s="6" t="s">
        <v>203</v>
      </c>
      <c r="F198" s="6" t="s">
        <v>239</v>
      </c>
      <c r="G198" s="6" t="s">
        <v>105</v>
      </c>
      <c r="H198" s="6" t="s">
        <v>87</v>
      </c>
      <c r="I198" s="5" t="str">
        <f>IF(H198="","",VLOOKUP(H198,DB!A:B,2,0))</f>
        <v/>
      </c>
      <c r="J198" s="5"/>
      <c r="K198" s="6" t="s">
        <v>87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142</v>
      </c>
      <c r="B199" s="6" t="str">
        <f>IF(A199="","",VLOOKUP(A199,DB!A:B,2,0))</f>
        <v>openGear X</v>
      </c>
      <c r="C199" s="6">
        <v>8.0</v>
      </c>
      <c r="D199" s="6" t="s">
        <v>349</v>
      </c>
      <c r="E199" s="6" t="s">
        <v>350</v>
      </c>
      <c r="F199" s="6" t="s">
        <v>239</v>
      </c>
      <c r="G199" s="6" t="s">
        <v>105</v>
      </c>
      <c r="H199" s="6" t="s">
        <v>87</v>
      </c>
      <c r="I199" s="5" t="str">
        <f>IF(H199="","",VLOOKUP(H199,DB!A:B,2,0))</f>
        <v/>
      </c>
      <c r="J199" s="5"/>
      <c r="K199" s="6" t="s">
        <v>87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142</v>
      </c>
      <c r="B200" s="6" t="str">
        <f>IF(A200="","",VLOOKUP(A200,DB!A:B,2,0))</f>
        <v>openGear X</v>
      </c>
      <c r="C200" s="6">
        <v>8.0</v>
      </c>
      <c r="D200" s="6" t="s">
        <v>349</v>
      </c>
      <c r="E200" s="6" t="s">
        <v>352</v>
      </c>
      <c r="F200" s="6" t="s">
        <v>239</v>
      </c>
      <c r="G200" s="6" t="s">
        <v>105</v>
      </c>
      <c r="H200" s="6" t="s">
        <v>87</v>
      </c>
      <c r="I200" s="5" t="str">
        <f>IF(H200="","",VLOOKUP(H200,DB!A:B,2,0))</f>
        <v/>
      </c>
      <c r="J200" s="5"/>
      <c r="K200" s="6" t="s">
        <v>87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142</v>
      </c>
      <c r="B201" s="6" t="str">
        <f>IF(A201="","",VLOOKUP(A201,DB!A:B,2,0))</f>
        <v>openGear X</v>
      </c>
      <c r="C201" s="6">
        <v>9.0</v>
      </c>
      <c r="D201" s="6" t="s">
        <v>354</v>
      </c>
      <c r="E201" s="6" t="s">
        <v>355</v>
      </c>
      <c r="F201" s="6" t="s">
        <v>239</v>
      </c>
      <c r="G201" s="6" t="s">
        <v>356</v>
      </c>
      <c r="H201" s="6" t="s">
        <v>180</v>
      </c>
      <c r="I201" s="5" t="str">
        <f>IF(H201="","",VLOOKUP(H201,DB!A:B,2,0))</f>
        <v>?????</v>
      </c>
      <c r="J201" s="5"/>
      <c r="K201" s="5"/>
      <c r="L201" s="5"/>
      <c r="M201" s="6" t="s">
        <v>357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142</v>
      </c>
      <c r="B202" s="6" t="str">
        <f>IF(A202="","",VLOOKUP(A202,DB!A:B,2,0))</f>
        <v>openGear X</v>
      </c>
      <c r="C202" s="6">
        <v>9.0</v>
      </c>
      <c r="D202" s="6" t="s">
        <v>354</v>
      </c>
      <c r="E202" s="6" t="s">
        <v>358</v>
      </c>
      <c r="F202" s="6" t="s">
        <v>239</v>
      </c>
      <c r="G202" s="6" t="s">
        <v>356</v>
      </c>
      <c r="H202" s="6" t="s">
        <v>180</v>
      </c>
      <c r="I202" s="5" t="str">
        <f>IF(H202="","",VLOOKUP(H202,DB!A:B,2,0))</f>
        <v>?????</v>
      </c>
      <c r="J202" s="5"/>
      <c r="K202" s="5"/>
      <c r="L202" s="5"/>
      <c r="M202" s="6" t="s">
        <v>357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359</v>
      </c>
      <c r="B203" s="6" t="str">
        <f>IF(A203="","",VLOOKUP(A203,DB!A:B,2,0))</f>
        <v>Cisco D9865</v>
      </c>
      <c r="C203" s="5"/>
      <c r="D203" s="5"/>
      <c r="E203" s="6" t="s">
        <v>360</v>
      </c>
      <c r="F203" s="5"/>
      <c r="G203" s="5"/>
      <c r="H203" s="6" t="s">
        <v>221</v>
      </c>
      <c r="I203" s="5" t="str">
        <f>IF(H203="","",VLOOKUP(H203,DB!A:B,2,0))</f>
        <v>AJA FS2</v>
      </c>
      <c r="J203" s="5"/>
      <c r="K203" s="6" t="s">
        <v>361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183</v>
      </c>
      <c r="B204" s="6" t="str">
        <f>IF(A204="","",VLOOKUP(A204,DB!A:B,2,0))</f>
        <v>openGear X</v>
      </c>
      <c r="C204" s="6">
        <v>1.0</v>
      </c>
      <c r="D204" s="6" t="s">
        <v>362</v>
      </c>
      <c r="E204" s="6" t="s">
        <v>203</v>
      </c>
      <c r="F204" s="5"/>
      <c r="G204" s="6"/>
      <c r="H204" s="6" t="s">
        <v>180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183</v>
      </c>
      <c r="B205" s="6" t="str">
        <f>IF(A205="","",VLOOKUP(A205,DB!A:B,2,0))</f>
        <v>openGear X</v>
      </c>
      <c r="C205" s="6">
        <v>1.0</v>
      </c>
      <c r="D205" s="6" t="s">
        <v>362</v>
      </c>
      <c r="E205" s="6" t="s">
        <v>363</v>
      </c>
      <c r="F205" s="5"/>
      <c r="G205" s="6"/>
      <c r="H205" s="6" t="s">
        <v>180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183</v>
      </c>
      <c r="B206" s="6" t="str">
        <f>IF(A206="","",VLOOKUP(A206,DB!A:B,2,0))</f>
        <v>openGear X</v>
      </c>
      <c r="C206" s="6">
        <v>1.0</v>
      </c>
      <c r="D206" s="6" t="s">
        <v>362</v>
      </c>
      <c r="E206" s="6" t="s">
        <v>364</v>
      </c>
      <c r="F206" s="5"/>
      <c r="G206" s="6"/>
      <c r="H206" s="6" t="s">
        <v>180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183</v>
      </c>
      <c r="B207" s="6" t="str">
        <f>IF(A207="","",VLOOKUP(A207,DB!A:B,2,0))</f>
        <v>openGear X</v>
      </c>
      <c r="C207" s="6">
        <v>2.0</v>
      </c>
      <c r="D207" s="6" t="s">
        <v>362</v>
      </c>
      <c r="E207" s="6" t="s">
        <v>203</v>
      </c>
      <c r="F207" s="5"/>
      <c r="G207" s="6"/>
      <c r="H207" s="6" t="s">
        <v>180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183</v>
      </c>
      <c r="B208" s="6" t="str">
        <f>IF(A208="","",VLOOKUP(A208,DB!A:B,2,0))</f>
        <v>openGear X</v>
      </c>
      <c r="C208" s="6">
        <v>2.0</v>
      </c>
      <c r="D208" s="6" t="s">
        <v>362</v>
      </c>
      <c r="E208" s="6" t="s">
        <v>363</v>
      </c>
      <c r="F208" s="5"/>
      <c r="G208" s="6"/>
      <c r="H208" s="6" t="s">
        <v>180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183</v>
      </c>
      <c r="B209" s="6" t="str">
        <f>IF(A209="","",VLOOKUP(A209,DB!A:B,2,0))</f>
        <v>openGear X</v>
      </c>
      <c r="C209" s="6">
        <v>2.0</v>
      </c>
      <c r="D209" s="6" t="s">
        <v>362</v>
      </c>
      <c r="E209" s="6" t="s">
        <v>364</v>
      </c>
      <c r="F209" s="5"/>
      <c r="G209" s="6"/>
      <c r="H209" s="6" t="s">
        <v>180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183</v>
      </c>
      <c r="B210" s="6" t="str">
        <f>IF(A210="","",VLOOKUP(A210,DB!A:B,2,0))</f>
        <v>openGear X</v>
      </c>
      <c r="C210" s="6">
        <v>3.0</v>
      </c>
      <c r="D210" s="6" t="s">
        <v>362</v>
      </c>
      <c r="E210" s="6" t="s">
        <v>363</v>
      </c>
      <c r="F210" s="5"/>
      <c r="G210" s="6"/>
      <c r="H210" s="6" t="s">
        <v>180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183</v>
      </c>
      <c r="B211" s="6" t="str">
        <f>IF(A211="","",VLOOKUP(A211,DB!A:B,2,0))</f>
        <v>openGear X</v>
      </c>
      <c r="C211" s="6">
        <v>5.0</v>
      </c>
      <c r="D211" s="6" t="s">
        <v>353</v>
      </c>
      <c r="E211" s="6" t="s">
        <v>203</v>
      </c>
      <c r="F211" s="6" t="s">
        <v>239</v>
      </c>
      <c r="G211" s="6" t="s">
        <v>105</v>
      </c>
      <c r="H211" s="6" t="s">
        <v>221</v>
      </c>
      <c r="I211" s="5" t="str">
        <f>IF(H211="","",VLOOKUP(H211,DB!A:B,2,0))</f>
        <v>AJA FS2</v>
      </c>
      <c r="J211" s="5"/>
      <c r="K211" s="6" t="s">
        <v>160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183</v>
      </c>
      <c r="B212" s="6" t="str">
        <f>IF(A212="","",VLOOKUP(A212,DB!A:B,2,0))</f>
        <v>openGear X</v>
      </c>
      <c r="C212" s="6">
        <v>5.0</v>
      </c>
      <c r="D212" s="6" t="s">
        <v>362</v>
      </c>
      <c r="E212" s="6" t="s">
        <v>364</v>
      </c>
      <c r="F212" s="5"/>
      <c r="G212" s="6"/>
      <c r="H212" s="6" t="s">
        <v>180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183</v>
      </c>
      <c r="B213" s="6" t="str">
        <f>IF(A213="","",VLOOKUP(A213,DB!A:B,2,0))</f>
        <v>openGear X</v>
      </c>
      <c r="C213" s="6">
        <v>6.0</v>
      </c>
      <c r="D213" s="6" t="s">
        <v>313</v>
      </c>
      <c r="E213" s="6" t="s">
        <v>365</v>
      </c>
      <c r="F213" s="6" t="s">
        <v>239</v>
      </c>
      <c r="G213" s="6" t="s">
        <v>315</v>
      </c>
      <c r="H213" s="6" t="s">
        <v>366</v>
      </c>
      <c r="I213" s="5" t="str">
        <f>IF(H213="","",VLOOKUP(H213,DB!A:B,2,0))</f>
        <v>VIDEOTRON</v>
      </c>
      <c r="J213" s="5"/>
      <c r="K213" s="6" t="s">
        <v>160</v>
      </c>
      <c r="L213" s="5"/>
      <c r="M213" s="6" t="s">
        <v>180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367</v>
      </c>
      <c r="B214" s="6" t="str">
        <f>IF(A214="","",VLOOKUP(A214,DB!A:B,2,0))</f>
        <v>Raspberry PI 1</v>
      </c>
      <c r="C214" s="5"/>
      <c r="D214" s="6"/>
      <c r="E214" s="6" t="s">
        <v>256</v>
      </c>
      <c r="F214" s="5"/>
      <c r="G214" s="5"/>
      <c r="H214" s="6" t="s">
        <v>142</v>
      </c>
      <c r="I214" s="5" t="str">
        <f>IF(H214="","",VLOOKUP(H214,DB!A:B,2,0))</f>
        <v>openGear X</v>
      </c>
      <c r="J214" s="6">
        <v>1.0</v>
      </c>
      <c r="K214" s="6" t="s">
        <v>240</v>
      </c>
      <c r="L214" s="5"/>
      <c r="M214" s="6" t="s">
        <v>368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369</v>
      </c>
      <c r="B215" s="6" t="str">
        <f>IF(A215="","",VLOOKUP(A215,DB!A:B,2,0))</f>
        <v>Raspberry PI 2</v>
      </c>
      <c r="C215" s="5"/>
      <c r="D215" s="6"/>
      <c r="E215" s="6" t="s">
        <v>256</v>
      </c>
      <c r="F215" s="5"/>
      <c r="G215" s="5"/>
      <c r="H215" s="6" t="s">
        <v>142</v>
      </c>
      <c r="I215" s="5" t="str">
        <f>IF(H215="","",VLOOKUP(H215,DB!A:B,2,0))</f>
        <v>openGear X</v>
      </c>
      <c r="J215" s="6">
        <v>2.0</v>
      </c>
      <c r="K215" s="6" t="s">
        <v>240</v>
      </c>
      <c r="L215" s="5"/>
      <c r="M215" s="6" t="s">
        <v>370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371</v>
      </c>
      <c r="B216" s="6" t="str">
        <f>IF(A216="","",VLOOKUP(A216,DB!A:B,2,0))</f>
        <v>Deco Direccion</v>
      </c>
      <c r="C216" s="5"/>
      <c r="D216" s="5"/>
      <c r="E216" s="6" t="s">
        <v>256</v>
      </c>
      <c r="F216" s="5"/>
      <c r="G216" s="5"/>
      <c r="H216" s="6" t="s">
        <v>260</v>
      </c>
      <c r="I216" s="5" t="str">
        <f>IF(H216="","",VLOOKUP(H216,DB!A:B,2,0))</f>
        <v>Patch Panel</v>
      </c>
      <c r="J216" s="5"/>
      <c r="K216" s="6" t="s">
        <v>41</v>
      </c>
      <c r="L216" s="5"/>
      <c r="M216" s="5"/>
      <c r="N216" s="6" t="s">
        <v>259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372</v>
      </c>
      <c r="B217" s="6" t="str">
        <f>IF(A217="","",VLOOKUP(A217,DB!A:B,2,0))</f>
        <v>PC Videollamada</v>
      </c>
      <c r="C217" s="6">
        <v>1.0</v>
      </c>
      <c r="D217" s="6" t="s">
        <v>186</v>
      </c>
      <c r="E217" s="6" t="s">
        <v>373</v>
      </c>
      <c r="F217" s="5"/>
      <c r="G217" s="5"/>
      <c r="H217" s="6" t="s">
        <v>260</v>
      </c>
      <c r="I217" s="5" t="str">
        <f>IF(H217="","",VLOOKUP(H217,DB!A:B,2,0))</f>
        <v>Patch Panel</v>
      </c>
      <c r="J217" s="5"/>
      <c r="K217" s="6" t="s">
        <v>57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275</v>
      </c>
      <c r="B218" s="6" t="str">
        <f>IF(A218="","",VLOOKUP(A218,DB!A:B,2,0))</f>
        <v>Sony HXCU-100 Cam 1</v>
      </c>
      <c r="C218" s="5"/>
      <c r="D218" s="5"/>
      <c r="E218" s="6" t="s">
        <v>200</v>
      </c>
      <c r="F218" s="5"/>
      <c r="G218" s="5"/>
      <c r="H218" s="6" t="s">
        <v>249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275</v>
      </c>
      <c r="B219" s="6" t="str">
        <f>IF(A219="","",VLOOKUP(A219,DB!A:B,2,0))</f>
        <v>Sony HXCU-100 Cam 1</v>
      </c>
      <c r="C219" s="5"/>
      <c r="D219" s="5"/>
      <c r="E219" s="6" t="s">
        <v>306</v>
      </c>
      <c r="F219" s="5"/>
      <c r="G219" s="5"/>
      <c r="H219" s="6" t="s">
        <v>89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278</v>
      </c>
      <c r="B220" s="6" t="str">
        <f>IF(A220="","",VLOOKUP(A220,DB!A:B,2,0))</f>
        <v>Sony HXCU-100 Cam 2</v>
      </c>
      <c r="C220" s="5"/>
      <c r="D220" s="5"/>
      <c r="E220" s="6" t="s">
        <v>200</v>
      </c>
      <c r="F220" s="5"/>
      <c r="G220" s="5"/>
      <c r="H220" s="6" t="s">
        <v>249</v>
      </c>
      <c r="I220" s="5" t="str">
        <f>IF(H220="","",VLOOKUP(H220,DB!A:B,2,0))</f>
        <v>Blackmagic Multiview 4</v>
      </c>
      <c r="J220" s="5"/>
      <c r="K220" s="6" t="s">
        <v>20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278</v>
      </c>
      <c r="B221" s="6" t="str">
        <f>IF(A221="","",VLOOKUP(A221,DB!A:B,2,0))</f>
        <v>Sony HXCU-100 Cam 2</v>
      </c>
      <c r="C221" s="5"/>
      <c r="D221" s="5"/>
      <c r="E221" s="6" t="s">
        <v>306</v>
      </c>
      <c r="F221" s="5"/>
      <c r="G221" s="5"/>
      <c r="H221" s="6" t="s">
        <v>89</v>
      </c>
      <c r="I221" s="5" t="str">
        <f>IF(H221="","",VLOOKUP(H221,DB!A:B,2,0))</f>
        <v>FOR A HVS-390HS</v>
      </c>
      <c r="J221" s="5"/>
      <c r="K221" s="6" t="s">
        <v>20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281</v>
      </c>
      <c r="B222" s="6" t="str">
        <f>IF(A222="","",VLOOKUP(A222,DB!A:B,2,0))</f>
        <v>Sony HXCU-100 Cam 3</v>
      </c>
      <c r="C222" s="5"/>
      <c r="D222" s="5"/>
      <c r="E222" s="6" t="s">
        <v>200</v>
      </c>
      <c r="F222" s="5"/>
      <c r="G222" s="5"/>
      <c r="H222" s="6" t="s">
        <v>249</v>
      </c>
      <c r="I222" s="5" t="str">
        <f>IF(H222="","",VLOOKUP(H222,DB!A:B,2,0))</f>
        <v>Blackmagic Multiview 4</v>
      </c>
      <c r="J222" s="5"/>
      <c r="K222" s="6" t="s">
        <v>23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281</v>
      </c>
      <c r="B223" s="6" t="str">
        <f>IF(A223="","",VLOOKUP(A223,DB!A:B,2,0))</f>
        <v>Sony HXCU-100 Cam 3</v>
      </c>
      <c r="C223" s="5"/>
      <c r="D223" s="5"/>
      <c r="E223" s="6" t="s">
        <v>306</v>
      </c>
      <c r="F223" s="5"/>
      <c r="G223" s="5"/>
      <c r="H223" s="6" t="s">
        <v>89</v>
      </c>
      <c r="I223" s="5" t="str">
        <f>IF(H223="","",VLOOKUP(H223,DB!A:B,2,0))</f>
        <v>FOR A HVS-390HS</v>
      </c>
      <c r="J223" s="5"/>
      <c r="K223" s="6" t="s">
        <v>23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284</v>
      </c>
      <c r="B224" s="6" t="str">
        <f>IF(A224="","",VLOOKUP(A224,DB!A:B,2,0))</f>
        <v>Sony HXCU-100 Cam 4</v>
      </c>
      <c r="C224" s="5"/>
      <c r="D224" s="5"/>
      <c r="E224" s="6" t="s">
        <v>200</v>
      </c>
      <c r="F224" s="5"/>
      <c r="G224" s="5"/>
      <c r="H224" s="6" t="s">
        <v>249</v>
      </c>
      <c r="I224" s="5" t="str">
        <f>IF(H224="","",VLOOKUP(H224,DB!A:B,2,0))</f>
        <v>Blackmagic Multiview 4</v>
      </c>
      <c r="J224" s="5"/>
      <c r="K224" s="6" t="s">
        <v>26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284</v>
      </c>
      <c r="B225" s="6" t="str">
        <f>IF(A225="","",VLOOKUP(A225,DB!A:B,2,0))</f>
        <v>Sony HXCU-100 Cam 4</v>
      </c>
      <c r="C225" s="5"/>
      <c r="D225" s="5"/>
      <c r="E225" s="6" t="s">
        <v>306</v>
      </c>
      <c r="F225" s="5"/>
      <c r="G225" s="5"/>
      <c r="H225" s="6" t="s">
        <v>89</v>
      </c>
      <c r="I225" s="5" t="str">
        <f>IF(H225="","",VLOOKUP(H225,DB!A:B,2,0))</f>
        <v>FOR A HVS-390HS</v>
      </c>
      <c r="J225" s="5"/>
      <c r="K225" s="6" t="s">
        <v>26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89</v>
      </c>
      <c r="B226" s="6" t="str">
        <f>IF(A226="","",VLOOKUP(A226,DB!A:B,2,0))</f>
        <v>FOR A HVS-390HS</v>
      </c>
      <c r="C226" s="5"/>
      <c r="D226" s="5"/>
      <c r="E226" s="6" t="s">
        <v>374</v>
      </c>
      <c r="F226" s="5"/>
      <c r="G226" s="5"/>
      <c r="H226" s="6" t="s">
        <v>375</v>
      </c>
      <c r="I226" s="5" t="str">
        <f>IF(H226="","",VLOOKUP(H226,DB!A:B,2,0))</f>
        <v>Monitor Director 2</v>
      </c>
      <c r="J226" s="5"/>
      <c r="K226" s="6" t="s">
        <v>240</v>
      </c>
      <c r="L226" s="5"/>
      <c r="M226" s="5"/>
      <c r="N226" s="6" t="s">
        <v>339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89</v>
      </c>
      <c r="B227" s="6" t="str">
        <f>IF(A227="","",VLOOKUP(A227,DB!A:B,2,0))</f>
        <v>FOR A HVS-390HS</v>
      </c>
      <c r="C227" s="5"/>
      <c r="D227" s="5"/>
      <c r="E227" s="6" t="s">
        <v>376</v>
      </c>
      <c r="F227" s="5"/>
      <c r="G227" s="5"/>
      <c r="H227" s="6" t="s">
        <v>377</v>
      </c>
      <c r="I227" s="5" t="str">
        <f>IF(H227="","",VLOOKUP(H227,DB!A:B,2,0))</f>
        <v>PC Pantalla</v>
      </c>
      <c r="J227" s="5"/>
      <c r="K227" s="6" t="s">
        <v>240</v>
      </c>
      <c r="L227" s="5"/>
      <c r="M227" s="5"/>
      <c r="N227" s="6" t="s">
        <v>378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19</v>
      </c>
      <c r="F228" s="5"/>
      <c r="G228" s="5"/>
      <c r="H228" s="6" t="s">
        <v>379</v>
      </c>
      <c r="I228" s="5" t="str">
        <f>IF(H228="","",VLOOKUP(H228,DB!A:B,2,0))</f>
        <v>AJA HD5DA</v>
      </c>
      <c r="J228" s="5"/>
      <c r="K228" s="6" t="s">
        <v>105</v>
      </c>
      <c r="L228" s="5"/>
      <c r="M228" s="5"/>
      <c r="N228" s="6" t="s">
        <v>380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379</v>
      </c>
      <c r="B229" s="6" t="str">
        <f>IF(A229="","",VLOOKUP(A229,DB!A:B,2,0))</f>
        <v>AJA HD5DA</v>
      </c>
      <c r="C229" s="5"/>
      <c r="D229" s="5"/>
      <c r="E229" s="6" t="s">
        <v>197</v>
      </c>
      <c r="F229" s="6" t="s">
        <v>239</v>
      </c>
      <c r="G229" s="6" t="s">
        <v>105</v>
      </c>
      <c r="H229" s="6" t="s">
        <v>275</v>
      </c>
      <c r="I229" s="5" t="str">
        <f>IF(H229="","",VLOOKUP(H229,DB!A:B,2,0))</f>
        <v>Sony HXCU-100 Cam 1</v>
      </c>
      <c r="J229" s="5"/>
      <c r="K229" s="6" t="s">
        <v>381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379</v>
      </c>
      <c r="B230" s="6" t="str">
        <f>IF(A230="","",VLOOKUP(A230,DB!A:B,2,0))</f>
        <v>AJA HD5DA</v>
      </c>
      <c r="C230" s="5"/>
      <c r="D230" s="5"/>
      <c r="E230" s="6" t="s">
        <v>200</v>
      </c>
      <c r="F230" s="6" t="s">
        <v>239</v>
      </c>
      <c r="G230" s="6" t="s">
        <v>105</v>
      </c>
      <c r="H230" s="6" t="s">
        <v>278</v>
      </c>
      <c r="I230" s="5" t="str">
        <f>IF(H230="","",VLOOKUP(H230,DB!A:B,2,0))</f>
        <v>Sony HXCU-100 Cam 2</v>
      </c>
      <c r="J230" s="5"/>
      <c r="K230" s="6" t="s">
        <v>381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379</v>
      </c>
      <c r="B231" s="6" t="str">
        <f>IF(A231="","",VLOOKUP(A231,DB!A:B,2,0))</f>
        <v>AJA HD5DA</v>
      </c>
      <c r="C231" s="5"/>
      <c r="D231" s="5"/>
      <c r="E231" s="6" t="s">
        <v>306</v>
      </c>
      <c r="F231" s="6" t="s">
        <v>239</v>
      </c>
      <c r="G231" s="6" t="s">
        <v>105</v>
      </c>
      <c r="H231" s="6" t="s">
        <v>281</v>
      </c>
      <c r="I231" s="5" t="str">
        <f>IF(H231="","",VLOOKUP(H231,DB!A:B,2,0))</f>
        <v>Sony HXCU-100 Cam 3</v>
      </c>
      <c r="J231" s="5"/>
      <c r="K231" s="6" t="s">
        <v>381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379</v>
      </c>
      <c r="B232" s="6" t="str">
        <f>IF(A232="","",VLOOKUP(A232,DB!A:B,2,0))</f>
        <v>AJA HD5DA</v>
      </c>
      <c r="C232" s="5"/>
      <c r="D232" s="5"/>
      <c r="E232" s="6" t="s">
        <v>309</v>
      </c>
      <c r="F232" s="6" t="s">
        <v>239</v>
      </c>
      <c r="G232" s="6" t="s">
        <v>105</v>
      </c>
      <c r="H232" s="6" t="s">
        <v>284</v>
      </c>
      <c r="I232" s="5" t="str">
        <f>IF(H232="","",VLOOKUP(H232,DB!A:B,2,0))</f>
        <v>Sony HXCU-100 Cam 4</v>
      </c>
      <c r="J232" s="5"/>
      <c r="K232" s="6" t="s">
        <v>381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382</v>
      </c>
      <c r="B233" s="6" t="str">
        <f>IF(A233="","",VLOOKUP(A233,DB!A:B,2,0))</f>
        <v>Patch Estudio</v>
      </c>
      <c r="C233" s="5"/>
      <c r="D233" s="5"/>
      <c r="E233" s="6" t="s">
        <v>383</v>
      </c>
      <c r="F233" s="5"/>
      <c r="G233" s="5"/>
      <c r="H233" s="6" t="s">
        <v>260</v>
      </c>
      <c r="I233" s="5" t="str">
        <f>IF(H233="","",VLOOKUP(H233,DB!A:B,2,0))</f>
        <v>Patch Panel</v>
      </c>
      <c r="J233" s="5"/>
      <c r="K233" s="6" t="s">
        <v>60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87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260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260</v>
      </c>
      <c r="I235" s="5" t="str">
        <f>IF(H235="","",VLOOKUP(H235,DB!A:B,2,0))</f>
        <v>Patch Panel</v>
      </c>
      <c r="J235" s="5"/>
      <c r="K235" s="6" t="s">
        <v>20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260</v>
      </c>
      <c r="I236" s="5" t="str">
        <f>IF(H236="","",VLOOKUP(H236,DB!A:B,2,0))</f>
        <v>Patch Panel</v>
      </c>
      <c r="J236" s="5"/>
      <c r="K236" s="6" t="s">
        <v>23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260</v>
      </c>
      <c r="I237" s="5" t="str">
        <f>IF(H237="","",VLOOKUP(H237,DB!A:B,2,0))</f>
        <v>Patch Panel</v>
      </c>
      <c r="J237" s="5"/>
      <c r="K237" s="6" t="s">
        <v>26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260</v>
      </c>
      <c r="I238" s="5" t="str">
        <f>IF(H238="","",VLOOKUP(H238,DB!A:B,2,0))</f>
        <v>Patch Panel</v>
      </c>
      <c r="J238" s="5"/>
      <c r="K238" s="6" t="s">
        <v>29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260</v>
      </c>
      <c r="I239" s="5" t="str">
        <f>IF(H239="","",VLOOKUP(H239,DB!A:B,2,0))</f>
        <v>Patch Panel</v>
      </c>
      <c r="J239" s="5"/>
      <c r="K239" s="6" t="s">
        <v>32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260</v>
      </c>
      <c r="I240" s="5" t="str">
        <f>IF(H240="","",VLOOKUP(H240,DB!A:B,2,0))</f>
        <v>Patch Panel</v>
      </c>
      <c r="J240" s="5"/>
      <c r="K240" s="6" t="s">
        <v>35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260</v>
      </c>
      <c r="I241" s="5" t="str">
        <f>IF(H241="","",VLOOKUP(H241,DB!A:B,2,0))</f>
        <v>Patch Panel</v>
      </c>
      <c r="J241" s="5"/>
      <c r="K241" s="6" t="s">
        <v>38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260</v>
      </c>
      <c r="I242" s="5" t="str">
        <f>IF(H242="","",VLOOKUP(H242,DB!A:B,2,0))</f>
        <v>Patch Panel</v>
      </c>
      <c r="J242" s="5"/>
      <c r="K242" s="6" t="s">
        <v>44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260</v>
      </c>
      <c r="I243" s="5" t="str">
        <f>IF(H243="","",VLOOKUP(H243,DB!A:B,2,0))</f>
        <v>Patch Panel</v>
      </c>
      <c r="J243" s="5"/>
      <c r="K243" s="6" t="s">
        <v>48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260</v>
      </c>
      <c r="I244" s="5" t="str">
        <f>IF(H244="","",VLOOKUP(H244,DB!A:B,2,0))</f>
        <v>Patch Panel</v>
      </c>
      <c r="J244" s="5"/>
      <c r="K244" s="6" t="s">
        <v>51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260</v>
      </c>
      <c r="I245" s="5" t="str">
        <f>IF(H245="","",VLOOKUP(H245,DB!A:B,2,0))</f>
        <v>Patch Panel</v>
      </c>
      <c r="J245" s="5"/>
      <c r="K245" s="6" t="s">
        <v>54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87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260</v>
      </c>
      <c r="I246" s="5" t="str">
        <f>IF(H246="","",VLOOKUP(H246,DB!A:B,2,0))</f>
        <v>Patch Panel</v>
      </c>
      <c r="J246" s="5"/>
      <c r="K246" s="6" t="s">
        <v>63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87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48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51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142</v>
      </c>
      <c r="I249" s="5" t="str">
        <f>IF(H249="","",VLOOKUP(H249,DB!A:B,2,0))</f>
        <v>openGear X</v>
      </c>
      <c r="J249" s="6">
        <v>3.0</v>
      </c>
      <c r="K249" s="6" t="s">
        <v>240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221</v>
      </c>
      <c r="B250" s="6" t="str">
        <f>IF(A250="","",VLOOKUP(A250,DB!A:B,2,0))</f>
        <v>AJA FS2</v>
      </c>
      <c r="C250" s="5"/>
      <c r="D250" s="6"/>
      <c r="E250" s="6" t="s">
        <v>384</v>
      </c>
      <c r="F250" s="5"/>
      <c r="G250" s="5"/>
      <c r="H250" s="6" t="s">
        <v>385</v>
      </c>
      <c r="I250" s="5" t="str">
        <f>IF(H250="","",VLOOKUP(H250,DB!A:B,2,0))</f>
        <v>Digiwave DSC-131</v>
      </c>
      <c r="J250" s="6"/>
      <c r="K250" s="6" t="s">
        <v>386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385</v>
      </c>
      <c r="B251" s="6" t="str">
        <f>IF(A251="","",VLOOKUP(A251,DB!A:B,2,0))</f>
        <v>Digiwave DSC-131</v>
      </c>
      <c r="C251" s="5"/>
      <c r="D251" s="6"/>
      <c r="E251" s="6" t="s">
        <v>387</v>
      </c>
      <c r="F251" s="5"/>
      <c r="G251" s="5"/>
      <c r="H251" s="6" t="s">
        <v>388</v>
      </c>
      <c r="I251" s="5" t="str">
        <f>IF(H251="","",VLOOKUP(H251,DB!A:B,2,0))</f>
        <v>vidicraft vst2110</v>
      </c>
      <c r="J251" s="6"/>
      <c r="K251" s="6" t="s">
        <v>389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390</v>
      </c>
      <c r="B252" s="6" t="str">
        <f>IF(A252="","",VLOOKUP(A252,DB!A:B,2,0))</f>
        <v>tc electronic Finalizer</v>
      </c>
      <c r="C252" s="5"/>
      <c r="D252" s="6"/>
      <c r="E252" s="6" t="s">
        <v>391</v>
      </c>
      <c r="F252" s="5"/>
      <c r="G252" s="5"/>
      <c r="H252" s="6" t="s">
        <v>221</v>
      </c>
      <c r="I252" s="5" t="str">
        <f>IF(H252="","",VLOOKUP(H252,DB!A:B,2,0))</f>
        <v>AJA FS2</v>
      </c>
      <c r="J252" s="6"/>
      <c r="K252" s="6" t="s">
        <v>392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390</v>
      </c>
      <c r="B253" s="6" t="str">
        <f>IF(A253="","",VLOOKUP(A253,DB!A:B,2,0))</f>
        <v>tc electronic Finalizer</v>
      </c>
      <c r="C253" s="5"/>
      <c r="D253" s="6"/>
      <c r="E253" s="6" t="s">
        <v>393</v>
      </c>
      <c r="F253" s="5"/>
      <c r="G253" s="5"/>
      <c r="H253" s="6" t="s">
        <v>87</v>
      </c>
      <c r="I253" s="5" t="str">
        <f>IF(H253="","",VLOOKUP(H253,DB!A:B,2,0))</f>
        <v/>
      </c>
      <c r="J253" s="6"/>
      <c r="K253" s="6"/>
      <c r="L253" s="5"/>
      <c r="M253" s="6" t="s">
        <v>394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390</v>
      </c>
      <c r="B254" s="6" t="str">
        <f>IF(A254="","",VLOOKUP(A254,DB!A:B,2,0))</f>
        <v>tc electronic Finalizer</v>
      </c>
      <c r="C254" s="5"/>
      <c r="D254" s="6"/>
      <c r="E254" s="6" t="s">
        <v>395</v>
      </c>
      <c r="F254" s="5"/>
      <c r="G254" s="5"/>
      <c r="H254" s="6" t="s">
        <v>87</v>
      </c>
      <c r="I254" s="5" t="str">
        <f>IF(H254="","",VLOOKUP(H254,DB!A:B,2,0))</f>
        <v/>
      </c>
      <c r="J254" s="6"/>
      <c r="K254" s="6"/>
      <c r="L254" s="5"/>
      <c r="M254" s="6" t="s">
        <v>394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396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239</v>
      </c>
      <c r="G255" s="6" t="s">
        <v>17</v>
      </c>
      <c r="H255" s="6" t="s">
        <v>185</v>
      </c>
      <c r="I255" s="5" t="str">
        <f>IF(H255="","",VLOOKUP(H255,DB!A:B,2,0))</f>
        <v>Player A</v>
      </c>
      <c r="J255" s="6">
        <v>1.0</v>
      </c>
      <c r="K255" s="6" t="s">
        <v>397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396</v>
      </c>
      <c r="B256" s="6" t="str">
        <f>IF(A256="","",VLOOKUP(A256,DB!A:B,2,0))</f>
        <v>Videotron DV100-EQ</v>
      </c>
      <c r="C256" s="5"/>
      <c r="D256" s="6"/>
      <c r="E256" s="6" t="s">
        <v>19</v>
      </c>
      <c r="F256" s="6" t="s">
        <v>239</v>
      </c>
      <c r="G256" s="6" t="s">
        <v>17</v>
      </c>
      <c r="H256" s="6" t="s">
        <v>185</v>
      </c>
      <c r="I256" s="5" t="str">
        <f>IF(H256="","",VLOOKUP(H256,DB!A:B,2,0))</f>
        <v>Player A</v>
      </c>
      <c r="J256" s="6">
        <v>2.0</v>
      </c>
      <c r="K256" s="6" t="s">
        <v>397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396</v>
      </c>
      <c r="B257" s="6" t="str">
        <f>IF(A257="","",VLOOKUP(A257,DB!A:B,2,0))</f>
        <v>Videotron DV100-EQ</v>
      </c>
      <c r="C257" s="5"/>
      <c r="D257" s="6"/>
      <c r="E257" s="6" t="s">
        <v>22</v>
      </c>
      <c r="F257" s="6" t="s">
        <v>239</v>
      </c>
      <c r="G257" s="6" t="s">
        <v>17</v>
      </c>
      <c r="H257" s="6" t="s">
        <v>189</v>
      </c>
      <c r="I257" s="5" t="str">
        <f>IF(H257="","",VLOOKUP(H257,DB!A:B,2,0))</f>
        <v>Player B</v>
      </c>
      <c r="J257" s="6">
        <v>1.0</v>
      </c>
      <c r="K257" s="6" t="s">
        <v>397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396</v>
      </c>
      <c r="B258" s="6" t="str">
        <f>IF(A258="","",VLOOKUP(A258,DB!A:B,2,0))</f>
        <v>Videotron DV100-EQ</v>
      </c>
      <c r="C258" s="5"/>
      <c r="D258" s="6"/>
      <c r="E258" s="6" t="s">
        <v>25</v>
      </c>
      <c r="F258" s="6" t="s">
        <v>239</v>
      </c>
      <c r="G258" s="6" t="s">
        <v>17</v>
      </c>
      <c r="H258" s="6" t="s">
        <v>189</v>
      </c>
      <c r="I258" s="5" t="str">
        <f>IF(H258="","",VLOOKUP(H258,DB!A:B,2,0))</f>
        <v>Player B</v>
      </c>
      <c r="J258" s="6">
        <v>2.0</v>
      </c>
      <c r="K258" s="6" t="s">
        <v>397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396</v>
      </c>
      <c r="B259" s="6" t="str">
        <f>IF(A259="","",VLOOKUP(A259,DB!A:B,2,0))</f>
        <v>Videotron DV100-EQ</v>
      </c>
      <c r="C259" s="5"/>
      <c r="D259" s="6"/>
      <c r="E259" s="6" t="s">
        <v>28</v>
      </c>
      <c r="F259" s="6" t="s">
        <v>239</v>
      </c>
      <c r="G259" s="6" t="s">
        <v>17</v>
      </c>
      <c r="H259" s="6" t="s">
        <v>191</v>
      </c>
      <c r="I259" s="5" t="str">
        <f>IF(H259="","",VLOOKUP(H259,DB!A:B,2,0))</f>
        <v>Player C</v>
      </c>
      <c r="J259" s="6">
        <v>1.0</v>
      </c>
      <c r="K259" s="6" t="s">
        <v>397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396</v>
      </c>
      <c r="B260" s="6" t="str">
        <f>IF(A260="","",VLOOKUP(A260,DB!A:B,2,0))</f>
        <v>Videotron DV100-EQ</v>
      </c>
      <c r="C260" s="5"/>
      <c r="D260" s="6"/>
      <c r="E260" s="6" t="s">
        <v>31</v>
      </c>
      <c r="F260" s="6" t="s">
        <v>239</v>
      </c>
      <c r="G260" s="6" t="s">
        <v>17</v>
      </c>
      <c r="H260" s="6" t="s">
        <v>191</v>
      </c>
      <c r="I260" s="5" t="str">
        <f>IF(H260="","",VLOOKUP(H260,DB!A:B,2,0))</f>
        <v>Player C</v>
      </c>
      <c r="J260" s="6">
        <v>2.0</v>
      </c>
      <c r="K260" s="6" t="s">
        <v>397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396</v>
      </c>
      <c r="B261" s="6" t="str">
        <f>IF(A261="","",VLOOKUP(A261,DB!A:B,2,0))</f>
        <v>Videotron DV100-EQ</v>
      </c>
      <c r="C261" s="5"/>
      <c r="D261" s="6"/>
      <c r="E261" s="6" t="s">
        <v>34</v>
      </c>
      <c r="F261" s="6" t="s">
        <v>239</v>
      </c>
      <c r="G261" s="6" t="s">
        <v>17</v>
      </c>
      <c r="H261" s="6" t="s">
        <v>87</v>
      </c>
      <c r="I261" s="5" t="str">
        <f>IF(H261="","",VLOOKUP(H261,DB!A:B,2,0))</f>
        <v/>
      </c>
      <c r="J261" s="6"/>
      <c r="K261" s="6"/>
      <c r="L261" s="5"/>
      <c r="M261" s="6" t="s">
        <v>398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396</v>
      </c>
      <c r="B262" s="6" t="str">
        <f>IF(A262="","",VLOOKUP(A262,DB!A:B,2,0))</f>
        <v>Videotron DV100-EQ</v>
      </c>
      <c r="C262" s="5"/>
      <c r="D262" s="6"/>
      <c r="E262" s="6" t="s">
        <v>37</v>
      </c>
      <c r="F262" s="6" t="s">
        <v>239</v>
      </c>
      <c r="G262" s="6" t="s">
        <v>17</v>
      </c>
      <c r="H262" s="6" t="s">
        <v>87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180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396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185</v>
      </c>
      <c r="B264" s="6" t="str">
        <f>IF(A264="","",VLOOKUP(A264,DB!A:B,2,0))</f>
        <v>Player A</v>
      </c>
      <c r="C264" s="6">
        <v>2.0</v>
      </c>
      <c r="D264" s="6" t="s">
        <v>186</v>
      </c>
      <c r="E264" s="6" t="s">
        <v>399</v>
      </c>
      <c r="F264" s="5"/>
      <c r="G264" s="5"/>
      <c r="H264" s="6" t="s">
        <v>351</v>
      </c>
      <c r="I264" s="5" t="str">
        <f>IF(H264="","",VLOOKUP(H264,DB!A:B,2,0))</f>
        <v>Yamaha QL5</v>
      </c>
      <c r="J264" s="6"/>
      <c r="K264" s="6" t="s">
        <v>247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180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179</v>
      </c>
      <c r="I265" s="5" t="str">
        <f>IF(H265="","",VLOOKUP(H265,DB!A:B,2,0))</f>
        <v>openGear X</v>
      </c>
      <c r="J265" s="6">
        <v>1.0</v>
      </c>
      <c r="K265" s="6" t="s">
        <v>400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179</v>
      </c>
      <c r="B266" s="6" t="str">
        <f>IF(A266="","",VLOOKUP(A266,DB!A:B,2,0))</f>
        <v>openGear X</v>
      </c>
      <c r="C266" s="6">
        <v>1.0</v>
      </c>
      <c r="D266" s="6" t="s">
        <v>313</v>
      </c>
      <c r="E266" s="6" t="s">
        <v>401</v>
      </c>
      <c r="F266" s="6" t="s">
        <v>239</v>
      </c>
      <c r="G266" s="6" t="s">
        <v>400</v>
      </c>
      <c r="H266" s="6" t="s">
        <v>179</v>
      </c>
      <c r="I266" s="5" t="str">
        <f>IF(H266="","",VLOOKUP(H266,DB!A:B,2,0))</f>
        <v>openGear X</v>
      </c>
      <c r="J266" s="6" t="s">
        <v>180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179</v>
      </c>
      <c r="B267" s="6" t="str">
        <f>IF(A267="","",VLOOKUP(A267,DB!A:B,2,0))</f>
        <v>openGear X</v>
      </c>
      <c r="C267" s="6">
        <v>1.0</v>
      </c>
      <c r="D267" s="6" t="s">
        <v>313</v>
      </c>
      <c r="E267" s="6" t="s">
        <v>402</v>
      </c>
      <c r="F267" s="6" t="s">
        <v>239</v>
      </c>
      <c r="G267" s="6" t="s">
        <v>400</v>
      </c>
      <c r="H267" s="6" t="s">
        <v>179</v>
      </c>
      <c r="I267" s="5" t="str">
        <f>IF(H267="","",VLOOKUP(H267,DB!A:B,2,0))</f>
        <v>openGear X</v>
      </c>
      <c r="J267" s="6" t="s">
        <v>180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179</v>
      </c>
      <c r="B268" s="6" t="str">
        <f>IF(A268="","",VLOOKUP(A268,DB!A:B,2,0))</f>
        <v>openGear X</v>
      </c>
      <c r="C268" s="6">
        <v>1.0</v>
      </c>
      <c r="D268" s="6" t="s">
        <v>313</v>
      </c>
      <c r="E268" s="6" t="s">
        <v>403</v>
      </c>
      <c r="F268" s="6" t="s">
        <v>239</v>
      </c>
      <c r="G268" s="6" t="s">
        <v>400</v>
      </c>
      <c r="H268" s="6" t="s">
        <v>179</v>
      </c>
      <c r="I268" s="5" t="str">
        <f>IF(H268="","",VLOOKUP(H268,DB!A:B,2,0))</f>
        <v>openGear X</v>
      </c>
      <c r="J268" s="6" t="s">
        <v>180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179</v>
      </c>
      <c r="B269" s="6" t="str">
        <f>IF(A269="","",VLOOKUP(A269,DB!A:B,2,0))</f>
        <v>openGear X</v>
      </c>
      <c r="C269" s="6">
        <v>1.0</v>
      </c>
      <c r="D269" s="6" t="s">
        <v>313</v>
      </c>
      <c r="E269" s="6" t="s">
        <v>404</v>
      </c>
      <c r="F269" s="6" t="s">
        <v>239</v>
      </c>
      <c r="G269" s="6" t="s">
        <v>400</v>
      </c>
      <c r="H269" s="6" t="s">
        <v>179</v>
      </c>
      <c r="I269" s="5" t="str">
        <f>IF(H269="","",VLOOKUP(H269,DB!A:B,2,0))</f>
        <v>openGear X</v>
      </c>
      <c r="J269" s="6">
        <v>3.0</v>
      </c>
      <c r="K269" s="6" t="s">
        <v>105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179</v>
      </c>
      <c r="B270" s="6" t="str">
        <f>IF(A270="","",VLOOKUP(A270,DB!A:B,2,0))</f>
        <v>openGear X</v>
      </c>
      <c r="C270" s="6">
        <v>1.0</v>
      </c>
      <c r="D270" s="6" t="s">
        <v>313</v>
      </c>
      <c r="E270" s="6" t="s">
        <v>405</v>
      </c>
      <c r="F270" s="6" t="s">
        <v>239</v>
      </c>
      <c r="G270" s="6" t="s">
        <v>400</v>
      </c>
      <c r="H270" s="6" t="s">
        <v>179</v>
      </c>
      <c r="I270" s="5" t="str">
        <f>IF(H270="","",VLOOKUP(H270,DB!A:B,2,0))</f>
        <v>openGear X</v>
      </c>
      <c r="J270" s="6">
        <v>2.0</v>
      </c>
      <c r="K270" s="6" t="s">
        <v>105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179</v>
      </c>
      <c r="B271" s="6" t="str">
        <f>IF(A271="","",VLOOKUP(A271,DB!A:B,2,0))</f>
        <v>openGear X</v>
      </c>
      <c r="C271" s="6">
        <v>1.0</v>
      </c>
      <c r="D271" s="6" t="s">
        <v>313</v>
      </c>
      <c r="E271" s="6" t="s">
        <v>406</v>
      </c>
      <c r="F271" s="6" t="s">
        <v>239</v>
      </c>
      <c r="G271" s="6" t="s">
        <v>400</v>
      </c>
      <c r="H271" s="6" t="s">
        <v>179</v>
      </c>
      <c r="I271" s="5" t="str">
        <f>IF(H271="","",VLOOKUP(H271,DB!A:B,2,0))</f>
        <v>openGear X</v>
      </c>
      <c r="J271" s="6">
        <v>5.0</v>
      </c>
      <c r="K271" s="6" t="s">
        <v>105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179</v>
      </c>
      <c r="B272" s="6" t="str">
        <f>IF(A272="","",VLOOKUP(A272,DB!A:B,2,0))</f>
        <v>openGear X</v>
      </c>
      <c r="C272" s="6">
        <v>1.0</v>
      </c>
      <c r="D272" s="6" t="s">
        <v>313</v>
      </c>
      <c r="E272" s="6" t="s">
        <v>407</v>
      </c>
      <c r="F272" s="6" t="s">
        <v>239</v>
      </c>
      <c r="G272" s="6" t="s">
        <v>400</v>
      </c>
      <c r="H272" s="6" t="s">
        <v>180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179</v>
      </c>
      <c r="B273" s="6" t="str">
        <f>IF(A273="","",VLOOKUP(A273,DB!A:B,2,0))</f>
        <v>openGear X</v>
      </c>
      <c r="C273" s="6">
        <v>1.0</v>
      </c>
      <c r="D273" s="6" t="s">
        <v>313</v>
      </c>
      <c r="E273" s="6" t="s">
        <v>408</v>
      </c>
      <c r="F273" s="6" t="s">
        <v>239</v>
      </c>
      <c r="G273" s="6" t="s">
        <v>400</v>
      </c>
      <c r="H273" s="6" t="s">
        <v>345</v>
      </c>
      <c r="I273" s="5" t="str">
        <f>IF(H273="","",VLOOKUP(H273,DB!A:B,2,0))</f>
        <v>VIDEObit 3G-LINK-TD</v>
      </c>
      <c r="J273" s="6"/>
      <c r="K273" s="6" t="s">
        <v>67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179</v>
      </c>
      <c r="B274" s="6" t="str">
        <f>IF(A274="","",VLOOKUP(A274,DB!A:B,2,0))</f>
        <v>openGear X</v>
      </c>
      <c r="C274" s="6">
        <v>1.0</v>
      </c>
      <c r="D274" s="6" t="s">
        <v>313</v>
      </c>
      <c r="E274" s="6" t="s">
        <v>409</v>
      </c>
      <c r="F274" s="6" t="s">
        <v>239</v>
      </c>
      <c r="G274" s="6" t="s">
        <v>400</v>
      </c>
      <c r="H274" s="6" t="s">
        <v>87</v>
      </c>
      <c r="I274" s="5" t="str">
        <f>IF(H274="","",VLOOKUP(H274,DB!A:B,2,0))</f>
        <v/>
      </c>
      <c r="J274" s="6"/>
      <c r="K274" s="6"/>
      <c r="L274" s="5"/>
      <c r="M274" s="6" t="s">
        <v>210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410</v>
      </c>
      <c r="B1" s="15" t="s">
        <v>411</v>
      </c>
      <c r="C1" s="16" t="s">
        <v>412</v>
      </c>
      <c r="D1" s="17" t="s">
        <v>413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414</v>
      </c>
      <c r="B2" s="7" t="s">
        <v>415</v>
      </c>
      <c r="C2" s="18" t="s">
        <v>416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185</v>
      </c>
      <c r="B3" s="7" t="s">
        <v>417</v>
      </c>
      <c r="C3" s="18" t="s">
        <v>418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189</v>
      </c>
      <c r="B4" s="7" t="s">
        <v>419</v>
      </c>
      <c r="C4" s="18" t="s">
        <v>420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191</v>
      </c>
      <c r="B5" s="7" t="s">
        <v>421</v>
      </c>
      <c r="C5" s="18" t="s">
        <v>422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423</v>
      </c>
      <c r="C6" s="19" t="s">
        <v>180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396</v>
      </c>
      <c r="B7" s="11" t="s">
        <v>424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425</v>
      </c>
      <c r="B9" s="7" t="s">
        <v>426</v>
      </c>
      <c r="C9" s="18" t="s">
        <v>427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428</v>
      </c>
      <c r="C10" s="18" t="s">
        <v>429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75</v>
      </c>
      <c r="B11" s="7" t="s">
        <v>430</v>
      </c>
      <c r="C11" s="18" t="s">
        <v>431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80</v>
      </c>
      <c r="B12" s="7" t="s">
        <v>432</v>
      </c>
      <c r="C12" s="18" t="s">
        <v>433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434</v>
      </c>
      <c r="B14" s="11" t="s">
        <v>435</v>
      </c>
      <c r="C14" s="19" t="s">
        <v>180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436</v>
      </c>
      <c r="B15" s="7" t="s">
        <v>437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438</v>
      </c>
      <c r="C16" s="18" t="s">
        <v>439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47</v>
      </c>
      <c r="B17" s="7" t="s">
        <v>440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441</v>
      </c>
      <c r="C18" s="19" t="s">
        <v>180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260</v>
      </c>
      <c r="B19" s="7" t="s">
        <v>442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112</v>
      </c>
      <c r="B20" s="7" t="s">
        <v>442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367</v>
      </c>
      <c r="B22" s="11" t="s">
        <v>443</v>
      </c>
      <c r="C22" s="19" t="s">
        <v>444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369</v>
      </c>
      <c r="B23" s="11" t="s">
        <v>445</v>
      </c>
      <c r="C23" s="19" t="s">
        <v>446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447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212</v>
      </c>
      <c r="B26" s="7" t="s">
        <v>448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449</v>
      </c>
      <c r="B27" s="7" t="s">
        <v>450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215</v>
      </c>
      <c r="B28" s="7" t="s">
        <v>451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218</v>
      </c>
      <c r="B29" s="7" t="s">
        <v>451</v>
      </c>
      <c r="C29" s="19" t="s">
        <v>180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224</v>
      </c>
      <c r="B30" s="7" t="s">
        <v>452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199</v>
      </c>
      <c r="B31" s="7" t="s">
        <v>453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142</v>
      </c>
      <c r="B32" s="7" t="s">
        <v>454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359</v>
      </c>
      <c r="B33" s="7" t="s">
        <v>450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183</v>
      </c>
      <c r="B34" s="7" t="s">
        <v>454</v>
      </c>
      <c r="C34" s="18" t="s">
        <v>455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390</v>
      </c>
      <c r="B35" s="7" t="s">
        <v>456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66</v>
      </c>
      <c r="B36" s="7" t="s">
        <v>457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149</v>
      </c>
      <c r="B37" s="7" t="s">
        <v>458</v>
      </c>
      <c r="C37" s="19" t="s">
        <v>180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221</v>
      </c>
      <c r="B38" s="7" t="s">
        <v>458</v>
      </c>
      <c r="C38" s="18" t="s">
        <v>459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385</v>
      </c>
      <c r="B39" s="7" t="s">
        <v>460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388</v>
      </c>
      <c r="B40" s="7" t="s">
        <v>461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231</v>
      </c>
      <c r="B41" s="7" t="s">
        <v>462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463</v>
      </c>
      <c r="B43" s="7" t="s">
        <v>464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153</v>
      </c>
      <c r="B44" s="7" t="s">
        <v>465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172</v>
      </c>
      <c r="B45" s="7" t="s">
        <v>466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100</v>
      </c>
      <c r="B46" s="7" t="s">
        <v>467</v>
      </c>
      <c r="C46" s="18" t="s">
        <v>468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104</v>
      </c>
      <c r="B47" s="7" t="s">
        <v>469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470</v>
      </c>
      <c r="B49" s="7" t="s">
        <v>471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275</v>
      </c>
      <c r="B50" s="11" t="s">
        <v>472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278</v>
      </c>
      <c r="B51" s="11" t="s">
        <v>473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281</v>
      </c>
      <c r="B52" s="11" t="s">
        <v>474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284</v>
      </c>
      <c r="B53" s="11" t="s">
        <v>475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249</v>
      </c>
      <c r="B54" s="7" t="s">
        <v>476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89</v>
      </c>
      <c r="B55" s="7" t="s">
        <v>477</v>
      </c>
      <c r="C55" s="19" t="s">
        <v>180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379</v>
      </c>
      <c r="B56" s="7" t="s">
        <v>478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479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366</v>
      </c>
      <c r="B60" s="6" t="s">
        <v>480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481</v>
      </c>
      <c r="B61" s="11" t="s">
        <v>482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483</v>
      </c>
      <c r="B62" s="11" t="s">
        <v>484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345</v>
      </c>
      <c r="B63" s="11" t="s">
        <v>485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486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179</v>
      </c>
      <c r="B65" s="7" t="s">
        <v>454</v>
      </c>
      <c r="C65" s="18" t="s">
        <v>487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206</v>
      </c>
      <c r="B67" s="6" t="s">
        <v>488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489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490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255</v>
      </c>
      <c r="B71" s="7" t="s">
        <v>491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382</v>
      </c>
      <c r="B72" s="7" t="s">
        <v>492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348</v>
      </c>
      <c r="B73" s="7" t="s">
        <v>493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344</v>
      </c>
      <c r="B75" s="7" t="s">
        <v>494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351</v>
      </c>
      <c r="B76" s="7" t="s">
        <v>495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346</v>
      </c>
      <c r="B77" s="7" t="s">
        <v>496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372</v>
      </c>
      <c r="B78" s="7" t="s">
        <v>497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498</v>
      </c>
      <c r="B79" s="7" t="s">
        <v>499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375</v>
      </c>
      <c r="B80" s="7" t="s">
        <v>500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146</v>
      </c>
      <c r="B81" s="7" t="s">
        <v>501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347</v>
      </c>
      <c r="B82" s="7" t="s">
        <v>502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377</v>
      </c>
      <c r="B83" s="7" t="s">
        <v>503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108</v>
      </c>
      <c r="B84" s="7" t="s">
        <v>504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371</v>
      </c>
      <c r="B85" s="11" t="s">
        <v>505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506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180</v>
      </c>
      <c r="B89" s="11" t="s">
        <v>507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87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342</v>
      </c>
      <c r="B93" s="6" t="s">
        <v>343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340</v>
      </c>
      <c r="B94" s="6" t="s">
        <v>341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337</v>
      </c>
      <c r="B95" s="6" t="s">
        <v>338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508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509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)"),"L.6")</f>
        <v>L.6</v>
      </c>
      <c r="B3" s="5" t="str">
        <f>IFERROR(__xludf.DUMMYFUNCTION("""COMPUTED_VALUE"""),"openGear X")</f>
        <v>openGear X</v>
      </c>
      <c r="C3" s="5">
        <f>IFERROR(__xludf.DUMMYFUNCTION("""COMPUTED_VALUE"""),2.0)</f>
        <v>2</v>
      </c>
      <c r="D3" s="5" t="str">
        <f>IFERROR(__xludf.DUMMYFUNCTION("""COMPUTED_VALUE"""),"Optic to SDI")</f>
        <v>Optic to SDI</v>
      </c>
      <c r="E3" s="5" t="str">
        <f>IFERROR(__xludf.DUMMYFUNCTION("""COMPUTED_VALUE"""),"SDI Out")</f>
        <v>SDI Out</v>
      </c>
      <c r="F3" s="5"/>
      <c r="G3" s="5"/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10")</f>
        <v>In 10</v>
      </c>
      <c r="L3" s="5" t="str">
        <f>IFERROR(__xludf.DUMMYFUNCTION("""COMPUTED_VALUE"""),"FIBRA MOVIL")</f>
        <v>FIBRA MOVIL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IFERROR(__xludf.DUMMYFUNCTION("""COMPUTED_VALUE"""),"L.6")</f>
        <v>L.6</v>
      </c>
      <c r="B4" s="5" t="str">
        <f>IFERROR(__xludf.DUMMYFUNCTION("""COMPUTED_VALUE"""),"openGear X")</f>
        <v>openGear X</v>
      </c>
      <c r="C4" s="5">
        <f>IFERROR(__xludf.DUMMYFUNCTION("""COMPUTED_VALUE"""),5.0)</f>
        <v>5</v>
      </c>
      <c r="D4" s="5" t="str">
        <f>IFERROR(__xludf.DUMMYFUNCTION("""COMPUTED_VALUE"""),"Optic to SDI")</f>
        <v>Optic to SDI</v>
      </c>
      <c r="E4" s="5" t="str">
        <f>IFERROR(__xludf.DUMMYFUNCTION("""COMPUTED_VALUE"""),"SDI Out")</f>
        <v>SDI Out</v>
      </c>
      <c r="F4" s="5"/>
      <c r="G4" s="5"/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 t="str">
        <f>IFERROR(__xludf.DUMMYFUNCTION("""COMPUTED_VALUE"""),"In 11")</f>
        <v>In 11</v>
      </c>
      <c r="L4" s="5" t="str">
        <f>IFERROR(__xludf.DUMMYFUNCTION("""COMPUTED_VALUE"""),"FIBRA CAMARA")</f>
        <v>FIBRA CAMARA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IFERROR(__xludf.DUMMYFUNCTION("""COMPUTED_VALUE"""),"L.6")</f>
        <v>L.6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IFERROR(__xludf.DUMMYFUNCTION("""COMPUTED_VALUE"""),"Optic to SDI")</f>
        <v>Optic to SDI</v>
      </c>
      <c r="E5" s="5" t="str">
        <f>IFERROR(__xludf.DUMMYFUNCTION("""COMPUTED_VALUE"""),"SDI Out")</f>
        <v>SDI Out</v>
      </c>
      <c r="F5" s="5"/>
      <c r="G5" s="5"/>
      <c r="H5" s="5" t="str">
        <f>IFERROR(__xludf.DUMMYFUNCTION("""COMPUTED_VALUE"""),"C.3")</f>
        <v>C.3</v>
      </c>
      <c r="I5" s="5" t="str">
        <f>IFERROR(__xludf.DUMMYFUNCTION("""COMPUTED_VALUE"""),"AJA KUMO 6464")</f>
        <v>AJA KUMO 6464</v>
      </c>
      <c r="J5" s="5"/>
      <c r="K5" s="5" t="str">
        <f>IFERROR(__xludf.DUMMYFUNCTION("""COMPUTED_VALUE"""),"In 13")</f>
        <v>In 13</v>
      </c>
      <c r="L5" s="5" t="str">
        <f>IFERROR(__xludf.DUMMYFUNCTION("""COMPUTED_VALUE"""),"FIBRA RADIO")</f>
        <v>FIBRA RADIO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IFERROR(__xludf.DUMMYFUNCTION("""COMPUTED_VALUE"""),"L.6")</f>
        <v>L.6</v>
      </c>
      <c r="B6" s="5" t="str">
        <f>IFERROR(__xludf.DUMMYFUNCTION("""COMPUTED_VALUE"""),"openGear X")</f>
        <v>openGear X</v>
      </c>
      <c r="C6" s="5">
        <f>IFERROR(__xludf.DUMMYFUNCTION("""COMPUTED_VALUE"""),4.0)</f>
        <v>4</v>
      </c>
      <c r="D6" s="5" t="str">
        <f>IFERROR(__xludf.DUMMYFUNCTION("""COMPUTED_VALUE"""),"Optic to SDI")</f>
        <v>Optic to SDI</v>
      </c>
      <c r="E6" s="5" t="str">
        <f>IFERROR(__xludf.DUMMYFUNCTION("""COMPUTED_VALUE"""),"SDI Out")</f>
        <v>SDI Out</v>
      </c>
      <c r="F6" s="5"/>
      <c r="G6" s="5"/>
      <c r="H6" s="5" t="str">
        <f>IFERROR(__xludf.DUMMYFUNCTION("""COMPUTED_VALUE"""),"C.3")</f>
        <v>C.3</v>
      </c>
      <c r="I6" s="5" t="str">
        <f>IFERROR(__xludf.DUMMYFUNCTION("""COMPUTED_VALUE"""),"AJA KUMO 6464")</f>
        <v>AJA KUMO 6464</v>
      </c>
      <c r="J6" s="5"/>
      <c r="K6" s="5" t="str">
        <f>IFERROR(__xludf.DUMMYFUNCTION("""COMPUTED_VALUE"""),"In 14")</f>
        <v>In 14</v>
      </c>
      <c r="L6" s="5" t="str">
        <f>IFERROR(__xludf.DUMMYFUNCTION("""COMPUTED_VALUE"""),"FIBRA MOL")</f>
        <v>FIBRA MOL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IFERROR(__xludf.DUMMYFUNCTION("""COMPUTED_VALUE"""),"L.6")</f>
        <v>L.6</v>
      </c>
      <c r="B7" s="5" t="str">
        <f>IFERROR(__xludf.DUMMYFUNCTION("""COMPUTED_VALUE"""),"openGear X")</f>
        <v>openGear X</v>
      </c>
      <c r="C7" s="5">
        <f>IFERROR(__xludf.DUMMYFUNCTION("""COMPUTED_VALUE"""),3.0)</f>
        <v>3</v>
      </c>
      <c r="D7" s="5" t="str">
        <f>IFERROR(__xludf.DUMMYFUNCTION("""COMPUTED_VALUE"""),"Optic to SDI")</f>
        <v>Optic to SDI</v>
      </c>
      <c r="E7" s="5" t="str">
        <f>IFERROR(__xludf.DUMMYFUNCTION("""COMPUTED_VALUE"""),"SDI Out")</f>
        <v>SDI Out</v>
      </c>
      <c r="F7" s="5"/>
      <c r="G7" s="5"/>
      <c r="H7" s="5" t="str">
        <f>IFERROR(__xludf.DUMMYFUNCTION("""COMPUTED_VALUE"""),"C.3")</f>
        <v>C.3</v>
      </c>
      <c r="I7" s="5" t="str">
        <f>IFERROR(__xludf.DUMMYFUNCTION("""COMPUTED_VALUE"""),"AJA KUMO 6464")</f>
        <v>AJA KUMO 6464</v>
      </c>
      <c r="J7" s="5"/>
      <c r="K7" s="5" t="str">
        <f>IFERROR(__xludf.DUMMYFUNCTION("""COMPUTED_VALUE"""),"In 16")</f>
        <v>In 16</v>
      </c>
      <c r="L7" s="5" t="str">
        <f>IFERROR(__xludf.DUMMYFUNCTION("""COMPUTED_VALUE"""),"FIBRA IPLYC")</f>
        <v>FIBRA IPLYC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IFERROR(__xludf.DUMMYFUNCTION("""COMPUTED_VALUE"""),"L.6")</f>
        <v>L.6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IFERROR(__xludf.DUMMYFUNCTION("""COMPUTED_VALUE"""),"J2 (out)")</f>
        <v>J2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IFERROR(__xludf.DUMMYFUNCTION("""COMPUTED_VALUE"""),"L.6")</f>
        <v>L.6</v>
      </c>
      <c r="I8" s="5" t="str">
        <f>IFERROR(__xludf.DUMMYFUNCTION("""COMPUTED_VALUE"""),"openGear X")</f>
        <v>openGear X</v>
      </c>
      <c r="J8" s="5" t="str">
        <f>IFERROR(__xludf.DUMMYFUNCTION("""COMPUTED_VALUE"""),"N/D")</f>
        <v>N/D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IFERROR(__xludf.DUMMYFUNCTION("""COMPUTED_VALUE"""),"L.6")</f>
        <v>L.6</v>
      </c>
      <c r="B9" s="5" t="str">
        <f>IFERROR(__xludf.DUMMYFUNCTION("""COMPUTED_VALUE"""),"openGear X")</f>
        <v>openGear X</v>
      </c>
      <c r="C9" s="5">
        <f>IFERROR(__xludf.DUMMYFUNCTION("""COMPUTED_VALUE"""),1.0)</f>
        <v>1</v>
      </c>
      <c r="D9" s="5" t="str">
        <f>IFERROR(__xludf.DUMMYFUNCTION("""COMPUTED_VALUE"""),"Dist. Amp. 1x9")</f>
        <v>Dist. Amp. 1x9</v>
      </c>
      <c r="E9" s="5" t="str">
        <f>IFERROR(__xludf.DUMMYFUNCTION("""COMPUTED_VALUE"""),"J3 (out)")</f>
        <v>J3 (out)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IFERROR(__xludf.DUMMYFUNCTION("""COMPUTED_VALUE"""),"L.6")</f>
        <v>L.6</v>
      </c>
      <c r="I9" s="5" t="str">
        <f>IFERROR(__xludf.DUMMYFUNCTION("""COMPUTED_VALUE"""),"openGear X")</f>
        <v>openGear X</v>
      </c>
      <c r="J9" s="5" t="str">
        <f>IFERROR(__xludf.DUMMYFUNCTION("""COMPUTED_VALUE"""),"N/D")</f>
        <v>N/D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IFERROR(__xludf.DUMMYFUNCTION("""COMPUTED_VALUE"""),"L.6")</f>
        <v>L.6</v>
      </c>
      <c r="B10" s="5" t="str">
        <f>IFERROR(__xludf.DUMMYFUNCTION("""COMPUTED_VALUE"""),"openGear X")</f>
        <v>openGear X</v>
      </c>
      <c r="C10" s="5">
        <f>IFERROR(__xludf.DUMMYFUNCTION("""COMPUTED_VALUE"""),1.0)</f>
        <v>1</v>
      </c>
      <c r="D10" s="5" t="str">
        <f>IFERROR(__xludf.DUMMYFUNCTION("""COMPUTED_VALUE"""),"Dist. Amp. 1x9")</f>
        <v>Dist. Amp. 1x9</v>
      </c>
      <c r="E10" s="5" t="str">
        <f>IFERROR(__xludf.DUMMYFUNCTION("""COMPUTED_VALUE"""),"J4 (out)")</f>
        <v>J4 (out)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IFERROR(__xludf.DUMMYFUNCTION("""COMPUTED_VALUE"""),"L.6")</f>
        <v>L.6</v>
      </c>
      <c r="I10" s="5" t="str">
        <f>IFERROR(__xludf.DUMMYFUNCTION("""COMPUTED_VALUE"""),"openGear X")</f>
        <v>openGear X</v>
      </c>
      <c r="J10" s="5" t="str">
        <f>IFERROR(__xludf.DUMMYFUNCTION("""COMPUTED_VALUE"""),"N/D")</f>
        <v>N/D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IFERROR(__xludf.DUMMYFUNCTION("""COMPUTED_VALUE"""),"L.6")</f>
        <v>L.6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IFERROR(__xludf.DUMMYFUNCTION("""COMPUTED_VALUE"""),"Dist. Amp. 1x9")</f>
        <v>Dist. Amp. 1x9</v>
      </c>
      <c r="E11" s="5" t="str">
        <f>IFERROR(__xludf.DUMMYFUNCTION("""COMPUTED_VALUE"""),"J5 (out)")</f>
        <v>J5 (out)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IFERROR(__xludf.DUMMYFUNCTION("""COMPUTED_VALUE"""),"L.6")</f>
        <v>L.6</v>
      </c>
      <c r="I11" s="5" t="str">
        <f>IFERROR(__xludf.DUMMYFUNCTION("""COMPUTED_VALUE"""),"openGear X")</f>
        <v>openGear X</v>
      </c>
      <c r="J11" s="5">
        <f>IFERROR(__xludf.DUMMYFUNCTION("""COMPUTED_VALUE"""),3.0)</f>
        <v>3</v>
      </c>
      <c r="K11" s="5" t="str">
        <f>IFERROR(__xludf.DUMMYFUNCTION("""COMPUTED_VALUE"""),"SDI In")</f>
        <v>SDI In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IFERROR(__xludf.DUMMYFUNCTION("""COMPUTED_VALUE"""),"L.6")</f>
        <v>L.6</v>
      </c>
      <c r="B12" s="5" t="str">
        <f>IFERROR(__xludf.DUMMYFUNCTION("""COMPUTED_VALUE"""),"openGear X")</f>
        <v>openGear X</v>
      </c>
      <c r="C12" s="5">
        <f>IFERROR(__xludf.DUMMYFUNCTION("""COMPUTED_VALUE"""),1.0)</f>
        <v>1</v>
      </c>
      <c r="D12" s="5" t="str">
        <f>IFERROR(__xludf.DUMMYFUNCTION("""COMPUTED_VALUE"""),"Dist. Amp. 1x9")</f>
        <v>Dist. Amp. 1x9</v>
      </c>
      <c r="E12" s="5" t="str">
        <f>IFERROR(__xludf.DUMMYFUNCTION("""COMPUTED_VALUE"""),"J6 (out)")</f>
        <v>J6 (out)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IFERROR(__xludf.DUMMYFUNCTION("""COMPUTED_VALUE"""),"L.6")</f>
        <v>L.6</v>
      </c>
      <c r="I12" s="5" t="str">
        <f>IFERROR(__xludf.DUMMYFUNCTION("""COMPUTED_VALUE"""),"openGear X")</f>
        <v>openGear X</v>
      </c>
      <c r="J12" s="5">
        <f>IFERROR(__xludf.DUMMYFUNCTION("""COMPUTED_VALUE"""),2.0)</f>
        <v>2</v>
      </c>
      <c r="K12" s="5" t="str">
        <f>IFERROR(__xludf.DUMMYFUNCTION("""COMPUTED_VALUE"""),"SDI In")</f>
        <v>SDI In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IFERROR(__xludf.DUMMYFUNCTION("""COMPUTED_VALUE"""),"L.6")</f>
        <v>L.6</v>
      </c>
      <c r="B13" s="5" t="str">
        <f>IFERROR(__xludf.DUMMYFUNCTION("""COMPUTED_VALUE"""),"openGear X")</f>
        <v>openGear X</v>
      </c>
      <c r="C13" s="5">
        <f>IFERROR(__xludf.DUMMYFUNCTION("""COMPUTED_VALUE"""),1.0)</f>
        <v>1</v>
      </c>
      <c r="D13" s="5" t="str">
        <f>IFERROR(__xludf.DUMMYFUNCTION("""COMPUTED_VALUE"""),"Dist. Amp. 1x9")</f>
        <v>Dist. Amp. 1x9</v>
      </c>
      <c r="E13" s="5" t="str">
        <f>IFERROR(__xludf.DUMMYFUNCTION("""COMPUTED_VALUE"""),"J7 (out)")</f>
        <v>J7 (out)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IFERROR(__xludf.DUMMYFUNCTION("""COMPUTED_VALUE"""),"L.6")</f>
        <v>L.6</v>
      </c>
      <c r="I13" s="5" t="str">
        <f>IFERROR(__xludf.DUMMYFUNCTION("""COMPUTED_VALUE"""),"openGear X")</f>
        <v>openGear X</v>
      </c>
      <c r="J13" s="5">
        <f>IFERROR(__xludf.DUMMYFUNCTION("""COMPUTED_VALUE"""),5.0)</f>
        <v>5</v>
      </c>
      <c r="K13" s="5" t="str">
        <f>IFERROR(__xludf.DUMMYFUNCTION("""COMPUTED_VALUE"""),"SDI In")</f>
        <v>SDI In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 t="str">
        <f>IFERROR(__xludf.DUMMYFUNCTION("""COMPUTED_VALUE"""),"L.6")</f>
        <v>L.6</v>
      </c>
      <c r="B14" s="5" t="str">
        <f>IFERROR(__xludf.DUMMYFUNCTION("""COMPUTED_VALUE"""),"openGear X")</f>
        <v>openGear X</v>
      </c>
      <c r="C14" s="5">
        <f>IFERROR(__xludf.DUMMYFUNCTION("""COMPUTED_VALUE"""),1.0)</f>
        <v>1</v>
      </c>
      <c r="D14" s="5" t="str">
        <f>IFERROR(__xludf.DUMMYFUNCTION("""COMPUTED_VALUE"""),"Dist. Amp. 1x9")</f>
        <v>Dist. Amp. 1x9</v>
      </c>
      <c r="E14" s="5" t="str">
        <f>IFERROR(__xludf.DUMMYFUNCTION("""COMPUTED_VALUE"""),"J8 (out)")</f>
        <v>J8 (out)</v>
      </c>
      <c r="F14" s="5" t="str">
        <f>IFERROR(__xludf.DUMMYFUNCTION("""COMPUTED_VALUE"""),"T")</f>
        <v>T</v>
      </c>
      <c r="G14" s="5" t="str">
        <f>IFERROR(__xludf.DUMMYFUNCTION("""COMPUTED_VALUE"""),"J1 (in)")</f>
        <v>J1 (in)</v>
      </c>
      <c r="H14" s="5" t="str">
        <f>IFERROR(__xludf.DUMMYFUNCTION("""COMPUTED_VALUE"""),"N/D")</f>
        <v>N/D</v>
      </c>
      <c r="I14" s="5" t="str">
        <f>IFERROR(__xludf.DUMMYFUNCTION("""COMPUTED_VALUE"""),"?????")</f>
        <v>?????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 t="str">
        <f>IFERROR(__xludf.DUMMYFUNCTION("""COMPUTED_VALUE"""),"L.6")</f>
        <v>L.6</v>
      </c>
      <c r="B15" s="5" t="str">
        <f>IFERROR(__xludf.DUMMYFUNCTION("""COMPUTED_VALUE"""),"openGear X")</f>
        <v>openGear X</v>
      </c>
      <c r="C15" s="5">
        <f>IFERROR(__xludf.DUMMYFUNCTION("""COMPUTED_VALUE"""),1.0)</f>
        <v>1</v>
      </c>
      <c r="D15" s="5" t="str">
        <f>IFERROR(__xludf.DUMMYFUNCTION("""COMPUTED_VALUE"""),"Dist. Amp. 1x9")</f>
        <v>Dist. Amp. 1x9</v>
      </c>
      <c r="E15" s="5" t="str">
        <f>IFERROR(__xludf.DUMMYFUNCTION("""COMPUTED_VALUE"""),"J9 (out)")</f>
        <v>J9 (out)</v>
      </c>
      <c r="F15" s="5" t="str">
        <f>IFERROR(__xludf.DUMMYFUNCTION("""COMPUTED_VALUE"""),"T")</f>
        <v>T</v>
      </c>
      <c r="G15" s="5" t="str">
        <f>IFERROR(__xludf.DUMMYFUNCTION("""COMPUTED_VALUE"""),"J1 (in)")</f>
        <v>J1 (in)</v>
      </c>
      <c r="H15" s="5" t="str">
        <f>IFERROR(__xludf.DUMMYFUNCTION("""COMPUTED_VALUE"""),"L.4")</f>
        <v>L.4</v>
      </c>
      <c r="I15" s="5" t="str">
        <f>IFERROR(__xludf.DUMMYFUNCTION("""COMPUTED_VALUE"""),"VIDEObit 3G-LINK-TD")</f>
        <v>VIDEObit 3G-LINK-TD</v>
      </c>
      <c r="J15" s="5"/>
      <c r="K15" s="5" t="str">
        <f>IFERROR(__xludf.DUMMYFUNCTION("""COMPUTED_VALUE"""),"SDI In 2")</f>
        <v>SDI In 2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 t="str">
        <f>IFERROR(__xludf.DUMMYFUNCTION("""COMPUTED_VALUE"""),"L.6")</f>
        <v>L.6</v>
      </c>
      <c r="B16" s="5" t="str">
        <f>IFERROR(__xludf.DUMMYFUNCTION("""COMPUTED_VALUE"""),"openGear X")</f>
        <v>openGear X</v>
      </c>
      <c r="C16" s="5">
        <f>IFERROR(__xludf.DUMMYFUNCTION("""COMPUTED_VALUE"""),1.0)</f>
        <v>1</v>
      </c>
      <c r="D16" s="5" t="str">
        <f>IFERROR(__xludf.DUMMYFUNCTION("""COMPUTED_VALUE"""),"Dist. Amp. 1x9")</f>
        <v>Dist. Amp. 1x9</v>
      </c>
      <c r="E16" s="5" t="str">
        <f>IFERROR(__xludf.DUMMYFUNCTION("""COMPUTED_VALUE"""),"J10 (out)")</f>
        <v>J10 (out)</v>
      </c>
      <c r="F16" s="5" t="str">
        <f>IFERROR(__xludf.DUMMYFUNCTION("""COMPUTED_VALUE"""),"T")</f>
        <v>T</v>
      </c>
      <c r="G16" s="5" t="str">
        <f>IFERROR(__xludf.DUMMYFUNCTION("""COMPUTED_VALUE"""),"J1 (in)")</f>
        <v>J1 (in)</v>
      </c>
      <c r="H16" s="5" t="str">
        <f>IFERROR(__xludf.DUMMYFUNCTION("""COMPUTED_VALUE"""),"N/C")</f>
        <v>N/C</v>
      </c>
      <c r="I16" s="5"/>
      <c r="J16" s="5"/>
      <c r="K16" s="5"/>
      <c r="L16" s="5"/>
      <c r="M16" s="5" t="str">
        <f>IFERROR(__xludf.DUMMYFUNCTION("""COMPUTED_VALUE"""),"Cable suelto en Rack L")</f>
        <v>Cable suelto en Rack L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 t="str">
        <f>IFERROR(__xludf.DUMMYFUNCTION("""COMPUTED_VALUE"""),"L.BACK.1")</f>
        <v>L.BACK.1</v>
      </c>
      <c r="B17" s="5" t="str">
        <f>IFERROR(__xludf.DUMMYFUNCTION("""COMPUTED_VALUE"""),"BM OF to SDI")</f>
        <v>BM OF to SDI</v>
      </c>
      <c r="C17" s="5"/>
      <c r="D17" s="5"/>
      <c r="E17" s="5" t="str">
        <f>IFERROR(__xludf.DUMMYFUNCTION("""COMPUTED_VALUE"""),"SDI Out")</f>
        <v>SDI Out</v>
      </c>
      <c r="F17" s="5"/>
      <c r="G17" s="5"/>
      <c r="H17" s="5" t="str">
        <f>IFERROR(__xludf.DUMMYFUNCTION("""COMPUTED_VALUE"""),"C.3")</f>
        <v>C.3</v>
      </c>
      <c r="I17" s="5" t="str">
        <f>IFERROR(__xludf.DUMMYFUNCTION("""COMPUTED_VALUE"""),"AJA KUMO 6464")</f>
        <v>AJA KUMO 6464</v>
      </c>
      <c r="J17" s="5"/>
      <c r="K17" s="5" t="str">
        <f>IFERROR(__xludf.DUMMYFUNCTION("""COMPUTED_VALUE"""),"In 12")</f>
        <v>In 12</v>
      </c>
      <c r="L17" s="5" t="str">
        <f>IFERROR(__xludf.DUMMYFUNCTION("""COMPUTED_VALUE"""),"FIBRA canal 4")</f>
        <v>FIBRA canal 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