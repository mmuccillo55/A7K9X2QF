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<sst xmlns="http://schemas.openxmlformats.org/spreadsheetml/2006/main" count="1755" uniqueCount="534">
  <si>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</si>
  <si>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</si>
  <si>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</si>
  <si>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</si>
  <si>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</si>
  <si>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</si>
  <si>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</si>
  <si>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</si>
  <si>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</si>
  <si>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</si>
  <si>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</si>
  <si>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</si>
  <si>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</si>
  <si>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</si>
  <si>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</si>
  <si>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</si>
  <si>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</si>
  <si>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</si>
  <si>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</si>
  <si>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</si>
  <si>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</si>
  <si>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</si>
  <si>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</si>
  <si>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</si>
  <si>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</si>
  <si>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</si>
  <si>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</si>
  <si>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</si>
  <si>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</si>
  <si>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</si>
  <si>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</si>
  <si>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</si>
  <si>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</si>
  <si>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</si>
  <si>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</si>
  <si>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</si>
  <si>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</si>
  <si>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</si>
  <si>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</si>
  <si>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</si>
  <si>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</si>
  <si>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</si>
  <si>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</si>
  <si>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</si>
  <si>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</si>
  <si>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</si>
  <si>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</si>
  <si>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</si>
  <si>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</si>
  <si>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</si>
  <si>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</si>
  <si>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</si>
  <si>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</si>
  <si>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</si>
  <si>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</si>
  <si>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</si>
  <si>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</si>
  <si>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</si>
  <si>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</si>
  <si>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</si>
  <si>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</si>
  <si>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</si>
  <si>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</si>
  <si>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</si>
  <si>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</si>
  <si>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</si>
  <si>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</si>
  <si>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</si>
  <si>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</si>
  <si>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</si>
  <si>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</si>
  <si>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</si>
  <si>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</si>
  <si>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</si>
  <si>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</si>
  <si>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</si>
  <si>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</si>
  <si>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</si>
  <si>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</si>
  <si>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</si>
  <si>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</si>
  <si>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</si>
  <si>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</si>
  <si>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</si>
  <si>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</si>
  <si>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</si>
  <si>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</si>
  <si>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</si>
  <si>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</si>
  <si>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</si>
  <si>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</si>
  <si>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</si>
  <si>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</si>
  <si>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</si>
  <si>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</si>
  <si>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</si>
  <si>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</si>
  <si>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</si>
  <si>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</si>
  <si>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</si>
  <si>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</si>
  <si>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</si>
  <si>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</si>
  <si>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</si>
  <si>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</si>
  <si>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</si>
  <si>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</si>
  <si>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</si>
  <si>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</si>
  <si>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</si>
  <si>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</si>
  <si>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</si>
  <si>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</si>
  <si>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</si>
  <si>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</si>
  <si>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</si>
  <si>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</si>
  <si>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</si>
  <si>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</si>
  <si>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</si>
  <si>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</si>
  <si>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</si>
  <si>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</si>
  <si>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</si>
  <si>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</si>
  <si>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</si>
  <si>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</si>
  <si>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</si>
  <si>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</si>
  <si>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</si>
  <si>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</si>
  <si>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</si>
  <si>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</si>
  <si>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</si>
  <si>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</si>
  <si>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</si>
  <si>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</si>
  <si>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</si>
  <si>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</si>
  <si>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</si>
  <si>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</si>
  <si>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</si>
  <si>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</si>
  <si>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</si>
  <si>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</si>
  <si>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</si>
  <si>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</si>
  <si>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</si>
  <si>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</si>
  <si>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</si>
  <si>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</si>
  <si>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</si>
  <si>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</si>
  <si>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</si>
  <si>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</si>
  <si>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</si>
  <si>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</si>
  <si>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</si>
  <si>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</si>
  <si>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</si>
  <si>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</si>
  <si>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</si>
  <si>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</si>
  <si>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</si>
  <si>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</si>
  <si>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</si>
  <si>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</si>
  <si>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</si>
  <si>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</si>
  <si>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</si>
  <si>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</si>
  <si>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</si>
  <si>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</si>
  <si>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</si>
  <si>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</si>
  <si>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</si>
  <si>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</si>
  <si>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</si>
  <si>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</si>
  <si>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</si>
  <si>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</si>
  <si>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</si>
  <si>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</si>
  <si>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</si>
  <si>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</si>
  <si>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</si>
  <si>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</si>
  <si>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</si>
  <si>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</si>
  <si>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</si>
  <si>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</si>
  <si>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</si>
  <si>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</si>
  <si>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</si>
  <si>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</si>
  <si>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</si>
  <si>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</si>
  <si>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</si>
  <si>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</si>
  <si>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</si>
  <si>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</si>
  <si>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</si>
  <si>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</si>
  <si>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</si>
  <si>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</si>
  <si>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</si>
  <si>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</si>
  <si>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</si>
  <si>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</si>
  <si>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</si>
  <si>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</si>
  <si>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</si>
  <si>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</si>
  <si>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</si>
  <si>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</si>
  <si>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</si>
  <si>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</si>
  <si>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</si>
  <si>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</si>
  <si>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</si>
  <si>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</si>
  <si>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</si>
  <si>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</si>
  <si>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</si>
  <si>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</si>
  <si>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</si>
  <si>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</si>
  <si>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</si>
  <si>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</si>
  <si>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</si>
  <si>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</si>
  <si>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</si>
  <si>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</si>
  <si>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</si>
  <si>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</si>
  <si>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</si>
  <si>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</si>
  <si>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</si>
  <si>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</si>
  <si>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</si>
  <si>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</si>
  <si>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</si>
  <si>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</si>
  <si>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</si>
  <si>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</si>
  <si>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</si>
  <si>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</si>
  <si>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</si>
  <si>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</si>
  <si>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</si>
  <si>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</si>
  <si>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</si>
  <si>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</si>
  <si>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</si>
  <si>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</si>
  <si>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</si>
  <si>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</si>
  <si>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</si>
  <si>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</si>
  <si>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</si>
  <si>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</si>
  <si>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</si>
  <si>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</si>
  <si>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</si>
  <si>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</si>
  <si>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</si>
  <si>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</si>
  <si>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</si>
  <si>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</si>
  <si>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</si>
  <si>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</si>
  <si>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</si>
  <si>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</si>
  <si>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</si>
  <si>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</si>
  <si>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</si>
  <si>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</si>
  <si>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</si>
  <si>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</si>
  <si>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</si>
  <si>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</si>
  <si>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</si>
  <si>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</si>
  <si>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</si>
  <si>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</si>
  <si>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</si>
  <si>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</si>
  <si>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</si>
  <si>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</si>
  <si>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</si>
  <si>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</si>
  <si>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</si>
  <si>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</si>
  <si>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</si>
  <si>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</si>
  <si>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</si>
  <si>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</si>
  <si>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</si>
  <si>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</si>
  <si>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</si>
  <si>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</si>
  <si>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</si>
  <si>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</si>
  <si>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</si>
  <si>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</si>
  <si>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</si>
  <si>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</si>
  <si>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</si>
  <si>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</si>
  <si>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</si>
  <si>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</si>
  <si>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</si>
  <si>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</si>
  <si>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</si>
  <si>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</si>
  <si>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</si>
  <si>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</si>
  <si>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</si>
  <si>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</si>
  <si>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</si>
  <si>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</si>
  <si>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</si>
  <si>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</si>
  <si>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</si>
  <si>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</si>
  <si>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</si>
  <si>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</si>
  <si>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</si>
  <si>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</si>
  <si>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</si>
  <si>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</si>
  <si>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</si>
  <si>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</si>
  <si>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</si>
  <si>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</si>
  <si>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</si>
  <si>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</si>
  <si>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</si>
  <si>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</si>
  <si>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</si>
  <si>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</si>
  <si>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</si>
  <si>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</si>
  <si>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</si>
  <si>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</si>
  <si>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</si>
  <si>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</si>
  <si>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</si>
  <si>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</si>
  <si>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</si>
  <si>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</si>
  <si>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</si>
  <si>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</si>
  <si>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</si>
  <si>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</si>
  <si>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</si>
  <si>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</si>
  <si>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</si>
  <si>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</si>
  <si>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</si>
  <si>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</si>
  <si>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J2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</si>
  <si>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</si>
  <si>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</si>
  <si>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</si>
  <si>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</si>
  <si>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</si>
  <si>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</si>
  <si>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</si>
  <si>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</si>
  <si>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</si>
  <si>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</si>
  <si>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</si>
  <si>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</si>
  <si>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</si>
  <si>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</si>
  <si>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</si>
  <si>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</si>
  <si>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</si>
  <si>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</si>
  <si>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</si>
  <si>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</si>
  <si>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</si>
  <si>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</si>
  <si>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</si>
  <si>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</si>
  <si>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</si>
  <si>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</si>
  <si>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</si>
  <si>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</si>
  <si>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</si>
  <si>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</si>
  <si>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</si>
  <si>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</si>
  <si>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</si>
  <si>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</si>
  <si>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</si>
  <si>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</si>
  <si>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</si>
  <si>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</si>
  <si>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</si>
  <si>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</si>
  <si>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</si>
  <si>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</si>
  <si>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</si>
  <si>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</si>
  <si>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</si>
  <si>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</si>
  <si>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</si>
  <si>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</si>
  <si>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</si>
  <si>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</si>
  <si>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</si>
  <si>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</si>
  <si>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</si>
  <si>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</si>
  <si>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</si>
  <si>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</si>
  <si>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</si>
  <si>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</si>
  <si>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</si>
  <si>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</si>
  <si>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</si>
  <si>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</si>
  <si>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</si>
  <si>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</si>
  <si>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Main</t>
  </si>
  <si>
    <t>Video Out 5</t>
  </si>
  <si>
    <t>Video Out 6</t>
  </si>
  <si>
    <t>Video Out 7</t>
  </si>
  <si>
    <t>Video Out 8</t>
  </si>
  <si>
    <t>Loop Out</t>
  </si>
  <si>
    <t>REF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</si>
  <si>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</si>
  <si>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</si>
  <si>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</si>
  <si>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</si>
  <si>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</si>
  <si>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</si>
  <si>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</si>
  <si>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</si>
  <si>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</si>
  <si>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</si>
  <si>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</si>
  <si>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</si>
  <si>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</si>
  <si>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</si>
  <si>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</si>
  <si>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</si>
  <si>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</si>
  <si>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</si>
  <si>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</si>
  <si>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</si>
  <si>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</si>
  <si>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</si>
  <si>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</si>
  <si>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</si>
  <si>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</si>
  <si>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</si>
  <si>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</si>
  <si>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</si>
  <si>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</si>
  <si>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</si>
  <si>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</si>
  <si>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</si>
  <si>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</si>
  <si>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</si>
  <si>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</si>
  <si>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</si>
  <si>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</si>
  <si>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</si>
  <si>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</si>
  <si>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</si>
  <si>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</si>
  <si>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</si>
  <si>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</si>
  <si>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</si>
  <si>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</si>
  <si>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</si>
  <si>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</si>
  <si>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</si>
  <si>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</si>
  <si>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</si>
  <si>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</si>
  <si>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</si>
  <si>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</si>
  <si>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</si>
  <si>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</si>
  <si>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</si>
  <si>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</si>
  <si>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</si>
  <si>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</si>
  <si>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</si>
  <si>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</si>
  <si>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</si>
  <si>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</si>
  <si>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</si>
  <si>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</si>
  <si>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</si>
  <si>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</si>
  <si>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</si>
  <si>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</si>
  <si>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</si>
  <si>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</si>
  <si>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</si>
  <si>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</si>
  <si>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</si>
  <si>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</si>
  <si>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</si>
  <si>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</si>
  <si>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</si>
  <si>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</si>
  <si>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</si>
  <si>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</si>
  <si>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</si>
  <si>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</si>
  <si>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</si>
  <si>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</si>
  <si>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</si>
  <si>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</si>
  <si>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</si>
  <si>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</si>
  <si>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</si>
  <si>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</si>
  <si>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</si>
  <si>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</si>
  <si>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</si>
  <si>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</si>
  <si>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</si>
  <si>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</si>
  <si>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</si>
  <si>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</si>
  <si>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</si>
  <si>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a.6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</si>
</sst>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6" t="s">
        <v>20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21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25</v>
      </c>
      <c r="M4" s="6" t="s">
        <v>26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28</v>
      </c>
      <c r="M5" s="6" t="s">
        <v>29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31</v>
      </c>
      <c r="M6" s="6" t="s">
        <v>32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34</v>
      </c>
      <c r="M7" s="6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37</v>
      </c>
      <c r="M8" s="6" t="s">
        <v>38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40</v>
      </c>
      <c r="M9" s="6" t="s">
        <v>41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43</v>
      </c>
      <c r="M10" s="6" t="s">
        <v>44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46</v>
      </c>
      <c r="M11" s="6" t="s">
        <v>47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/>
      <c r="L12" s="6" t="s">
        <v>50</v>
      </c>
      <c r="M12" s="6" t="s">
        <v>51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/>
      <c r="L13" s="6" t="s">
        <v>53</v>
      </c>
      <c r="M13" s="6" t="s">
        <v>54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/>
      <c r="L14" s="6" t="s">
        <v>56</v>
      </c>
      <c r="M14" s="6" t="s">
        <v>57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/>
      <c r="L15" s="6" t="s">
        <v>59</v>
      </c>
      <c r="M15" s="6" t="s">
        <v>60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/>
      <c r="L16" s="6" t="s">
        <v>62</v>
      </c>
      <c r="M16" s="6" t="s">
        <v>63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/>
      <c r="L17" s="6" t="s">
        <v>65</v>
      </c>
      <c r="M17" s="6" t="s">
        <v>66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/>
      <c r="L18" s="6" t="s">
        <v>69</v>
      </c>
      <c r="M18" s="6" t="s">
        <v>70</v>
      </c>
      <c r="N18" s="6" t="s">
        <v>71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6" t="s">
        <v>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75</v>
      </c>
      <c r="M20" s="6" t="s">
        <v>79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75</v>
      </c>
      <c r="M21" s="6" t="s">
        <v>81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75</v>
      </c>
      <c r="M22" s="6" t="s">
        <v>84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75</v>
      </c>
      <c r="M23" s="6" t="s">
        <v>86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/>
      <c r="L26" s="6" t="s">
        <v>50</v>
      </c>
      <c r="M26" s="6" t="s">
        <v>93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/>
      <c r="L27" s="6" t="s">
        <v>53</v>
      </c>
      <c r="M27" s="6" t="s">
        <v>95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/>
      <c r="L28" s="6" t="s">
        <v>56</v>
      </c>
      <c r="M28" s="6" t="s">
        <v>97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/>
      <c r="L29" s="6" t="s">
        <v>59</v>
      </c>
      <c r="M29" s="6" t="s">
        <v>99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/>
      <c r="N30" s="6" t="s">
        <v>101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74</v>
      </c>
      <c r="L31" s="6" t="s">
        <v>104</v>
      </c>
      <c r="M31" s="6" t="s">
        <v>105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/>
      <c r="L32" s="6" t="s">
        <v>108</v>
      </c>
      <c r="M32" s="6" t="s">
        <v>109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5"/>
      <c r="M33" s="6" t="s">
        <v>112</v>
      </c>
      <c r="N33" s="6" t="s">
        <v>113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/>
      <c r="L34" s="6" t="s">
        <v>65</v>
      </c>
      <c r="M34" s="6" t="s">
        <v>116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/>
      <c r="L35" s="6" t="s">
        <v>62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/>
      <c r="L36" s="6" t="s">
        <v>59</v>
      </c>
      <c r="M36" s="6" t="s">
        <v>120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/>
      <c r="L37" s="6" t="s">
        <v>56</v>
      </c>
      <c r="M37" s="6" t="s">
        <v>122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/>
      <c r="L38" s="6" t="s">
        <v>53</v>
      </c>
      <c r="M38" s="6" t="s">
        <v>124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/>
      <c r="L39" s="6" t="s">
        <v>50</v>
      </c>
      <c r="M39" s="6" t="s">
        <v>126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/>
      <c r="L40" s="6" t="s">
        <v>46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/>
      <c r="L41" s="6" t="s">
        <v>43</v>
      </c>
      <c r="M41" s="6" t="s">
        <v>116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/>
      <c r="L42" s="6" t="s">
        <v>40</v>
      </c>
      <c r="M42" s="6" t="s">
        <v>130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/>
      <c r="L43" s="6" t="s">
        <v>37</v>
      </c>
      <c r="M43" s="6" t="s">
        <v>132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/>
      <c r="L44" s="6" t="s">
        <v>34</v>
      </c>
      <c r="M44" s="6" t="s">
        <v>134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/>
      <c r="L45" s="6" t="s">
        <v>31</v>
      </c>
      <c r="M45" s="6" t="s">
        <v>136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/>
      <c r="L46" s="6" t="s">
        <v>28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/>
      <c r="L47" s="6" t="s">
        <v>25</v>
      </c>
      <c r="M47" s="6" t="s">
        <v>139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/>
      <c r="L48" s="6" t="s">
        <v>22</v>
      </c>
      <c r="M48" s="6" t="s">
        <v>141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143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147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151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/>
      <c r="L53" s="6" t="s">
        <v>69</v>
      </c>
      <c r="M53" s="6" t="s">
        <v>154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158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75</v>
      </c>
      <c r="M57" s="6" t="s">
        <v>162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/>
      <c r="L58" s="6" t="s">
        <v>164</v>
      </c>
      <c r="M58" s="6" t="s">
        <v>165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5"/>
      <c r="M59" s="6" t="s">
        <v>167</v>
      </c>
      <c r="N59" s="6" t="s">
        <v>168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/>
      <c r="L60" s="6" t="s">
        <v>170</v>
      </c>
      <c r="M60" s="6" t="s">
        <v>171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/>
      <c r="L61" s="6" t="s">
        <v>173</v>
      </c>
      <c r="M61" s="6" t="s">
        <v>174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/>
      <c r="L62" s="6" t="s">
        <v>177</v>
      </c>
      <c r="M62" s="6" t="s">
        <v>178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/>
      <c r="L63" s="6" t="s">
        <v>180</v>
      </c>
      <c r="M63" s="6" t="s">
        <v>181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/>
      <c r="L64" s="6" t="s">
        <v>108</v>
      </c>
      <c r="M64" s="6" t="s">
        <v>185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188</v>
      </c>
      <c r="L65" s="6" t="s">
        <v>108</v>
      </c>
      <c r="M65" s="6" t="s">
        <v>189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190</v>
      </c>
      <c r="B66" s="6" t="str">
        <f>IF(A66="","",VLOOKUP(A66,DB!A:B,2,0))</f>
        <v>Player A</v>
      </c>
      <c r="C66" s="6">
        <v>1.0</v>
      </c>
      <c r="D66" s="6" t="s">
        <v>74</v>
      </c>
      <c r="E66" s="6" t="s">
        <v>191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192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74</v>
      </c>
      <c r="E67" s="6" t="s">
        <v>191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22</v>
      </c>
      <c r="M67" s="6" t="s">
        <v>194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74</v>
      </c>
      <c r="E68" s="7" t="s">
        <v>191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25</v>
      </c>
      <c r="M68" s="7" t="s">
        <v>196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74</v>
      </c>
      <c r="E69" s="9" t="s">
        <v>191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28</v>
      </c>
      <c r="M69" s="9" t="s">
        <v>197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31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34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37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40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43</v>
      </c>
      <c r="M74" s="12" t="s">
        <v>90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46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50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53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56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59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62</v>
      </c>
      <c r="M80" s="6" t="s">
        <v>90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65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90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90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244</v>
      </c>
      <c r="G91" s="6" t="s">
        <v>245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246</v>
      </c>
      <c r="M91" s="6" t="s">
        <v>247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244</v>
      </c>
      <c r="G92" s="6" t="s">
        <v>245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248</v>
      </c>
      <c r="M92" s="6" t="s">
        <v>249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244</v>
      </c>
      <c r="G93" s="6" t="s">
        <v>245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74</v>
      </c>
      <c r="E94" s="6" t="s">
        <v>251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252</v>
      </c>
      <c r="M94" s="6" t="s">
        <v>253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254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255</v>
      </c>
      <c r="M95" s="6" t="s">
        <v>256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257</v>
      </c>
      <c r="M96" s="6" t="s">
        <v>258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259</v>
      </c>
      <c r="M97" s="6" t="s">
        <v>90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260</v>
      </c>
      <c r="B98" s="6" t="str">
        <f>IF(A98="","",VLOOKUP(A98,DB!A:B,2,0))</f>
        <v>Apple TV</v>
      </c>
      <c r="C98" s="5"/>
      <c r="D98" s="5"/>
      <c r="E98" s="6" t="s">
        <v>261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262</v>
      </c>
      <c r="M98" s="6" t="s">
        <v>263</v>
      </c>
      <c r="N98" s="5"/>
      <c r="O98" s="6" t="s">
        <v>264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265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244</v>
      </c>
      <c r="G99" s="6" t="s">
        <v>62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266</v>
      </c>
      <c r="M99" s="6" t="s">
        <v>267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265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244</v>
      </c>
      <c r="G100" s="6" t="s">
        <v>59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268</v>
      </c>
      <c r="M100" s="6" t="s">
        <v>269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265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244</v>
      </c>
      <c r="G101" s="6" t="s">
        <v>56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270</v>
      </c>
      <c r="M101" s="6" t="s">
        <v>271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265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244</v>
      </c>
      <c r="G102" s="6" t="s">
        <v>53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272</v>
      </c>
      <c r="M102" s="6" t="s">
        <v>273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265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244</v>
      </c>
      <c r="G103" s="6" t="s">
        <v>50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274</v>
      </c>
      <c r="M103" s="6" t="s">
        <v>275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265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244</v>
      </c>
      <c r="G104" s="6" t="s">
        <v>46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276</v>
      </c>
      <c r="M104" s="6" t="s">
        <v>277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265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244</v>
      </c>
      <c r="G105" s="6" t="s">
        <v>43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278</v>
      </c>
      <c r="M105" s="6" t="s">
        <v>279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280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281</v>
      </c>
      <c r="M106" s="6" t="s">
        <v>282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283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284</v>
      </c>
      <c r="M107" s="6" t="s">
        <v>285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286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287</v>
      </c>
      <c r="M108" s="6" t="s">
        <v>288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289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290</v>
      </c>
      <c r="M109" s="6" t="s">
        <v>291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292</v>
      </c>
      <c r="M110" s="6" t="s">
        <v>90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293</v>
      </c>
      <c r="M111" s="6" t="s">
        <v>90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294</v>
      </c>
      <c r="M112" s="6" t="s">
        <v>90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295</v>
      </c>
      <c r="M113" s="6" t="s">
        <v>90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90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296</v>
      </c>
      <c r="M114" s="6" t="s">
        <v>90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90</v>
      </c>
      <c r="N115" s="6" t="s">
        <v>298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299</v>
      </c>
      <c r="M116" s="6" t="s">
        <v>90</v>
      </c>
      <c r="N116" s="6" t="s">
        <v>298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300</v>
      </c>
      <c r="M117" s="6" t="s">
        <v>90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74</v>
      </c>
      <c r="E118" s="6" t="s">
        <v>191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301</v>
      </c>
      <c r="M118" s="6" t="s">
        <v>302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90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303</v>
      </c>
      <c r="M119" s="6" t="s">
        <v>304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74</v>
      </c>
      <c r="E120" s="6" t="s">
        <v>305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306</v>
      </c>
      <c r="M120" s="6" t="s">
        <v>307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308</v>
      </c>
      <c r="M121" s="6" t="s">
        <v>90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309</v>
      </c>
      <c r="M122" s="6" t="s">
        <v>165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90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310</v>
      </c>
      <c r="M123" s="6" t="s">
        <v>167</v>
      </c>
      <c r="N123" s="6" t="s">
        <v>168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311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312</v>
      </c>
      <c r="M124" s="6" t="s">
        <v>313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314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315</v>
      </c>
      <c r="M125" s="6" t="s">
        <v>316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317</v>
      </c>
      <c r="M126" s="6" t="s">
        <v>90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318</v>
      </c>
      <c r="E127" s="6" t="s">
        <v>319</v>
      </c>
      <c r="F127" s="6" t="s">
        <v>244</v>
      </c>
      <c r="G127" s="6" t="s">
        <v>320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321</v>
      </c>
      <c r="M127" s="6" t="s">
        <v>322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323</v>
      </c>
      <c r="M128" s="6" t="s">
        <v>324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325</v>
      </c>
      <c r="M129" s="6" t="s">
        <v>326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190</v>
      </c>
      <c r="B130" s="6" t="str">
        <f>IF(A130="","",VLOOKUP(A130,DB!A:B,2,0))</f>
        <v>Player A</v>
      </c>
      <c r="C130" s="6">
        <v>2.0</v>
      </c>
      <c r="D130" s="6" t="s">
        <v>74</v>
      </c>
      <c r="E130" s="6" t="s">
        <v>191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/>
      <c r="L130" s="6" t="s">
        <v>31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74</v>
      </c>
      <c r="E131" s="6" t="s">
        <v>191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/>
      <c r="L131" s="6" t="s">
        <v>34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/>
      <c r="M132" s="6" t="s">
        <v>192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/>
      <c r="M133" s="6" t="s">
        <v>327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/>
      <c r="M134" s="6" t="s">
        <v>328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/>
      <c r="M135" s="6" t="s">
        <v>329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244</v>
      </c>
      <c r="G136" s="6" t="s">
        <v>56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330</v>
      </c>
      <c r="L136" s="6" t="s">
        <v>108</v>
      </c>
      <c r="M136" s="6" t="s">
        <v>331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244</v>
      </c>
      <c r="G137" s="6" t="s">
        <v>59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330</v>
      </c>
      <c r="L137" s="6" t="s">
        <v>108</v>
      </c>
      <c r="M137" s="6" t="s">
        <v>332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244</v>
      </c>
      <c r="G138" s="6" t="s">
        <v>62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330</v>
      </c>
      <c r="L138" s="6" t="s">
        <v>108</v>
      </c>
      <c r="M138" s="6" t="s">
        <v>333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244</v>
      </c>
      <c r="G139" s="6" t="s">
        <v>65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330</v>
      </c>
      <c r="L139" s="6" t="s">
        <v>108</v>
      </c>
      <c r="M139" s="6" t="s">
        <v>334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21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/>
      <c r="M140" s="6" t="s">
        <v>335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/>
      <c r="M141" s="6" t="s">
        <v>336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/>
      <c r="M142" s="6" t="s">
        <v>337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/>
      <c r="M143" s="6" t="s">
        <v>338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/>
      <c r="M145" s="6" t="s">
        <v>339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/>
      <c r="M146" s="6" t="s">
        <v>340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/>
      <c r="M147" s="6" t="s">
        <v>341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244</v>
      </c>
      <c r="G148" s="6" t="s">
        <v>18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5"/>
      <c r="N148" s="6" t="s">
        <v>342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21</v>
      </c>
      <c r="F149" s="6" t="s">
        <v>244</v>
      </c>
      <c r="G149" s="6" t="s">
        <v>22</v>
      </c>
      <c r="H149" s="6" t="s">
        <v>49</v>
      </c>
      <c r="I149" s="5" t="str">
        <f>IF(H149="","",VLOOKUP(H149,DB!A:B,2,0))</f>
        <v>Blackmagic Multiview 16</v>
      </c>
      <c r="J149" s="5"/>
      <c r="K149" s="6"/>
      <c r="L149" s="6" t="s">
        <v>22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244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/>
      <c r="L150" s="6" t="s">
        <v>25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244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/>
      <c r="L151" s="6" t="s">
        <v>28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244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/>
      <c r="L152" s="6" t="s">
        <v>31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244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/>
      <c r="L153" s="6" t="s">
        <v>34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244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/>
      <c r="L154" s="6" t="s">
        <v>37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244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/>
      <c r="L155" s="6" t="s">
        <v>40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244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/>
      <c r="L156" s="6" t="s">
        <v>43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244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/>
      <c r="L157" s="6" t="s">
        <v>46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265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244</v>
      </c>
      <c r="G159" s="6" t="s">
        <v>18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265</v>
      </c>
      <c r="B160" s="6" t="str">
        <f>IF(A160="","",VLOOKUP(A160,DB!A:B,2,0))</f>
        <v>Patch Panel</v>
      </c>
      <c r="C160" s="5"/>
      <c r="D160" s="6"/>
      <c r="E160" s="6" t="s">
        <v>21</v>
      </c>
      <c r="F160" s="6" t="s">
        <v>244</v>
      </c>
      <c r="G160" s="6" t="s">
        <v>22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265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244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265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244</v>
      </c>
      <c r="G162" s="6" t="s">
        <v>28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265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244</v>
      </c>
      <c r="G163" s="6" t="s">
        <v>31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265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244</v>
      </c>
      <c r="G164" s="6" t="s">
        <v>34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265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244</v>
      </c>
      <c r="G165" s="6" t="s">
        <v>37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265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244</v>
      </c>
      <c r="G166" s="6" t="s">
        <v>40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265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244</v>
      </c>
      <c r="G167" s="6" t="s">
        <v>65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244</v>
      </c>
      <c r="G168" s="6" t="s">
        <v>18</v>
      </c>
      <c r="H168" s="6" t="s">
        <v>343</v>
      </c>
      <c r="I168" s="5" t="str">
        <f>IF(H168="","",VLOOKUP(H168,DB!A:B,2,0))</f>
        <v>Monitor Pvw TX</v>
      </c>
      <c r="J168" s="5"/>
      <c r="K168" s="6"/>
      <c r="L168" s="6" t="s">
        <v>245</v>
      </c>
      <c r="M168" s="5"/>
      <c r="N168" s="5"/>
      <c r="O168" s="6" t="s">
        <v>344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21</v>
      </c>
      <c r="F169" s="6" t="s">
        <v>244</v>
      </c>
      <c r="G169" s="6" t="s">
        <v>22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244</v>
      </c>
      <c r="G170" s="6" t="s">
        <v>25</v>
      </c>
      <c r="H170" s="6" t="s">
        <v>345</v>
      </c>
      <c r="I170" s="5" t="str">
        <f>IF(H170="","",VLOOKUP(H170,DB!A:B,2,0))</f>
        <v>Monitor Linea TX</v>
      </c>
      <c r="J170" s="5"/>
      <c r="K170" s="6"/>
      <c r="L170" s="6" t="s">
        <v>245</v>
      </c>
      <c r="M170" s="5"/>
      <c r="N170" s="5"/>
      <c r="O170" s="6" t="s">
        <v>344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244</v>
      </c>
      <c r="G171" s="6" t="s">
        <v>28</v>
      </c>
      <c r="H171" s="6" t="s">
        <v>346</v>
      </c>
      <c r="I171" s="5" t="str">
        <f>IF(H171="","",VLOOKUP(H171,DB!A:B,2,0))</f>
        <v>Monitor MV TX</v>
      </c>
      <c r="J171" s="5"/>
      <c r="K171" s="6"/>
      <c r="L171" s="6" t="s">
        <v>245</v>
      </c>
      <c r="M171" s="5"/>
      <c r="N171" s="5"/>
      <c r="O171" s="6" t="s">
        <v>344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244</v>
      </c>
      <c r="G172" s="6" t="s">
        <v>31</v>
      </c>
      <c r="H172" s="6" t="s">
        <v>347</v>
      </c>
      <c r="I172" s="5" t="str">
        <f>IF(H172="","",VLOOKUP(H172,DB!A:B,2,0))</f>
        <v>Monitor Sonidista</v>
      </c>
      <c r="J172" s="5"/>
      <c r="K172" s="6"/>
      <c r="L172" s="6" t="s">
        <v>245</v>
      </c>
      <c r="M172" s="5"/>
      <c r="N172" s="5"/>
      <c r="O172" s="6" t="s">
        <v>344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244</v>
      </c>
      <c r="G173" s="6" t="s">
        <v>34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244</v>
      </c>
      <c r="G174" s="6" t="s">
        <v>37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244</v>
      </c>
      <c r="G175" s="6" t="s">
        <v>40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244</v>
      </c>
      <c r="G176" s="6" t="s">
        <v>43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244</v>
      </c>
      <c r="G177" s="6" t="s">
        <v>46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244</v>
      </c>
      <c r="G178" s="6" t="s">
        <v>50</v>
      </c>
      <c r="H178" s="6" t="s">
        <v>348</v>
      </c>
      <c r="I178" s="5" t="str">
        <f>IF(H178="","",VLOOKUP(H178,DB!A:B,2,0))</f>
        <v>VIDEObit 3G-LINK-TD</v>
      </c>
      <c r="J178" s="5"/>
      <c r="K178" s="6"/>
      <c r="L178" s="6" t="s">
        <v>164</v>
      </c>
      <c r="M178" s="5"/>
      <c r="N178" s="5"/>
      <c r="O178" s="6" t="s">
        <v>126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244</v>
      </c>
      <c r="G179" s="6" t="s">
        <v>53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244</v>
      </c>
      <c r="G180" s="6" t="s">
        <v>56</v>
      </c>
      <c r="H180" s="6" t="s">
        <v>349</v>
      </c>
      <c r="I180" s="5" t="str">
        <f>IF(H180="","",VLOOKUP(H180,DB!A:B,2,0))</f>
        <v>Monitor Titulos</v>
      </c>
      <c r="J180" s="5"/>
      <c r="K180" s="6"/>
      <c r="L180" s="6" t="s">
        <v>245</v>
      </c>
      <c r="M180" s="5"/>
      <c r="N180" s="5"/>
      <c r="O180" s="6" t="s">
        <v>344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244</v>
      </c>
      <c r="G181" s="6" t="s">
        <v>59</v>
      </c>
      <c r="H181" s="6" t="s">
        <v>350</v>
      </c>
      <c r="I181" s="5" t="str">
        <f>IF(H181="","",VLOOKUP(H181,DB!A:B,2,0))</f>
        <v>Monitor Iluminador</v>
      </c>
      <c r="J181" s="5"/>
      <c r="K181" s="6"/>
      <c r="L181" s="6" t="s">
        <v>245</v>
      </c>
      <c r="M181" s="5"/>
      <c r="N181" s="5"/>
      <c r="O181" s="6" t="s">
        <v>344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244</v>
      </c>
      <c r="G182" s="6" t="s">
        <v>62</v>
      </c>
      <c r="H182" s="6" t="s">
        <v>351</v>
      </c>
      <c r="I182" s="5" t="str">
        <f>IF(H182="","",VLOOKUP(H182,DB!A:B,2,0))</f>
        <v>Monitor Piso</v>
      </c>
      <c r="J182" s="5"/>
      <c r="K182" s="6"/>
      <c r="L182" s="6" t="s">
        <v>245</v>
      </c>
      <c r="M182" s="5"/>
      <c r="N182" s="5"/>
      <c r="O182" s="6" t="s">
        <v>344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244</v>
      </c>
      <c r="G183" s="6" t="s">
        <v>65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244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6" t="s">
        <v>75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318</v>
      </c>
      <c r="L185" s="6" t="s">
        <v>320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330</v>
      </c>
      <c r="E186" s="6" t="s">
        <v>207</v>
      </c>
      <c r="F186" s="6" t="s">
        <v>244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/>
      <c r="L186" s="6" t="s">
        <v>37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330</v>
      </c>
      <c r="E187" s="6" t="s">
        <v>352</v>
      </c>
      <c r="F187" s="6" t="s">
        <v>244</v>
      </c>
      <c r="G187" s="6" t="s">
        <v>108</v>
      </c>
      <c r="H187" s="6" t="s">
        <v>353</v>
      </c>
      <c r="I187" s="5" t="str">
        <f>IF(H187="","",VLOOKUP(H187,DB!A:B,2,0))</f>
        <v>Yamaha QL5</v>
      </c>
      <c r="J187" s="5"/>
      <c r="K187" s="6"/>
      <c r="L187" s="6" t="s">
        <v>354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330</v>
      </c>
      <c r="E188" s="6" t="s">
        <v>355</v>
      </c>
      <c r="F188" s="6" t="s">
        <v>244</v>
      </c>
      <c r="G188" s="6" t="s">
        <v>108</v>
      </c>
      <c r="H188" s="6" t="s">
        <v>353</v>
      </c>
      <c r="I188" s="5" t="str">
        <f>IF(H188="","",VLOOKUP(H188,DB!A:B,2,0))</f>
        <v>Yamaha QL5</v>
      </c>
      <c r="J188" s="5"/>
      <c r="K188" s="6"/>
      <c r="L188" s="6" t="s">
        <v>356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330</v>
      </c>
      <c r="E189" s="6" t="s">
        <v>207</v>
      </c>
      <c r="F189" s="6" t="s">
        <v>244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/>
      <c r="L189" s="6" t="s">
        <v>40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330</v>
      </c>
      <c r="E190" s="6" t="s">
        <v>352</v>
      </c>
      <c r="F190" s="6" t="s">
        <v>244</v>
      </c>
      <c r="G190" s="6" t="s">
        <v>108</v>
      </c>
      <c r="H190" s="6" t="s">
        <v>353</v>
      </c>
      <c r="I190" s="5" t="str">
        <f>IF(H190="","",VLOOKUP(H190,DB!A:B,2,0))</f>
        <v>Yamaha QL5</v>
      </c>
      <c r="J190" s="5"/>
      <c r="K190" s="6"/>
      <c r="L190" s="6" t="s">
        <v>357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330</v>
      </c>
      <c r="E191" s="6" t="s">
        <v>355</v>
      </c>
      <c r="F191" s="6" t="s">
        <v>244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/>
      <c r="L191" s="6" t="s">
        <v>90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330</v>
      </c>
      <c r="E192" s="6" t="s">
        <v>207</v>
      </c>
      <c r="F192" s="6" t="s">
        <v>244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/>
      <c r="L192" s="6" t="s">
        <v>43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330</v>
      </c>
      <c r="E193" s="6" t="s">
        <v>352</v>
      </c>
      <c r="F193" s="6" t="s">
        <v>244</v>
      </c>
      <c r="G193" s="6" t="s">
        <v>108</v>
      </c>
      <c r="H193" s="6" t="s">
        <v>353</v>
      </c>
      <c r="I193" s="5" t="str">
        <f>IF(H193="","",VLOOKUP(H193,DB!A:B,2,0))</f>
        <v>Yamaha QL5</v>
      </c>
      <c r="J193" s="5"/>
      <c r="K193" s="6"/>
      <c r="L193" s="6" t="s">
        <v>358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330</v>
      </c>
      <c r="E194" s="6" t="s">
        <v>355</v>
      </c>
      <c r="F194" s="6" t="s">
        <v>244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/>
      <c r="L194" s="6" t="s">
        <v>90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330</v>
      </c>
      <c r="E195" s="6" t="s">
        <v>207</v>
      </c>
      <c r="F195" s="6" t="s">
        <v>244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/>
      <c r="L195" s="6" t="s">
        <v>46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330</v>
      </c>
      <c r="E196" s="6" t="s">
        <v>352</v>
      </c>
      <c r="F196" s="6" t="s">
        <v>244</v>
      </c>
      <c r="G196" s="6" t="s">
        <v>108</v>
      </c>
      <c r="H196" s="6" t="s">
        <v>353</v>
      </c>
      <c r="I196" s="5" t="str">
        <f>IF(H196="","",VLOOKUP(H196,DB!A:B,2,0))</f>
        <v>Yamaha QL5</v>
      </c>
      <c r="J196" s="5"/>
      <c r="K196" s="6"/>
      <c r="L196" s="6" t="s">
        <v>359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330</v>
      </c>
      <c r="E197" s="6" t="s">
        <v>355</v>
      </c>
      <c r="F197" s="6" t="s">
        <v>244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/>
      <c r="L197" s="6" t="s">
        <v>90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188</v>
      </c>
      <c r="E198" s="6" t="s">
        <v>207</v>
      </c>
      <c r="F198" s="6" t="s">
        <v>244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/>
      <c r="L198" s="6" t="s">
        <v>90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330</v>
      </c>
      <c r="E199" s="6" t="s">
        <v>352</v>
      </c>
      <c r="F199" s="6" t="s">
        <v>244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/>
      <c r="L199" s="6" t="s">
        <v>90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330</v>
      </c>
      <c r="E200" s="6" t="s">
        <v>355</v>
      </c>
      <c r="F200" s="6" t="s">
        <v>244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/>
      <c r="L200" s="6" t="s">
        <v>90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146</v>
      </c>
      <c r="E201" s="6" t="s">
        <v>360</v>
      </c>
      <c r="F201" s="6" t="s">
        <v>244</v>
      </c>
      <c r="G201" s="6" t="s">
        <v>361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146</v>
      </c>
      <c r="E202" s="6" t="s">
        <v>363</v>
      </c>
      <c r="F202" s="6" t="s">
        <v>244</v>
      </c>
      <c r="G202" s="6" t="s">
        <v>361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364</v>
      </c>
      <c r="B203" s="6" t="str">
        <f>IF(A203="","",VLOOKUP(A203,DB!A:B,2,0))</f>
        <v>Cisco D9865</v>
      </c>
      <c r="C203" s="5"/>
      <c r="D203" s="5"/>
      <c r="E203" s="6" t="s">
        <v>229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/>
      <c r="L203" s="6" t="s">
        <v>365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366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366</v>
      </c>
      <c r="E205" s="6" t="s">
        <v>367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366</v>
      </c>
      <c r="E206" s="6" t="s">
        <v>368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366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366</v>
      </c>
      <c r="E208" s="6" t="s">
        <v>367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366</v>
      </c>
      <c r="E209" s="6" t="s">
        <v>368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366</v>
      </c>
      <c r="E210" s="6" t="s">
        <v>367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188</v>
      </c>
      <c r="E211" s="6" t="s">
        <v>207</v>
      </c>
      <c r="F211" s="6" t="s">
        <v>244</v>
      </c>
      <c r="G211" s="6" t="s">
        <v>108</v>
      </c>
      <c r="H211" s="6" t="s">
        <v>225</v>
      </c>
      <c r="I211" s="5" t="str">
        <f>IF(H211="","",VLOOKUP(H211,DB!A:B,2,0))</f>
        <v>AJA FS2</v>
      </c>
      <c r="J211" s="5"/>
      <c r="K211" s="6"/>
      <c r="L211" s="6" t="s">
        <v>164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366</v>
      </c>
      <c r="E212" s="6" t="s">
        <v>368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318</v>
      </c>
      <c r="E213" s="6" t="s">
        <v>369</v>
      </c>
      <c r="F213" s="6" t="s">
        <v>244</v>
      </c>
      <c r="G213" s="6" t="s">
        <v>320</v>
      </c>
      <c r="H213" s="6" t="s">
        <v>370</v>
      </c>
      <c r="I213" s="5" t="str">
        <f>IF(H213="","",VLOOKUP(H213,DB!A:B,2,0))</f>
        <v>VIDEOTRON</v>
      </c>
      <c r="J213" s="5"/>
      <c r="K213" s="6"/>
      <c r="L213" s="6" t="s">
        <v>164</v>
      </c>
      <c r="M213" s="5"/>
      <c r="N213" s="6" t="s">
        <v>184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371</v>
      </c>
      <c r="B214" s="6" t="str">
        <f>IF(A214="","",VLOOKUP(A214,DB!A:B,2,0))</f>
        <v>Raspberry PI 1</v>
      </c>
      <c r="C214" s="5"/>
      <c r="D214" s="6"/>
      <c r="E214" s="6" t="s">
        <v>261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243</v>
      </c>
      <c r="L214" s="6" t="s">
        <v>245</v>
      </c>
      <c r="M214" s="5"/>
      <c r="N214" s="6" t="s">
        <v>372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373</v>
      </c>
      <c r="B215" s="6" t="str">
        <f>IF(A215="","",VLOOKUP(A215,DB!A:B,2,0))</f>
        <v>Raspberry PI 2</v>
      </c>
      <c r="C215" s="5"/>
      <c r="D215" s="6"/>
      <c r="E215" s="6" t="s">
        <v>261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243</v>
      </c>
      <c r="L215" s="6" t="s">
        <v>245</v>
      </c>
      <c r="M215" s="5"/>
      <c r="N215" s="6" t="s">
        <v>374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375</v>
      </c>
      <c r="B216" s="6" t="str">
        <f>IF(A216="","",VLOOKUP(A216,DB!A:B,2,0))</f>
        <v>Deco Direccion</v>
      </c>
      <c r="C216" s="5"/>
      <c r="D216" s="5"/>
      <c r="E216" s="6" t="s">
        <v>261</v>
      </c>
      <c r="F216" s="5"/>
      <c r="G216" s="5"/>
      <c r="H216" s="6" t="s">
        <v>265</v>
      </c>
      <c r="I216" s="5" t="str">
        <f>IF(H216="","",VLOOKUP(H216,DB!A:B,2,0))</f>
        <v>Patch Panel</v>
      </c>
      <c r="J216" s="5"/>
      <c r="K216" s="6"/>
      <c r="L216" s="6" t="s">
        <v>43</v>
      </c>
      <c r="M216" s="5"/>
      <c r="N216" s="5"/>
      <c r="O216" s="6" t="s">
        <v>264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376</v>
      </c>
      <c r="B217" s="6" t="str">
        <f>IF(A217="","",VLOOKUP(A217,DB!A:B,2,0))</f>
        <v>PC Videollamada</v>
      </c>
      <c r="C217" s="6">
        <v>1.0</v>
      </c>
      <c r="D217" s="6" t="s">
        <v>74</v>
      </c>
      <c r="E217" s="6" t="s">
        <v>377</v>
      </c>
      <c r="F217" s="5"/>
      <c r="G217" s="5"/>
      <c r="H217" s="6" t="s">
        <v>265</v>
      </c>
      <c r="I217" s="5" t="str">
        <f>IF(H217="","",VLOOKUP(H217,DB!A:B,2,0))</f>
        <v>Patch Panel</v>
      </c>
      <c r="J217" s="5"/>
      <c r="K217" s="6"/>
      <c r="L217" s="6" t="s">
        <v>59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280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254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280</v>
      </c>
      <c r="B219" s="6" t="str">
        <f>IF(A219="","",VLOOKUP(A219,DB!A:B,2,0))</f>
        <v>Sony HXCU-100 Cam 1</v>
      </c>
      <c r="C219" s="5"/>
      <c r="D219" s="5"/>
      <c r="E219" s="6" t="s">
        <v>311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283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254</v>
      </c>
      <c r="I220" s="5" t="str">
        <f>IF(H220="","",VLOOKUP(H220,DB!A:B,2,0))</f>
        <v>Blackmagic Multiview 4</v>
      </c>
      <c r="J220" s="5"/>
      <c r="K220" s="6"/>
      <c r="L220" s="6" t="s">
        <v>22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283</v>
      </c>
      <c r="B221" s="6" t="str">
        <f>IF(A221="","",VLOOKUP(A221,DB!A:B,2,0))</f>
        <v>Sony HXCU-100 Cam 2</v>
      </c>
      <c r="C221" s="5"/>
      <c r="D221" s="5"/>
      <c r="E221" s="6" t="s">
        <v>311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/>
      <c r="L221" s="6" t="s">
        <v>22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286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254</v>
      </c>
      <c r="I222" s="5" t="str">
        <f>IF(H222="","",VLOOKUP(H222,DB!A:B,2,0))</f>
        <v>Blackmagic Multiview 4</v>
      </c>
      <c r="J222" s="5"/>
      <c r="K222" s="6"/>
      <c r="L222" s="6" t="s">
        <v>25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286</v>
      </c>
      <c r="B223" s="6" t="str">
        <f>IF(A223="","",VLOOKUP(A223,DB!A:B,2,0))</f>
        <v>Sony HXCU-100 Cam 3</v>
      </c>
      <c r="C223" s="5"/>
      <c r="D223" s="5"/>
      <c r="E223" s="6" t="s">
        <v>311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/>
      <c r="L223" s="6" t="s">
        <v>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289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254</v>
      </c>
      <c r="I224" s="5" t="str">
        <f>IF(H224="","",VLOOKUP(H224,DB!A:B,2,0))</f>
        <v>Blackmagic Multiview 4</v>
      </c>
      <c r="J224" s="5"/>
      <c r="K224" s="6"/>
      <c r="L224" s="6" t="s">
        <v>28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289</v>
      </c>
      <c r="B225" s="6" t="str">
        <f>IF(A225="","",VLOOKUP(A225,DB!A:B,2,0))</f>
        <v>Sony HXCU-100 Cam 4</v>
      </c>
      <c r="C225" s="5"/>
      <c r="D225" s="5"/>
      <c r="E225" s="6" t="s">
        <v>311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/>
      <c r="L225" s="6" t="s">
        <v>28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378</v>
      </c>
      <c r="F226" s="5"/>
      <c r="G226" s="5"/>
      <c r="H226" s="6" t="s">
        <v>379</v>
      </c>
      <c r="I226" s="5" t="str">
        <f>IF(H226="","",VLOOKUP(H226,DB!A:B,2,0))</f>
        <v>Monitor Director 2</v>
      </c>
      <c r="J226" s="5"/>
      <c r="K226" s="6"/>
      <c r="L226" s="6" t="s">
        <v>245</v>
      </c>
      <c r="M226" s="5"/>
      <c r="N226" s="5"/>
      <c r="O226" s="6" t="s">
        <v>344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380</v>
      </c>
      <c r="F227" s="5"/>
      <c r="G227" s="5"/>
      <c r="H227" s="6" t="s">
        <v>381</v>
      </c>
      <c r="I227" s="5" t="str">
        <f>IF(H227="","",VLOOKUP(H227,DB!A:B,2,0))</f>
        <v>PC Pantalla</v>
      </c>
      <c r="J227" s="5"/>
      <c r="K227" s="6"/>
      <c r="L227" s="6" t="s">
        <v>245</v>
      </c>
      <c r="M227" s="5"/>
      <c r="N227" s="5"/>
      <c r="O227" s="6" t="s">
        <v>382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21</v>
      </c>
      <c r="F228" s="5"/>
      <c r="G228" s="5"/>
      <c r="H228" s="6" t="s">
        <v>383</v>
      </c>
      <c r="I228" s="5" t="str">
        <f>IF(H228="","",VLOOKUP(H228,DB!A:B,2,0))</f>
        <v>AJA HD5DA</v>
      </c>
      <c r="J228" s="5"/>
      <c r="K228" s="6"/>
      <c r="L228" s="6" t="s">
        <v>108</v>
      </c>
      <c r="M228" s="5"/>
      <c r="N228" s="5"/>
      <c r="O228" s="6" t="s">
        <v>384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383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244</v>
      </c>
      <c r="G229" s="6" t="s">
        <v>108</v>
      </c>
      <c r="H229" s="6" t="s">
        <v>280</v>
      </c>
      <c r="I229" s="5" t="str">
        <f>IF(H229="","",VLOOKUP(H229,DB!A:B,2,0))</f>
        <v>Sony HXCU-100 Cam 1</v>
      </c>
      <c r="J229" s="5"/>
      <c r="K229" s="6"/>
      <c r="L229" s="6" t="s">
        <v>385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383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244</v>
      </c>
      <c r="G230" s="6" t="s">
        <v>108</v>
      </c>
      <c r="H230" s="6" t="s">
        <v>283</v>
      </c>
      <c r="I230" s="5" t="str">
        <f>IF(H230="","",VLOOKUP(H230,DB!A:B,2,0))</f>
        <v>Sony HXCU-100 Cam 2</v>
      </c>
      <c r="J230" s="5"/>
      <c r="K230" s="6"/>
      <c r="L230" s="6" t="s">
        <v>385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383</v>
      </c>
      <c r="B231" s="6" t="str">
        <f>IF(A231="","",VLOOKUP(A231,DB!A:B,2,0))</f>
        <v>AJA HD5DA</v>
      </c>
      <c r="C231" s="5"/>
      <c r="D231" s="5"/>
      <c r="E231" s="6" t="s">
        <v>311</v>
      </c>
      <c r="F231" s="6" t="s">
        <v>244</v>
      </c>
      <c r="G231" s="6" t="s">
        <v>108</v>
      </c>
      <c r="H231" s="6" t="s">
        <v>286</v>
      </c>
      <c r="I231" s="5" t="str">
        <f>IF(H231="","",VLOOKUP(H231,DB!A:B,2,0))</f>
        <v>Sony HXCU-100 Cam 3</v>
      </c>
      <c r="J231" s="5"/>
      <c r="K231" s="6"/>
      <c r="L231" s="6" t="s">
        <v>385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383</v>
      </c>
      <c r="B232" s="6" t="str">
        <f>IF(A232="","",VLOOKUP(A232,DB!A:B,2,0))</f>
        <v>AJA HD5DA</v>
      </c>
      <c r="C232" s="5"/>
      <c r="D232" s="5"/>
      <c r="E232" s="6" t="s">
        <v>314</v>
      </c>
      <c r="F232" s="6" t="s">
        <v>244</v>
      </c>
      <c r="G232" s="6" t="s">
        <v>108</v>
      </c>
      <c r="H232" s="6" t="s">
        <v>289</v>
      </c>
      <c r="I232" s="5" t="str">
        <f>IF(H232="","",VLOOKUP(H232,DB!A:B,2,0))</f>
        <v>Sony HXCU-100 Cam 4</v>
      </c>
      <c r="J232" s="5"/>
      <c r="K232" s="6"/>
      <c r="L232" s="6" t="s">
        <v>385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386</v>
      </c>
      <c r="B233" s="6" t="str">
        <f>IF(A233="","",VLOOKUP(A233,DB!A:B,2,0))</f>
        <v>Patch Estudio</v>
      </c>
      <c r="C233" s="5"/>
      <c r="D233" s="5"/>
      <c r="E233" s="6" t="s">
        <v>387</v>
      </c>
      <c r="F233" s="5"/>
      <c r="G233" s="5"/>
      <c r="H233" s="6" t="s">
        <v>265</v>
      </c>
      <c r="I233" s="5" t="str">
        <f>IF(H233="","",VLOOKUP(H233,DB!A:B,2,0))</f>
        <v>Patch Panel</v>
      </c>
      <c r="J233" s="5"/>
      <c r="K233" s="6"/>
      <c r="L233" s="6" t="s">
        <v>62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265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265</v>
      </c>
      <c r="I235" s="5" t="str">
        <f>IF(H235="","",VLOOKUP(H235,DB!A:B,2,0))</f>
        <v>Patch Panel</v>
      </c>
      <c r="J235" s="5"/>
      <c r="K235" s="6"/>
      <c r="L235" s="6" t="s">
        <v>22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265</v>
      </c>
      <c r="I236" s="5" t="str">
        <f>IF(H236="","",VLOOKUP(H236,DB!A:B,2,0))</f>
        <v>Patch Panel</v>
      </c>
      <c r="J236" s="5"/>
      <c r="K236" s="6"/>
      <c r="L236" s="6" t="s">
        <v>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265</v>
      </c>
      <c r="I237" s="5" t="str">
        <f>IF(H237="","",VLOOKUP(H237,DB!A:B,2,0))</f>
        <v>Patch Panel</v>
      </c>
      <c r="J237" s="5"/>
      <c r="K237" s="6"/>
      <c r="L237" s="6" t="s">
        <v>28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265</v>
      </c>
      <c r="I238" s="5" t="str">
        <f>IF(H238="","",VLOOKUP(H238,DB!A:B,2,0))</f>
        <v>Patch Panel</v>
      </c>
      <c r="J238" s="5"/>
      <c r="K238" s="6"/>
      <c r="L238" s="6" t="s">
        <v>31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265</v>
      </c>
      <c r="I239" s="5" t="str">
        <f>IF(H239="","",VLOOKUP(H239,DB!A:B,2,0))</f>
        <v>Patch Panel</v>
      </c>
      <c r="J239" s="5"/>
      <c r="K239" s="6"/>
      <c r="L239" s="6" t="s">
        <v>34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265</v>
      </c>
      <c r="I240" s="5" t="str">
        <f>IF(H240="","",VLOOKUP(H240,DB!A:B,2,0))</f>
        <v>Patch Panel</v>
      </c>
      <c r="J240" s="5"/>
      <c r="K240" s="6"/>
      <c r="L240" s="6" t="s">
        <v>37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265</v>
      </c>
      <c r="I241" s="5" t="str">
        <f>IF(H241="","",VLOOKUP(H241,DB!A:B,2,0))</f>
        <v>Patch Panel</v>
      </c>
      <c r="J241" s="5"/>
      <c r="K241" s="6"/>
      <c r="L241" s="6" t="s">
        <v>40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265</v>
      </c>
      <c r="I242" s="5" t="str">
        <f>IF(H242="","",VLOOKUP(H242,DB!A:B,2,0))</f>
        <v>Patch Panel</v>
      </c>
      <c r="J242" s="5"/>
      <c r="K242" s="6"/>
      <c r="L242" s="6" t="s">
        <v>46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265</v>
      </c>
      <c r="I243" s="5" t="str">
        <f>IF(H243="","",VLOOKUP(H243,DB!A:B,2,0))</f>
        <v>Patch Panel</v>
      </c>
      <c r="J243" s="5"/>
      <c r="K243" s="6"/>
      <c r="L243" s="6" t="s">
        <v>50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265</v>
      </c>
      <c r="I244" s="5" t="str">
        <f>IF(H244="","",VLOOKUP(H244,DB!A:B,2,0))</f>
        <v>Patch Panel</v>
      </c>
      <c r="J244" s="5"/>
      <c r="K244" s="6"/>
      <c r="L244" s="6" t="s">
        <v>53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265</v>
      </c>
      <c r="I245" s="5" t="str">
        <f>IF(H245="","",VLOOKUP(H245,DB!A:B,2,0))</f>
        <v>Patch Panel</v>
      </c>
      <c r="J245" s="5"/>
      <c r="K245" s="6"/>
      <c r="L245" s="6" t="s">
        <v>56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265</v>
      </c>
      <c r="I246" s="5" t="str">
        <f>IF(H246="","",VLOOKUP(H246,DB!A:B,2,0))</f>
        <v>Patch Panel</v>
      </c>
      <c r="J246" s="5"/>
      <c r="K246" s="6"/>
      <c r="L246" s="6" t="s">
        <v>65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50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53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243</v>
      </c>
      <c r="L249" s="6" t="s">
        <v>245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388</v>
      </c>
      <c r="F250" s="5"/>
      <c r="G250" s="5"/>
      <c r="H250" s="6" t="s">
        <v>389</v>
      </c>
      <c r="I250" s="5" t="str">
        <f>IF(H250="","",VLOOKUP(H250,DB!A:B,2,0))</f>
        <v>Digiwave DSC-131</v>
      </c>
      <c r="J250" s="6"/>
      <c r="K250" s="6"/>
      <c r="L250" s="6" t="s">
        <v>390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389</v>
      </c>
      <c r="B251" s="6" t="str">
        <f>IF(A251="","",VLOOKUP(A251,DB!A:B,2,0))</f>
        <v>Digiwave DSC-131</v>
      </c>
      <c r="C251" s="5"/>
      <c r="D251" s="6"/>
      <c r="E251" s="6" t="s">
        <v>391</v>
      </c>
      <c r="F251" s="5"/>
      <c r="G251" s="5"/>
      <c r="H251" s="6" t="s">
        <v>392</v>
      </c>
      <c r="I251" s="5" t="str">
        <f>IF(H251="","",VLOOKUP(H251,DB!A:B,2,0))</f>
        <v>vidicraft vst2110</v>
      </c>
      <c r="J251" s="6"/>
      <c r="K251" s="6"/>
      <c r="L251" s="6" t="s">
        <v>393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394</v>
      </c>
      <c r="B252" s="6" t="str">
        <f>IF(A252="","",VLOOKUP(A252,DB!A:B,2,0))</f>
        <v>tc electronic Finalizer</v>
      </c>
      <c r="C252" s="5"/>
      <c r="D252" s="6"/>
      <c r="E252" s="6" t="s">
        <v>395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/>
      <c r="L252" s="6" t="s">
        <v>396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394</v>
      </c>
      <c r="B253" s="6" t="str">
        <f>IF(A253="","",VLOOKUP(A253,DB!A:B,2,0))</f>
        <v>tc electronic Finalizer</v>
      </c>
      <c r="C253" s="5"/>
      <c r="D253" s="6"/>
      <c r="E253" s="6" t="s">
        <v>397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6"/>
      <c r="M253" s="5"/>
      <c r="N253" s="6" t="s">
        <v>241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394</v>
      </c>
      <c r="B254" s="6" t="str">
        <f>IF(A254="","",VLOOKUP(A254,DB!A:B,2,0))</f>
        <v>tc electronic Finalizer</v>
      </c>
      <c r="C254" s="5"/>
      <c r="D254" s="6"/>
      <c r="E254" s="6" t="s">
        <v>398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6"/>
      <c r="M254" s="5"/>
      <c r="N254" s="6" t="s">
        <v>241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399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244</v>
      </c>
      <c r="G255" s="6" t="s">
        <v>18</v>
      </c>
      <c r="H255" s="6" t="s">
        <v>190</v>
      </c>
      <c r="I255" s="5" t="str">
        <f>IF(H255="","",VLOOKUP(H255,DB!A:B,2,0))</f>
        <v>Player A</v>
      </c>
      <c r="J255" s="6">
        <v>1.0</v>
      </c>
      <c r="K255" s="6" t="s">
        <v>74</v>
      </c>
      <c r="L255" s="6" t="s">
        <v>400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399</v>
      </c>
      <c r="B256" s="6" t="str">
        <f>IF(A256="","",VLOOKUP(A256,DB!A:B,2,0))</f>
        <v>Videotron DV100-EQ</v>
      </c>
      <c r="C256" s="5"/>
      <c r="D256" s="6"/>
      <c r="E256" s="6" t="s">
        <v>21</v>
      </c>
      <c r="F256" s="6" t="s">
        <v>244</v>
      </c>
      <c r="G256" s="6" t="s">
        <v>18</v>
      </c>
      <c r="H256" s="6" t="s">
        <v>190</v>
      </c>
      <c r="I256" s="5" t="str">
        <f>IF(H256="","",VLOOKUP(H256,DB!A:B,2,0))</f>
        <v>Player A</v>
      </c>
      <c r="J256" s="6">
        <v>2.0</v>
      </c>
      <c r="K256" s="6" t="s">
        <v>74</v>
      </c>
      <c r="L256" s="6" t="s">
        <v>400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399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244</v>
      </c>
      <c r="G257" s="6" t="s">
        <v>18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74</v>
      </c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399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244</v>
      </c>
      <c r="G258" s="6" t="s">
        <v>18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74</v>
      </c>
      <c r="L258" s="6" t="s">
        <v>400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399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244</v>
      </c>
      <c r="G259" s="6" t="s">
        <v>18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74</v>
      </c>
      <c r="L259" s="6" t="s">
        <v>400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244</v>
      </c>
      <c r="G260" s="6" t="s">
        <v>18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74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244</v>
      </c>
      <c r="G261" s="6" t="s">
        <v>18</v>
      </c>
      <c r="H261" s="6" t="s">
        <v>90</v>
      </c>
      <c r="I261" s="5" t="str">
        <f>IF(H261="","",VLOOKUP(H261,DB!A:B,2,0))</f>
        <v/>
      </c>
      <c r="J261" s="6"/>
      <c r="K261" s="6"/>
      <c r="L261" s="6"/>
      <c r="M261" s="5"/>
      <c r="N261" s="6" t="s">
        <v>401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244</v>
      </c>
      <c r="G262" s="6" t="s">
        <v>18</v>
      </c>
      <c r="H262" s="6" t="s">
        <v>90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190</v>
      </c>
      <c r="B263" s="6" t="str">
        <f>IF(A263="","",VLOOKUP(A263,DB!A:B,2,0))</f>
        <v>Player A</v>
      </c>
      <c r="C263" s="6">
        <v>2.0</v>
      </c>
      <c r="D263" s="6" t="s">
        <v>74</v>
      </c>
      <c r="E263" s="6" t="s">
        <v>402</v>
      </c>
      <c r="F263" s="5"/>
      <c r="G263" s="5"/>
      <c r="H263" s="6" t="s">
        <v>353</v>
      </c>
      <c r="I263" s="5" t="str">
        <f>IF(H263="","",VLOOKUP(H263,DB!A:B,2,0))</f>
        <v>Yamaha QL5</v>
      </c>
      <c r="J263" s="6"/>
      <c r="K263" s="6"/>
      <c r="L263" s="6" t="s">
        <v>403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184</v>
      </c>
      <c r="B264" s="6" t="str">
        <f>IF(A264="","",VLOOKUP(A264,DB!A:B,2,0))</f>
        <v>?????</v>
      </c>
      <c r="C264" s="5"/>
      <c r="D264" s="6"/>
      <c r="E264" s="6"/>
      <c r="F264" s="5"/>
      <c r="G264" s="5"/>
      <c r="H264" s="6" t="s">
        <v>183</v>
      </c>
      <c r="I264" s="5" t="str">
        <f>IF(H264="","",VLOOKUP(H264,DB!A:B,2,0))</f>
        <v>openGear X</v>
      </c>
      <c r="J264" s="6">
        <v>1.0</v>
      </c>
      <c r="K264" s="6" t="s">
        <v>318</v>
      </c>
      <c r="L264" s="6" t="s">
        <v>320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183</v>
      </c>
      <c r="B265" s="6" t="str">
        <f>IF(A265="","",VLOOKUP(A265,DB!A:B,2,0))</f>
        <v>openGear X</v>
      </c>
      <c r="C265" s="6">
        <v>1.0</v>
      </c>
      <c r="D265" s="6" t="s">
        <v>318</v>
      </c>
      <c r="E265" s="6" t="s">
        <v>404</v>
      </c>
      <c r="F265" s="6" t="s">
        <v>244</v>
      </c>
      <c r="G265" s="6" t="s">
        <v>320</v>
      </c>
      <c r="H265" s="6" t="s">
        <v>183</v>
      </c>
      <c r="I265" s="5" t="str">
        <f>IF(H265="","",VLOOKUP(H265,DB!A:B,2,0))</f>
        <v>openGear X</v>
      </c>
      <c r="J265" s="6" t="s">
        <v>184</v>
      </c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318</v>
      </c>
      <c r="E266" s="6" t="s">
        <v>405</v>
      </c>
      <c r="F266" s="6" t="s">
        <v>244</v>
      </c>
      <c r="G266" s="6" t="s">
        <v>320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318</v>
      </c>
      <c r="E267" s="6" t="s">
        <v>406</v>
      </c>
      <c r="F267" s="6" t="s">
        <v>244</v>
      </c>
      <c r="G267" s="6" t="s">
        <v>320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318</v>
      </c>
      <c r="E268" s="6" t="s">
        <v>407</v>
      </c>
      <c r="F268" s="6" t="s">
        <v>244</v>
      </c>
      <c r="G268" s="6" t="s">
        <v>320</v>
      </c>
      <c r="H268" s="6" t="s">
        <v>183</v>
      </c>
      <c r="I268" s="5" t="str">
        <f>IF(H268="","",VLOOKUP(H268,DB!A:B,2,0))</f>
        <v>openGear X</v>
      </c>
      <c r="J268" s="6">
        <v>3.0</v>
      </c>
      <c r="K268" s="14" t="s">
        <v>206</v>
      </c>
      <c r="L268" s="6" t="s">
        <v>108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318</v>
      </c>
      <c r="E269" s="6" t="s">
        <v>408</v>
      </c>
      <c r="F269" s="6" t="s">
        <v>244</v>
      </c>
      <c r="G269" s="6" t="s">
        <v>320</v>
      </c>
      <c r="H269" s="6" t="s">
        <v>183</v>
      </c>
      <c r="I269" s="5" t="str">
        <f>IF(H269="","",VLOOKUP(H269,DB!A:B,2,0))</f>
        <v>openGear X</v>
      </c>
      <c r="J269" s="6">
        <v>2.0</v>
      </c>
      <c r="K269" s="14" t="s">
        <v>206</v>
      </c>
      <c r="L269" s="6" t="s">
        <v>108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318</v>
      </c>
      <c r="E270" s="6" t="s">
        <v>409</v>
      </c>
      <c r="F270" s="6" t="s">
        <v>244</v>
      </c>
      <c r="G270" s="6" t="s">
        <v>320</v>
      </c>
      <c r="H270" s="6" t="s">
        <v>183</v>
      </c>
      <c r="I270" s="5" t="str">
        <f>IF(H270="","",VLOOKUP(H270,DB!A:B,2,0))</f>
        <v>openGear X</v>
      </c>
      <c r="J270" s="6">
        <v>5.0</v>
      </c>
      <c r="K270" s="14" t="s">
        <v>206</v>
      </c>
      <c r="L270" s="6" t="s">
        <v>108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318</v>
      </c>
      <c r="E271" s="6" t="s">
        <v>410</v>
      </c>
      <c r="F271" s="6" t="s">
        <v>244</v>
      </c>
      <c r="G271" s="6" t="s">
        <v>320</v>
      </c>
      <c r="H271" s="6" t="s">
        <v>184</v>
      </c>
      <c r="I271" s="5" t="str">
        <f>IF(H271="","",VLOOKUP(H271,DB!A:B,2,0))</f>
        <v>?????</v>
      </c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318</v>
      </c>
      <c r="E272" s="6" t="s">
        <v>411</v>
      </c>
      <c r="F272" s="6" t="s">
        <v>244</v>
      </c>
      <c r="G272" s="6" t="s">
        <v>320</v>
      </c>
      <c r="H272" s="6" t="s">
        <v>348</v>
      </c>
      <c r="I272" s="5" t="str">
        <f>IF(H272="","",VLOOKUP(H272,DB!A:B,2,0))</f>
        <v>VIDEObit 3G-LINK-TD</v>
      </c>
      <c r="J272" s="6"/>
      <c r="K272" s="6"/>
      <c r="L272" s="6" t="s">
        <v>69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318</v>
      </c>
      <c r="E273" s="6" t="s">
        <v>412</v>
      </c>
      <c r="F273" s="6" t="s">
        <v>244</v>
      </c>
      <c r="G273" s="6" t="s">
        <v>320</v>
      </c>
      <c r="H273" s="6" t="s">
        <v>90</v>
      </c>
      <c r="I273" s="5" t="str">
        <f>IF(H273="","",VLOOKUP(H273,DB!A:B,2,0))</f>
        <v/>
      </c>
      <c r="J273" s="6"/>
      <c r="K273" s="6"/>
      <c r="L273" s="6"/>
      <c r="M273" s="5"/>
      <c r="N273" s="6" t="s">
        <v>214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413</v>
      </c>
      <c r="B274" s="6" t="str">
        <f>IF(A274="","",VLOOKUP(A274,DB!A:B,2,0))</f>
        <v>Leader Sync Generator</v>
      </c>
      <c r="C274" s="5"/>
      <c r="D274" s="6"/>
      <c r="E274" s="6" t="s">
        <v>414</v>
      </c>
      <c r="F274" s="5"/>
      <c r="G274" s="5"/>
      <c r="H274" s="6" t="s">
        <v>184</v>
      </c>
      <c r="I274" s="5" t="str">
        <f>IF(H274="","",VLOOKUP(H274,DB!A:B,2,0))</f>
        <v>?????</v>
      </c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413</v>
      </c>
      <c r="B275" s="6" t="str">
        <f>IF(A275="","",VLOOKUP(A275,DB!A:B,2,0))</f>
        <v>Leader Sync Generator</v>
      </c>
      <c r="C275" s="5"/>
      <c r="D275" s="6"/>
      <c r="E275" s="6" t="s">
        <v>415</v>
      </c>
      <c r="F275" s="5"/>
      <c r="G275" s="5"/>
      <c r="H275" s="6" t="s">
        <v>15</v>
      </c>
      <c r="I275" s="5" t="str">
        <f>IF(H275="","",VLOOKUP(H275,DB!A:B,2,0))</f>
        <v>AJA KUMO 6464</v>
      </c>
      <c r="J275" s="6"/>
      <c r="K275" s="6"/>
      <c r="L275" s="6" t="s">
        <v>400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413</v>
      </c>
      <c r="B276" s="6" t="str">
        <f>IF(A276="","",VLOOKUP(A276,DB!A:B,2,0))</f>
        <v>Leader Sync Generator</v>
      </c>
      <c r="C276" s="5"/>
      <c r="D276" s="6"/>
      <c r="E276" s="6" t="s">
        <v>416</v>
      </c>
      <c r="F276" s="5"/>
      <c r="G276" s="5"/>
      <c r="H276" s="6" t="s">
        <v>417</v>
      </c>
      <c r="I276" s="5" t="str">
        <f>IF(H276="","",VLOOKUP(H276,DB!A:B,2,0))</f>
        <v>Miranda Densite3</v>
      </c>
      <c r="J276" s="6">
        <v>7.0</v>
      </c>
      <c r="K276" s="6" t="s">
        <v>418</v>
      </c>
      <c r="L276" s="6" t="s">
        <v>393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413</v>
      </c>
      <c r="B277" s="6" t="str">
        <f>IF(A277="","",VLOOKUP(A277,DB!A:B,2,0))</f>
        <v>Leader Sync Generator</v>
      </c>
      <c r="C277" s="5"/>
      <c r="D277" s="6"/>
      <c r="E277" s="6" t="s">
        <v>419</v>
      </c>
      <c r="F277" s="5"/>
      <c r="G277" s="5"/>
      <c r="H277" s="6" t="s">
        <v>90</v>
      </c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413</v>
      </c>
      <c r="B278" s="6" t="str">
        <f>IF(A278="","",VLOOKUP(A278,DB!A:B,2,0))</f>
        <v>Leader Sync Generator</v>
      </c>
      <c r="C278" s="5"/>
      <c r="D278" s="6"/>
      <c r="E278" s="6" t="s">
        <v>420</v>
      </c>
      <c r="F278" s="5"/>
      <c r="G278" s="5"/>
      <c r="H278" s="6" t="s">
        <v>90</v>
      </c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413</v>
      </c>
      <c r="B279" s="6" t="str">
        <f>IF(A279="","",VLOOKUP(A279,DB!A:B,2,0))</f>
        <v>Leader Sync Generator</v>
      </c>
      <c r="C279" s="5"/>
      <c r="D279" s="6"/>
      <c r="E279" s="6" t="s">
        <v>421</v>
      </c>
      <c r="F279" s="5"/>
      <c r="G279" s="5"/>
      <c r="H279" s="6" t="s">
        <v>90</v>
      </c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Miranda Densite3</v>
      </c>
      <c r="C280" s="6">
        <v>7.0</v>
      </c>
      <c r="D280" s="6" t="s">
        <v>418</v>
      </c>
      <c r="E280" s="6" t="s">
        <v>422</v>
      </c>
      <c r="F280" s="6" t="s">
        <v>244</v>
      </c>
      <c r="G280" s="6" t="s">
        <v>393</v>
      </c>
      <c r="H280" s="6" t="s">
        <v>184</v>
      </c>
      <c r="I280" s="5" t="str">
        <f>IF(H280="","",VLOOKUP(H280,DB!A:B,2,0))</f>
        <v>?????</v>
      </c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Miranda Densite3</v>
      </c>
      <c r="C281" s="6">
        <v>7.0</v>
      </c>
      <c r="D281" s="6" t="s">
        <v>418</v>
      </c>
      <c r="E281" s="6" t="s">
        <v>423</v>
      </c>
      <c r="F281" s="6" t="s">
        <v>244</v>
      </c>
      <c r="G281" s="6" t="s">
        <v>393</v>
      </c>
      <c r="H281" s="6" t="s">
        <v>399</v>
      </c>
      <c r="I281" s="5" t="str">
        <f>IF(H281="","",VLOOKUP(H281,DB!A:B,2,0))</f>
        <v>Videotron DV100-EQ</v>
      </c>
      <c r="J281" s="6"/>
      <c r="K281" s="6"/>
      <c r="L281" s="6" t="s">
        <v>18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Miranda Densite3</v>
      </c>
      <c r="C282" s="6">
        <v>7.0</v>
      </c>
      <c r="D282" s="6" t="s">
        <v>418</v>
      </c>
      <c r="E282" s="6" t="s">
        <v>424</v>
      </c>
      <c r="F282" s="6" t="s">
        <v>244</v>
      </c>
      <c r="G282" s="6" t="s">
        <v>393</v>
      </c>
      <c r="H282" s="6" t="s">
        <v>184</v>
      </c>
      <c r="I282" s="5" t="str">
        <f>IF(H282="","",VLOOKUP(H282,DB!A:B,2,0))</f>
        <v>?????</v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Miranda Densite3</v>
      </c>
      <c r="C283" s="6">
        <v>7.0</v>
      </c>
      <c r="D283" s="6" t="s">
        <v>418</v>
      </c>
      <c r="E283" s="6" t="s">
        <v>425</v>
      </c>
      <c r="F283" s="6" t="s">
        <v>244</v>
      </c>
      <c r="G283" s="6" t="s">
        <v>393</v>
      </c>
      <c r="H283" s="6" t="s">
        <v>183</v>
      </c>
      <c r="I283" s="5" t="str">
        <f>IF(H283="","",VLOOKUP(H283,DB!A:B,2,0))</f>
        <v>openGear X</v>
      </c>
      <c r="J283" s="6">
        <v>0.0</v>
      </c>
      <c r="K283" s="6" t="s">
        <v>426</v>
      </c>
      <c r="L283" s="6" t="s">
        <v>400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417</v>
      </c>
      <c r="B284" s="6" t="str">
        <f>IF(A284="","",VLOOKUP(A284,DB!A:B,2,0))</f>
        <v>Miranda Densite3</v>
      </c>
      <c r="C284" s="6">
        <v>7.0</v>
      </c>
      <c r="D284" s="6" t="s">
        <v>418</v>
      </c>
      <c r="E284" s="6" t="s">
        <v>427</v>
      </c>
      <c r="F284" s="6" t="s">
        <v>244</v>
      </c>
      <c r="G284" s="6" t="s">
        <v>393</v>
      </c>
      <c r="H284" s="6" t="s">
        <v>90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417</v>
      </c>
      <c r="B285" s="6" t="str">
        <f>IF(A285="","",VLOOKUP(A285,DB!A:B,2,0))</f>
        <v>Miranda Densite3</v>
      </c>
      <c r="C285" s="6">
        <v>7.0</v>
      </c>
      <c r="D285" s="6" t="s">
        <v>418</v>
      </c>
      <c r="E285" s="6" t="s">
        <v>428</v>
      </c>
      <c r="F285" s="6" t="s">
        <v>244</v>
      </c>
      <c r="G285" s="6" t="s">
        <v>393</v>
      </c>
      <c r="H285" s="6" t="s">
        <v>90</v>
      </c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417</v>
      </c>
      <c r="B286" s="6" t="str">
        <f>IF(A286="","",VLOOKUP(A286,DB!A:B,2,0))</f>
        <v>Miranda Densite3</v>
      </c>
      <c r="C286" s="6">
        <v>7.0</v>
      </c>
      <c r="D286" s="6" t="s">
        <v>418</v>
      </c>
      <c r="E286" s="6" t="s">
        <v>429</v>
      </c>
      <c r="F286" s="6" t="s">
        <v>244</v>
      </c>
      <c r="G286" s="6" t="s">
        <v>393</v>
      </c>
      <c r="H286" s="6" t="s">
        <v>90</v>
      </c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417</v>
      </c>
      <c r="B287" s="6" t="str">
        <f>IF(A287="","",VLOOKUP(A287,DB!A:B,2,0))</f>
        <v>Miranda Densite3</v>
      </c>
      <c r="C287" s="6">
        <v>7.0</v>
      </c>
      <c r="D287" s="6" t="s">
        <v>418</v>
      </c>
      <c r="E287" s="6" t="s">
        <v>430</v>
      </c>
      <c r="F287" s="6" t="s">
        <v>244</v>
      </c>
      <c r="G287" s="6" t="s">
        <v>393</v>
      </c>
      <c r="H287" s="6" t="s">
        <v>90</v>
      </c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417</v>
      </c>
      <c r="B288" s="6" t="str">
        <f>IF(A288="","",VLOOKUP(A288,DB!A:B,2,0))</f>
        <v>Miranda Densite3</v>
      </c>
      <c r="C288" s="6">
        <v>7.0</v>
      </c>
      <c r="D288" s="6" t="s">
        <v>418</v>
      </c>
      <c r="E288" s="6" t="s">
        <v>431</v>
      </c>
      <c r="F288" s="6" t="s">
        <v>244</v>
      </c>
      <c r="G288" s="6" t="s">
        <v>393</v>
      </c>
      <c r="H288" s="6" t="s">
        <v>90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15</v>
      </c>
      <c r="B289" s="6" t="str">
        <f>IF(A289="","",VLOOKUP(A289,DB!A:B,2,0))</f>
        <v>AJA KUMO 6464</v>
      </c>
      <c r="C289" s="5"/>
      <c r="D289" s="6"/>
      <c r="E289" s="6" t="s">
        <v>432</v>
      </c>
      <c r="F289" s="6" t="s">
        <v>244</v>
      </c>
      <c r="G289" s="6" t="s">
        <v>400</v>
      </c>
      <c r="H289" s="6" t="s">
        <v>17</v>
      </c>
      <c r="I289" s="5" t="str">
        <f>IF(H289="","",VLOOKUP(H289,DB!A:B,2,0))</f>
        <v>Blackmagic 12 x 12</v>
      </c>
      <c r="J289" s="6"/>
      <c r="K289" s="6"/>
      <c r="L289" s="6" t="s">
        <v>400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184</v>
      </c>
      <c r="B290" s="6" t="str">
        <f>IF(A290="","",VLOOKUP(A290,DB!A:B,2,0))</f>
        <v>?????</v>
      </c>
      <c r="C290" s="5"/>
      <c r="D290" s="6"/>
      <c r="E290" s="6"/>
      <c r="F290" s="5"/>
      <c r="G290" s="5"/>
      <c r="H290" s="6" t="s">
        <v>280</v>
      </c>
      <c r="I290" s="5" t="str">
        <f>IF(H290="","",VLOOKUP(H290,DB!A:B,2,0))</f>
        <v>Sony HXCU-100 Cam 1</v>
      </c>
      <c r="J290" s="6"/>
      <c r="K290" s="6"/>
      <c r="L290" s="6" t="s">
        <v>400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280</v>
      </c>
      <c r="B291" s="6" t="str">
        <f>IF(A291="","",VLOOKUP(A291,DB!A:B,2,0))</f>
        <v>Sony HXCU-100 Cam 1</v>
      </c>
      <c r="C291" s="5"/>
      <c r="D291" s="6"/>
      <c r="E291" s="6" t="s">
        <v>432</v>
      </c>
      <c r="F291" s="6" t="s">
        <v>244</v>
      </c>
      <c r="G291" s="6" t="s">
        <v>400</v>
      </c>
      <c r="H291" s="6" t="s">
        <v>283</v>
      </c>
      <c r="I291" s="5" t="str">
        <f>IF(H291="","",VLOOKUP(H291,DB!A:B,2,0))</f>
        <v>Sony HXCU-100 Cam 2</v>
      </c>
      <c r="J291" s="6"/>
      <c r="K291" s="6"/>
      <c r="L291" s="6" t="s">
        <v>400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283</v>
      </c>
      <c r="B292" s="6" t="str">
        <f>IF(A292="","",VLOOKUP(A292,DB!A:B,2,0))</f>
        <v>Sony HXCU-100 Cam 2</v>
      </c>
      <c r="C292" s="5"/>
      <c r="D292" s="6"/>
      <c r="E292" s="6" t="s">
        <v>432</v>
      </c>
      <c r="F292" s="6" t="s">
        <v>244</v>
      </c>
      <c r="G292" s="6" t="s">
        <v>400</v>
      </c>
      <c r="H292" s="6" t="s">
        <v>286</v>
      </c>
      <c r="I292" s="5" t="str">
        <f>IF(H292="","",VLOOKUP(H292,DB!A:B,2,0))</f>
        <v>Sony HXCU-100 Cam 3</v>
      </c>
      <c r="J292" s="6"/>
      <c r="K292" s="6"/>
      <c r="L292" s="6" t="s">
        <v>400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286</v>
      </c>
      <c r="B293" s="6" t="str">
        <f>IF(A293="","",VLOOKUP(A293,DB!A:B,2,0))</f>
        <v>Sony HXCU-100 Cam 3</v>
      </c>
      <c r="C293" s="5"/>
      <c r="D293" s="6"/>
      <c r="E293" s="6" t="s">
        <v>432</v>
      </c>
      <c r="F293" s="6" t="s">
        <v>244</v>
      </c>
      <c r="G293" s="6" t="s">
        <v>400</v>
      </c>
      <c r="H293" s="6" t="s">
        <v>289</v>
      </c>
      <c r="I293" s="5" t="str">
        <f>IF(H293="","",VLOOKUP(H293,DB!A:B,2,0))</f>
        <v>Sony HXCU-100 Cam 4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289</v>
      </c>
      <c r="B294" s="6" t="str">
        <f>IF(A294="","",VLOOKUP(A294,DB!A:B,2,0))</f>
        <v>Sony HXCU-100 Cam 4</v>
      </c>
      <c r="C294" s="5"/>
      <c r="D294" s="6"/>
      <c r="E294" s="6" t="s">
        <v>432</v>
      </c>
      <c r="F294" s="6" t="s">
        <v>244</v>
      </c>
      <c r="G294" s="6" t="s">
        <v>400</v>
      </c>
      <c r="H294" s="6" t="s">
        <v>92</v>
      </c>
      <c r="I294" s="5" t="str">
        <f>IF(H294="","",VLOOKUP(H294,DB!A:B,2,0))</f>
        <v>FOR A HVS-390HS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</sheetData>
  <conditionalFormatting sqref="A1:AC499">
    <cfRule type="cellIs" dxfId="0" priority="1" operator="equal">
      <formula>"N/D"</formula>
    </cfRule>
  </conditionalFormatting>
  <conditionalFormatting sqref="A1:AC499">
    <cfRule type="cellIs" dxfId="1" priority="2" operator="equal">
      <formula>"N/C"</formula>
    </cfRule>
  </conditionalFormatting>
  <conditionalFormatting sqref="A1:AC499">
    <cfRule type="expression" dxfId="2" priority="3">
      <formula>ISEVEN(ROW())</formula>
    </cfRule>
  </conditionalFormatting>
  <dataValidations>
    <dataValidation type="list" allowBlank="1" showErrorMessage="1" sqref="A2:A499 H2:H499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5" t="s">
        <v>433</v>
      </c>
      <c r="B1" s="16" t="s">
        <v>434</v>
      </c>
      <c r="C1" s="17" t="s">
        <v>435</v>
      </c>
      <c r="D1" s="18" t="s">
        <v>436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437</v>
      </c>
      <c r="B2" s="7" t="s">
        <v>438</v>
      </c>
      <c r="C2" s="19" t="s">
        <v>439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190</v>
      </c>
      <c r="B3" s="7" t="s">
        <v>440</v>
      </c>
      <c r="C3" s="19" t="s">
        <v>441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442</v>
      </c>
      <c r="C4" s="19" t="s">
        <v>443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444</v>
      </c>
      <c r="C5" s="19" t="s">
        <v>445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446</v>
      </c>
      <c r="C6" s="20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447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448</v>
      </c>
      <c r="B9" s="7" t="s">
        <v>449</v>
      </c>
      <c r="C9" s="19" t="s">
        <v>450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451</v>
      </c>
      <c r="C10" s="19" t="s">
        <v>452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453</v>
      </c>
      <c r="C11" s="19" t="s">
        <v>454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455</v>
      </c>
      <c r="C12" s="19" t="s">
        <v>456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413</v>
      </c>
      <c r="B14" s="11" t="s">
        <v>457</v>
      </c>
      <c r="C14" s="20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417</v>
      </c>
      <c r="B15" s="7" t="s">
        <v>458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459</v>
      </c>
      <c r="C16" s="19" t="s">
        <v>460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461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462</v>
      </c>
      <c r="C18" s="20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265</v>
      </c>
      <c r="B19" s="7" t="s">
        <v>463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463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371</v>
      </c>
      <c r="B22" s="11" t="s">
        <v>464</v>
      </c>
      <c r="C22" s="20" t="s">
        <v>465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373</v>
      </c>
      <c r="B23" s="11" t="s">
        <v>466</v>
      </c>
      <c r="C23" s="20" t="s">
        <v>467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468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469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470</v>
      </c>
      <c r="B27" s="7" t="s">
        <v>471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472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472</v>
      </c>
      <c r="C29" s="20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473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474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475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364</v>
      </c>
      <c r="B33" s="7" t="s">
        <v>471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475</v>
      </c>
      <c r="C34" s="19" t="s">
        <v>476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477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478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479</v>
      </c>
      <c r="C37" s="20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479</v>
      </c>
      <c r="C38" s="19" t="s">
        <v>480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481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482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483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484</v>
      </c>
      <c r="B43" s="7" t="s">
        <v>485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486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487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488</v>
      </c>
      <c r="C46" s="19" t="s">
        <v>489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490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491</v>
      </c>
      <c r="B49" s="7" t="s">
        <v>492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280</v>
      </c>
      <c r="B50" s="11" t="s">
        <v>493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283</v>
      </c>
      <c r="B51" s="11" t="s">
        <v>494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286</v>
      </c>
      <c r="B52" s="11" t="s">
        <v>495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289</v>
      </c>
      <c r="B53" s="11" t="s">
        <v>496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254</v>
      </c>
      <c r="B54" s="7" t="s">
        <v>497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498</v>
      </c>
      <c r="C55" s="20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383</v>
      </c>
      <c r="B56" s="7" t="s">
        <v>499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500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370</v>
      </c>
      <c r="B60" s="6" t="s">
        <v>501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502</v>
      </c>
      <c r="B61" s="11" t="s">
        <v>503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504</v>
      </c>
      <c r="B62" s="11" t="s">
        <v>505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348</v>
      </c>
      <c r="B63" s="11" t="s">
        <v>506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507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475</v>
      </c>
      <c r="C65" s="19" t="s">
        <v>508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509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510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511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260</v>
      </c>
      <c r="B71" s="7" t="s">
        <v>512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386</v>
      </c>
      <c r="B72" s="7" t="s">
        <v>513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351</v>
      </c>
      <c r="B73" s="7" t="s">
        <v>514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347</v>
      </c>
      <c r="B75" s="7" t="s">
        <v>515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353</v>
      </c>
      <c r="B76" s="7" t="s">
        <v>516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349</v>
      </c>
      <c r="B77" s="7" t="s">
        <v>517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376</v>
      </c>
      <c r="B78" s="7" t="s">
        <v>518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519</v>
      </c>
      <c r="B79" s="7" t="s">
        <v>520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379</v>
      </c>
      <c r="B80" s="7" t="s">
        <v>521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522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350</v>
      </c>
      <c r="B82" s="7" t="s">
        <v>523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381</v>
      </c>
      <c r="B83" s="7" t="s">
        <v>524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525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375</v>
      </c>
      <c r="B85" s="11" t="s">
        <v>526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527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528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346</v>
      </c>
      <c r="B93" s="6" t="s">
        <v>529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345</v>
      </c>
      <c r="B94" s="6" t="s">
        <v>530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343</v>
      </c>
      <c r="B95" s="6" t="s">
        <v>531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532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533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Conexiones!A2:O499,
    IF(A2="""", ROW(Conexiones!A2:A499)^0, ISNUMBER(SEARCH(A2, Conexiones!A2:A499))),
    IF(B2="""", ROW(Conexiones!B2:B499)^0, ISNUMBER(SEARCH(B2, Conexiones!B2:B499))),
    IF(C2="""", ROW(Conexiones!C2:C499)^0, "&amp;"ISNUMBER(SEARCH(C2, Conexiones!C2:C499))),
    IF(D2="""", ROW(Conexiones!D2:D499)^0, ISNUMBER(SEARCH(D2, Conexiones!D2:D499))),
    IF(E2="""", ROW(Conexiones!E2:E499)^0, ISNUMBER(SEARCH(E2, Conexiones!E2:E499))),
    IF(F2="""", ROW(Conexiones!F2:F499)^"&amp;"0, ISNUMBER(SEARCH(F2, Conexiones!F2:F499))),
    IF(G2="""", ROW(Conexiones!G2:G499)^0, ISNUMBER(SEARCH(G2, Conexiones!G2:G499))),
    IF(H2="""", ROW(Conexiones!H2:H499)^0, ISNUMBER(SEARCH(H2, Conexiones!H2:H499))),
    IF(B2="""", ROW(Conexiones!H2:H49"&amp;"9)^0, ISNUMBER(SEARCH(B2, Conexiones!H2:H499))),
    IF(I2="""", ROW(Conexiones!I2:I499)^0, ISNUMBER(SEARCH(I2, Conexiones!I2:I499))),
    IF(J2="""", ROW(Conexiones!J2:J499)^0, ISNUMBER(SEARCH(J2, Conexiones!J2:J499))),
    IF(K2="""", ROW(Conexiones!L2:"&amp;"L499)^0, ISNUMBER(SEARCH(K2, Conexiones!L2:L499))),
    IF(L2="""", ROW(Conexiones!M2:M499)^0, ISNUMBER(SEARCH(L2, Conexiones!M2:M499))),
    IF(M2="""", ROW(Conexiones!N2:N499)^0, ISNUMBER(SEARCH(M2, Conexiones!N2:N499))),
    IF(N2="""", ROW(Conexiones!"&amp;"O2:O499)^0, ISNUMBER(SEARCH(N2, Conexiones!O2:O499)))
  ),
  P2,
  TRUE
)"),"C.2")</f>
        <v>C.2</v>
      </c>
      <c r="B3" s="5" t="str">
        <f>IFERROR(__xludf.DUMMYFUNCTION("""COMPUTED_VALUE"""),"Miranda Densite3")</f>
        <v>Miranda Densite3</v>
      </c>
      <c r="C3" s="5">
        <f>IFERROR(__xludf.DUMMYFUNCTION("""COMPUTED_VALUE"""),7.0)</f>
        <v>7</v>
      </c>
      <c r="D3" s="5" t="str">
        <f>IFERROR(__xludf.DUMMYFUNCTION("""COMPUTED_VALUE"""),"Analog Dist. Amp.")</f>
        <v>Analog Dist. Amp.</v>
      </c>
      <c r="E3" s="5" t="str">
        <f>IFERROR(__xludf.DUMMYFUNCTION("""COMPUTED_VALUE"""),"Video Out 2")</f>
        <v>Video Out 2</v>
      </c>
      <c r="F3" s="5" t="str">
        <f>IFERROR(__xludf.DUMMYFUNCTION("""COMPUTED_VALUE"""),"T")</f>
        <v>T</v>
      </c>
      <c r="G3" s="5" t="str">
        <f>IFERROR(__xludf.DUMMYFUNCTION("""COMPUTED_VALUE"""),"Video In")</f>
        <v>Video In</v>
      </c>
      <c r="H3" s="5" t="str">
        <f>IFERROR(__xludf.DUMMYFUNCTION("""COMPUTED_VALUE"""),"A.6")</f>
        <v>A.6</v>
      </c>
      <c r="I3" s="5" t="str">
        <f>IFERROR(__xludf.DUMMYFUNCTION("""COMPUTED_VALUE"""),"Videotron DV100-EQ")</f>
        <v>Videotron DV100-EQ</v>
      </c>
      <c r="J3" s="5"/>
      <c r="K3" s="5"/>
      <c r="L3" s="5" t="str">
        <f>IFERROR(__xludf.DUMMYFUNCTION("""COMPUTED_VALUE"""),"In 1")</f>
        <v>In 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