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<sst xmlns="http://schemas.openxmlformats.org/spreadsheetml/2006/main" count="1809" uniqueCount="534">
  <si>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</si>
  <si>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</si>
  <si>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</si>
  <si>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</si>
  <si>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</si>
  <si>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</si>
  <si>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</si>
  <si>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</si>
  <si>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</si>
  <si>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</si>
  <si>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</si>
  <si>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</si>
  <si>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</si>
  <si>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</si>
  <si>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</si>
  <si>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</si>
  <si>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</si>
  <si>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</si>
  <si>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</si>
  <si>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</si>
  <si>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</si>
  <si>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</si>
  <si>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</si>
  <si>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</si>
  <si>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</si>
  <si>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</si>
  <si>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</si>
  <si>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</si>
  <si>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</si>
  <si>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</si>
  <si>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</si>
  <si>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</si>
  <si>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</si>
  <si>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</si>
  <si>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</si>
  <si>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</si>
  <si>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</si>
  <si>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</si>
  <si>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</si>
  <si>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</si>
  <si>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</si>
  <si>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</si>
  <si>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</si>
  <si>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</si>
  <si>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</si>
  <si>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</si>
  <si>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</si>
  <si>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</si>
  <si>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</si>
  <si>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</si>
  <si>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</si>
  <si>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</si>
  <si>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</si>
  <si>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</si>
  <si>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</si>
  <si>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</si>
  <si>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</si>
  <si>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</si>
  <si>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</si>
  <si>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</si>
  <si>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</si>
  <si>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</si>
  <si>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</si>
  <si>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</si>
  <si>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</si>
  <si>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</si>
  <si>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</si>
  <si>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</si>
  <si>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</si>
  <si>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</si>
  <si>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</si>
  <si>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</si>
  <si>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</si>
  <si>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</si>
  <si>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</si>
  <si>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</si>
  <si>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</si>
  <si>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</si>
  <si>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</si>
  <si>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</si>
  <si>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</si>
  <si>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</si>
  <si>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</si>
  <si>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</si>
  <si>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</si>
  <si>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</si>
  <si>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</si>
  <si>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</si>
  <si>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</si>
  <si>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</si>
  <si>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</si>
  <si>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</si>
  <si>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</si>
  <si>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</si>
  <si>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</si>
  <si>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</si>
  <si>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</si>
  <si>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</si>
  <si>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</si>
  <si>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</si>
  <si>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</si>
  <si>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</si>
  <si>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</si>
  <si>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</si>
  <si>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</si>
  <si>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</si>
  <si>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</si>
  <si>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</si>
  <si>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</si>
  <si>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</si>
  <si>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</si>
  <si>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</si>
  <si>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</si>
  <si>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</si>
  <si>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</si>
  <si>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</si>
  <si>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</si>
  <si>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</si>
  <si>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</si>
  <si>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</si>
  <si>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</si>
  <si>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</si>
  <si>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</si>
  <si>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</si>
  <si>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</si>
  <si>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</si>
  <si>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</si>
  <si>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</si>
  <si>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</si>
  <si>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</si>
  <si>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</si>
  <si>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</si>
  <si>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</si>
  <si>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</si>
  <si>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</si>
  <si>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</si>
  <si>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</si>
  <si>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</si>
  <si>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</si>
  <si>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</si>
  <si>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</si>
  <si>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</si>
  <si>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</si>
  <si>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</si>
  <si>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</si>
  <si>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</si>
  <si>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</si>
  <si>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</si>
  <si>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</si>
  <si>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</si>
  <si>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</si>
  <si>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</si>
  <si>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</si>
  <si>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</si>
  <si>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</si>
  <si>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</si>
  <si>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</si>
  <si>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</si>
  <si>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</si>
  <si>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</si>
  <si>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</si>
  <si>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</si>
  <si>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</si>
  <si>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</si>
  <si>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</si>
  <si>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</si>
  <si>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</si>
  <si>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</si>
  <si>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</si>
  <si>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</si>
  <si>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</si>
  <si>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</si>
  <si>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</si>
  <si>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</si>
  <si>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</si>
  <si>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</si>
  <si>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</si>
  <si>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</si>
  <si>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</si>
  <si>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</si>
  <si>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</si>
  <si>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</si>
  <si>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</si>
  <si>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</si>
  <si>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</si>
  <si>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</si>
  <si>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</si>
  <si>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</si>
  <si>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</si>
  <si>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</si>
  <si>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</si>
  <si>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</si>
  <si>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</si>
  <si>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</si>
  <si>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</si>
  <si>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</si>
  <si>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</si>
  <si>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</si>
  <si>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</si>
  <si>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</si>
  <si>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</si>
  <si>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</si>
  <si>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</si>
  <si>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</si>
  <si>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</si>
  <si>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</si>
  <si>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</si>
  <si>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</si>
  <si>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</si>
  <si>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</si>
  <si>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</si>
  <si>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</si>
  <si>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</si>
  <si>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</si>
  <si>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</si>
  <si>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</si>
  <si>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</si>
  <si>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</si>
  <si>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</si>
  <si>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</si>
  <si>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</si>
  <si>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</si>
  <si>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</si>
  <si>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</si>
  <si>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</si>
  <si>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</si>
  <si>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</si>
  <si>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</si>
  <si>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</si>
  <si>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</si>
  <si>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</si>
  <si>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</si>
  <si>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</si>
  <si>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</si>
  <si>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</si>
  <si>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</si>
  <si>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</si>
  <si>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</si>
  <si>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</si>
  <si>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</si>
  <si>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</si>
  <si>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</si>
  <si>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</si>
  <si>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</si>
  <si>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</si>
  <si>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</si>
  <si>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</si>
  <si>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</si>
  <si>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</si>
  <si>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</si>
  <si>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</si>
  <si>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</si>
  <si>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</si>
  <si>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</si>
  <si>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</si>
  <si>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</si>
  <si>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</si>
  <si>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</si>
  <si>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</si>
  <si>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</si>
  <si>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</si>
  <si>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</si>
  <si>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</si>
  <si>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</si>
  <si>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</si>
  <si>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</si>
  <si>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</si>
  <si>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</si>
  <si>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</si>
  <si>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</si>
  <si>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</si>
  <si>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</si>
  <si>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</si>
  <si>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</si>
  <si>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</si>
  <si>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</si>
  <si>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</si>
  <si>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</si>
  <si>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</si>
  <si>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</si>
  <si>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</si>
  <si>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</si>
  <si>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</si>
  <si>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</si>
  <si>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</si>
  <si>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</si>
  <si>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</si>
  <si>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</si>
  <si>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</si>
  <si>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</si>
  <si>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</si>
  <si>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</si>
  <si>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</si>
  <si>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</si>
  <si>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</si>
  <si>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</si>
  <si>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</si>
  <si>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</si>
  <si>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</si>
  <si>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</si>
  <si>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</si>
  <si>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</si>
  <si>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</si>
  <si>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</si>
  <si>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</si>
  <si>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</si>
  <si>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</si>
  <si>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</si>
  <si>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</si>
  <si>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</si>
  <si>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</si>
  <si>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</si>
  <si>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</si>
  <si>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</si>
  <si>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</si>
  <si>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</si>
  <si>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</si>
  <si>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</si>
  <si>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</si>
  <si>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</si>
  <si>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</si>
  <si>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</si>
  <si>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</si>
  <si>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</si>
  <si>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</si>
  <si>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</si>
  <si>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</si>
  <si>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</si>
  <si>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</si>
  <si>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</si>
  <si>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</si>
  <si>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</si>
  <si>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</si>
  <si>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</si>
  <si>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</si>
  <si>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</si>
  <si>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</si>
  <si>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</si>
  <si>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</si>
  <si>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</si>
  <si>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</si>
  <si>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</si>
  <si>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</si>
  <si>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</si>
  <si>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</si>
  <si>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</si>
  <si>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</si>
  <si>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</si>
  <si>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</si>
  <si>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</si>
  <si>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</si>
  <si>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</si>
  <si>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</si>
  <si>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</si>
  <si>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</si>
  <si>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</si>
  <si>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</si>
  <si>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</si>
  <si>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</si>
  <si>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</si>
  <si>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</si>
  <si>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</si>
  <si>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</si>
  <si>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</si>
  <si>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</si>
  <si>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</si>
  <si>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</si>
  <si>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</si>
  <si>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</si>
  <si>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</si>
  <si>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</si>
  <si>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</si>
  <si>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</si>
  <si>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</si>
  <si>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</si>
  <si>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</si>
  <si>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</si>
  <si>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</si>
  <si>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</si>
  <si>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</si>
  <si>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</si>
  <si>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</si>
  <si>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</si>
  <si>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</si>
  <si>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</si>
  <si>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</si>
  <si>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</si>
  <si>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</si>
  <si>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</si>
  <si>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</si>
  <si>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</si>
  <si>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</si>
  <si>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</si>
  <si>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</si>
  <si>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</si>
  <si>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</si>
  <si>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</si>
  <si>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</si>
  <si>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</si>
  <si>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</si>
  <si>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</si>
  <si>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</si>
  <si>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</si>
  <si>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</si>
  <si>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</si>
  <si>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</si>
  <si>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</si>
  <si>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</si>
  <si>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</si>
  <si>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</si>
  <si>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</si>
  <si>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</si>
  <si>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</si>
  <si>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</si>
  <si>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</si>
  <si>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</si>
  <si>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</si>
  <si>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</si>
  <si>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</si>
  <si>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</si>
  <si>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</si>
  <si>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</si>
  <si>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</si>
  <si>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</si>
  <si>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</si>
  <si>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</si>
  <si>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</si>
  <si>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</si>
  <si>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</si>
  <si>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</si>
  <si>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</si>
  <si>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</si>
  <si>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</si>
  <si>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</si>
  <si>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</si>
  <si>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</si>
  <si>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</si>
  <si>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</si>
  <si>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</si>
  <si>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</si>
  <si>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</si>
  <si>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</si>
  <si>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</si>
  <si>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</si>
  <si>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</si>
  <si>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</si>
  <si>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</si>
  <si>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</si>
  <si>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</si>
  <si>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</si>
  <si>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</si>
  <si>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</si>
  <si>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</si>
  <si>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</si>
  <si>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</si>
  <si>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</si>
  <si>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</si>
  <si>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</si>
  <si>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</si>
  <si>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</si>
  <si>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</si>
  <si>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</si>
  <si>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</si>
  <si>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</si>
  <si>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</si>
  <si>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</si>
  <si>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</si>
  <si>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</si>
  <si>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</si>
  <si>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</si>
  <si>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</si>
  <si>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</si>
  <si>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</si>
  <si>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</si>
  <si>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</si>
  <si>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</si>
  <si>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</si>
  <si>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</si>
  <si>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</si>
  <si>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</si>
  <si>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</si>
  <si>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</si>
  <si>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</si>
  <si>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</si>
  <si>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</si>
  <si>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</si>
  <si>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</si>
  <si>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</si>
  <si>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</si>
  <si>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</si>
  <si>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</si>
  <si>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</si>
  <si>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</si>
  <si>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</si>
  <si>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</si>
  <si>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</si>
  <si>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</si>
  <si>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</si>
  <si>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</si>
  <si>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</si>
  <si>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</si>
  <si>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</si>
  <si>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</si>
  <si>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</si>
  <si>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</si>
  <si>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</si>
  <si>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</si>
  <si>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</si>
  <si>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</si>
  <si>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</si>
  <si>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</si>
  <si>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</si>
  <si>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</si>
  <si>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</si>
  <si>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</si>
  <si>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</si>
  <si>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</si>
  <si>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</si>
  <si>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</si>
  <si>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</si>
  <si>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</si>
  <si>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</si>
  <si>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</si>
  <si>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</si>
  <si>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</si>
  <si>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</si>
  <si>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</si>
  <si>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</si>
  <si>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</si>
  <si>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</si>
  <si>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</si>
  <si>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</si>
  <si>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</si>
  <si>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REF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</si>
</sst>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89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89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189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89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89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107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107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107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107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107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359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361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362</v>
      </c>
      <c r="B203" s="6" t="str">
        <f>IF(A203="","",VLOOKUP(A203,DB!A:B,2,0))</f>
        <v>Cisco D9865</v>
      </c>
      <c r="C203" s="5"/>
      <c r="D203" s="5"/>
      <c r="E203" s="6" t="s">
        <v>228</v>
      </c>
      <c r="F203" s="5"/>
      <c r="G203" s="5"/>
      <c r="H203" s="6" t="s">
        <v>224</v>
      </c>
      <c r="I203" s="5" t="str">
        <f>IF(H203="","",VLOOKUP(H203,DB!A:B,2,0))</f>
        <v>AJA FS2</v>
      </c>
      <c r="J203" s="5"/>
      <c r="K203" s="6"/>
      <c r="L203" s="6" t="s">
        <v>363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185</v>
      </c>
      <c r="B204" s="6" t="str">
        <f>IF(A204="","",VLOOKUP(A204,DB!A:B,2,0))</f>
        <v>openGear X</v>
      </c>
      <c r="C204" s="6">
        <v>1.0</v>
      </c>
      <c r="D204" s="6" t="s">
        <v>364</v>
      </c>
      <c r="E204" s="6" t="s">
        <v>206</v>
      </c>
      <c r="F204" s="5"/>
      <c r="G204" s="6"/>
      <c r="H204" s="6" t="s">
        <v>182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185</v>
      </c>
      <c r="B205" s="6" t="str">
        <f>IF(A205="","",VLOOKUP(A205,DB!A:B,2,0))</f>
        <v>openGear X</v>
      </c>
      <c r="C205" s="6">
        <v>1.0</v>
      </c>
      <c r="D205" s="6" t="s">
        <v>364</v>
      </c>
      <c r="E205" s="6" t="s">
        <v>365</v>
      </c>
      <c r="F205" s="5"/>
      <c r="G205" s="6"/>
      <c r="H205" s="6" t="s">
        <v>182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185</v>
      </c>
      <c r="B206" s="6" t="str">
        <f>IF(A206="","",VLOOKUP(A206,DB!A:B,2,0))</f>
        <v>openGear X</v>
      </c>
      <c r="C206" s="6">
        <v>1.0</v>
      </c>
      <c r="D206" s="6" t="s">
        <v>364</v>
      </c>
      <c r="E206" s="6" t="s">
        <v>366</v>
      </c>
      <c r="F206" s="5"/>
      <c r="G206" s="6"/>
      <c r="H206" s="6" t="s">
        <v>182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185</v>
      </c>
      <c r="B207" s="6" t="str">
        <f>IF(A207="","",VLOOKUP(A207,DB!A:B,2,0))</f>
        <v>openGear X</v>
      </c>
      <c r="C207" s="6">
        <v>2.0</v>
      </c>
      <c r="D207" s="6" t="s">
        <v>364</v>
      </c>
      <c r="E207" s="6" t="s">
        <v>206</v>
      </c>
      <c r="F207" s="5"/>
      <c r="G207" s="6"/>
      <c r="H207" s="6" t="s">
        <v>182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185</v>
      </c>
      <c r="B208" s="6" t="str">
        <f>IF(A208="","",VLOOKUP(A208,DB!A:B,2,0))</f>
        <v>openGear X</v>
      </c>
      <c r="C208" s="6">
        <v>2.0</v>
      </c>
      <c r="D208" s="6" t="s">
        <v>364</v>
      </c>
      <c r="E208" s="6" t="s">
        <v>365</v>
      </c>
      <c r="F208" s="5"/>
      <c r="G208" s="6"/>
      <c r="H208" s="6" t="s">
        <v>182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185</v>
      </c>
      <c r="B209" s="6" t="str">
        <f>IF(A209="","",VLOOKUP(A209,DB!A:B,2,0))</f>
        <v>openGear X</v>
      </c>
      <c r="C209" s="6">
        <v>2.0</v>
      </c>
      <c r="D209" s="6" t="s">
        <v>364</v>
      </c>
      <c r="E209" s="6" t="s">
        <v>366</v>
      </c>
      <c r="F209" s="5"/>
      <c r="G209" s="6"/>
      <c r="H209" s="6" t="s">
        <v>182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3.0</v>
      </c>
      <c r="D210" s="6" t="s">
        <v>364</v>
      </c>
      <c r="E210" s="6" t="s">
        <v>365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5.0</v>
      </c>
      <c r="D211" s="6" t="s">
        <v>186</v>
      </c>
      <c r="E211" s="6" t="s">
        <v>206</v>
      </c>
      <c r="F211" s="6" t="s">
        <v>243</v>
      </c>
      <c r="G211" s="6" t="s">
        <v>107</v>
      </c>
      <c r="H211" s="6" t="s">
        <v>224</v>
      </c>
      <c r="I211" s="5" t="str">
        <f>IF(H211="","",VLOOKUP(H211,DB!A:B,2,0))</f>
        <v>AJA FS2</v>
      </c>
      <c r="J211" s="5"/>
      <c r="K211" s="6"/>
      <c r="L211" s="6" t="s">
        <v>163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5.0</v>
      </c>
      <c r="D212" s="6" t="s">
        <v>364</v>
      </c>
      <c r="E212" s="6" t="s">
        <v>366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367</v>
      </c>
      <c r="F213" s="6" t="s">
        <v>243</v>
      </c>
      <c r="G213" s="6" t="s">
        <v>319</v>
      </c>
      <c r="H213" s="6" t="s">
        <v>368</v>
      </c>
      <c r="I213" s="5" t="str">
        <f>IF(H213="","",VLOOKUP(H213,DB!A:B,2,0))</f>
        <v>VIDEOTRON</v>
      </c>
      <c r="J213" s="5"/>
      <c r="K213" s="6"/>
      <c r="L213" s="6" t="s">
        <v>163</v>
      </c>
      <c r="M213" s="5"/>
      <c r="N213" s="6" t="s">
        <v>182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369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144</v>
      </c>
      <c r="I214" s="5" t="str">
        <f>IF(H214="","",VLOOKUP(H214,DB!A:B,2,0))</f>
        <v>openGear X</v>
      </c>
      <c r="J214" s="6">
        <v>1.0</v>
      </c>
      <c r="K214" s="6" t="s">
        <v>242</v>
      </c>
      <c r="L214" s="6" t="s">
        <v>244</v>
      </c>
      <c r="M214" s="5"/>
      <c r="N214" s="6" t="s">
        <v>370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371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144</v>
      </c>
      <c r="I215" s="5" t="str">
        <f>IF(H215="","",VLOOKUP(H215,DB!A:B,2,0))</f>
        <v>openGear X</v>
      </c>
      <c r="J215" s="6">
        <v>2.0</v>
      </c>
      <c r="K215" s="6" t="s">
        <v>242</v>
      </c>
      <c r="L215" s="6" t="s">
        <v>244</v>
      </c>
      <c r="M215" s="5"/>
      <c r="N215" s="6" t="s">
        <v>372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373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/>
      <c r="L216" s="6" t="s">
        <v>42</v>
      </c>
      <c r="M216" s="5"/>
      <c r="N216" s="5"/>
      <c r="O216" s="6" t="s">
        <v>263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374</v>
      </c>
      <c r="B217" s="6" t="str">
        <f>IF(A217="","",VLOOKUP(A217,DB!A:B,2,0))</f>
        <v>PC Videollamada</v>
      </c>
      <c r="C217" s="6">
        <v>1.0</v>
      </c>
      <c r="D217" s="6" t="s">
        <v>73</v>
      </c>
      <c r="E217" s="6" t="s">
        <v>375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/>
      <c r="L217" s="6" t="s">
        <v>58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202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91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202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/>
      <c r="L220" s="6" t="s">
        <v>21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91</v>
      </c>
      <c r="I221" s="5" t="str">
        <f>IF(H221="","",VLOOKUP(H221,DB!A:B,2,0))</f>
        <v>FOR A HVS-390HS</v>
      </c>
      <c r="J221" s="5"/>
      <c r="K221" s="6"/>
      <c r="L221" s="6" t="s">
        <v>21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202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/>
      <c r="L222" s="6" t="s">
        <v>24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91</v>
      </c>
      <c r="I223" s="5" t="str">
        <f>IF(H223="","",VLOOKUP(H223,DB!A:B,2,0))</f>
        <v>FOR A HVS-390HS</v>
      </c>
      <c r="J223" s="5"/>
      <c r="K223" s="6"/>
      <c r="L223" s="6" t="s">
        <v>24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202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27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91</v>
      </c>
      <c r="I225" s="5" t="str">
        <f>IF(H225="","",VLOOKUP(H225,DB!A:B,2,0))</f>
        <v>FOR A HVS-390HS</v>
      </c>
      <c r="J225" s="5"/>
      <c r="K225" s="6"/>
      <c r="L225" s="6" t="s">
        <v>27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91</v>
      </c>
      <c r="B226" s="6" t="str">
        <f>IF(A226="","",VLOOKUP(A226,DB!A:B,2,0))</f>
        <v>FOR A HVS-390HS</v>
      </c>
      <c r="C226" s="5"/>
      <c r="D226" s="5"/>
      <c r="E226" s="6" t="s">
        <v>376</v>
      </c>
      <c r="F226" s="5"/>
      <c r="G226" s="5"/>
      <c r="H226" s="6" t="s">
        <v>377</v>
      </c>
      <c r="I226" s="5" t="str">
        <f>IF(H226="","",VLOOKUP(H226,DB!A:B,2,0))</f>
        <v>Monitor Director 2</v>
      </c>
      <c r="J226" s="5"/>
      <c r="K226" s="6"/>
      <c r="L226" s="6" t="s">
        <v>244</v>
      </c>
      <c r="M226" s="5"/>
      <c r="N226" s="5"/>
      <c r="O226" s="6" t="s">
        <v>343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91</v>
      </c>
      <c r="B227" s="6" t="str">
        <f>IF(A227="","",VLOOKUP(A227,DB!A:B,2,0))</f>
        <v>FOR A HVS-390HS</v>
      </c>
      <c r="C227" s="5"/>
      <c r="D227" s="5"/>
      <c r="E227" s="6" t="s">
        <v>378</v>
      </c>
      <c r="F227" s="5"/>
      <c r="G227" s="5"/>
      <c r="H227" s="6" t="s">
        <v>379</v>
      </c>
      <c r="I227" s="5" t="str">
        <f>IF(H227="","",VLOOKUP(H227,DB!A:B,2,0))</f>
        <v>PC Pantalla</v>
      </c>
      <c r="J227" s="5"/>
      <c r="K227" s="6"/>
      <c r="L227" s="6" t="s">
        <v>244</v>
      </c>
      <c r="M227" s="5"/>
      <c r="N227" s="5"/>
      <c r="O227" s="6" t="s">
        <v>380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91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381</v>
      </c>
      <c r="I228" s="5" t="str">
        <f>IF(H228="","",VLOOKUP(H228,DB!A:B,2,0))</f>
        <v>AJA HD5DA</v>
      </c>
      <c r="J228" s="5"/>
      <c r="K228" s="6"/>
      <c r="L228" s="6" t="s">
        <v>107</v>
      </c>
      <c r="M228" s="5"/>
      <c r="N228" s="5"/>
      <c r="O228" s="6" t="s">
        <v>382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381</v>
      </c>
      <c r="B229" s="6" t="str">
        <f>IF(A229="","",VLOOKUP(A229,DB!A:B,2,0))</f>
        <v>AJA HD5DA</v>
      </c>
      <c r="C229" s="5"/>
      <c r="D229" s="5"/>
      <c r="E229" s="6" t="s">
        <v>199</v>
      </c>
      <c r="F229" s="6" t="s">
        <v>243</v>
      </c>
      <c r="G229" s="6" t="s">
        <v>107</v>
      </c>
      <c r="H229" s="6" t="s">
        <v>279</v>
      </c>
      <c r="I229" s="5" t="str">
        <f>IF(H229="","",VLOOKUP(H229,DB!A:B,2,0))</f>
        <v>Sony HXCU-100 Cam 1</v>
      </c>
      <c r="J229" s="5"/>
      <c r="K229" s="6"/>
      <c r="L229" s="6" t="s">
        <v>383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381</v>
      </c>
      <c r="B230" s="6" t="str">
        <f>IF(A230="","",VLOOKUP(A230,DB!A:B,2,0))</f>
        <v>AJA HD5DA</v>
      </c>
      <c r="C230" s="5"/>
      <c r="D230" s="5"/>
      <c r="E230" s="6" t="s">
        <v>202</v>
      </c>
      <c r="F230" s="6" t="s">
        <v>243</v>
      </c>
      <c r="G230" s="6" t="s">
        <v>107</v>
      </c>
      <c r="H230" s="6" t="s">
        <v>282</v>
      </c>
      <c r="I230" s="5" t="str">
        <f>IF(H230="","",VLOOKUP(H230,DB!A:B,2,0))</f>
        <v>Sony HXCU-100 Cam 2</v>
      </c>
      <c r="J230" s="5"/>
      <c r="K230" s="6"/>
      <c r="L230" s="6" t="s">
        <v>383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381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107</v>
      </c>
      <c r="H231" s="6" t="s">
        <v>285</v>
      </c>
      <c r="I231" s="5" t="str">
        <f>IF(H231="","",VLOOKUP(H231,DB!A:B,2,0))</f>
        <v>Sony HXCU-100 Cam 3</v>
      </c>
      <c r="J231" s="5"/>
      <c r="K231" s="6"/>
      <c r="L231" s="6" t="s">
        <v>383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381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107</v>
      </c>
      <c r="H232" s="6" t="s">
        <v>288</v>
      </c>
      <c r="I232" s="5" t="str">
        <f>IF(H232="","",VLOOKUP(H232,DB!A:B,2,0))</f>
        <v>Sony HXCU-100 Cam 4</v>
      </c>
      <c r="J232" s="5"/>
      <c r="K232" s="6"/>
      <c r="L232" s="6" t="s">
        <v>383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384</v>
      </c>
      <c r="B233" s="6" t="str">
        <f>IF(A233="","",VLOOKUP(A233,DB!A:B,2,0))</f>
        <v>Patch Estudio</v>
      </c>
      <c r="C233" s="5"/>
      <c r="D233" s="5"/>
      <c r="E233" s="6" t="s">
        <v>385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/>
      <c r="L233" s="6" t="s">
        <v>61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89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89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/>
      <c r="L235" s="6" t="s">
        <v>21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89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/>
      <c r="L236" s="6" t="s">
        <v>24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89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/>
      <c r="L237" s="6" t="s">
        <v>27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89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30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89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33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36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39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45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49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52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55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64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49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52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144</v>
      </c>
      <c r="I249" s="5" t="str">
        <f>IF(H249="","",VLOOKUP(H249,DB!A:B,2,0))</f>
        <v>openGear X</v>
      </c>
      <c r="J249" s="6">
        <v>3.0</v>
      </c>
      <c r="K249" s="6" t="s">
        <v>242</v>
      </c>
      <c r="L249" s="6" t="s">
        <v>244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224</v>
      </c>
      <c r="B250" s="6" t="str">
        <f>IF(A250="","",VLOOKUP(A250,DB!A:B,2,0))</f>
        <v>AJA FS2</v>
      </c>
      <c r="C250" s="5"/>
      <c r="D250" s="6"/>
      <c r="E250" s="6" t="s">
        <v>386</v>
      </c>
      <c r="F250" s="5"/>
      <c r="G250" s="5"/>
      <c r="H250" s="6" t="s">
        <v>387</v>
      </c>
      <c r="I250" s="5" t="str">
        <f>IF(H250="","",VLOOKUP(H250,DB!A:B,2,0))</f>
        <v>Digiwave DSC-131</v>
      </c>
      <c r="J250" s="6"/>
      <c r="K250" s="6"/>
      <c r="L250" s="6" t="s">
        <v>388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387</v>
      </c>
      <c r="B251" s="6" t="str">
        <f>IF(A251="","",VLOOKUP(A251,DB!A:B,2,0))</f>
        <v>Digiwave DSC-131</v>
      </c>
      <c r="C251" s="5"/>
      <c r="D251" s="6"/>
      <c r="E251" s="6" t="s">
        <v>389</v>
      </c>
      <c r="F251" s="5"/>
      <c r="G251" s="5"/>
      <c r="H251" s="6" t="s">
        <v>390</v>
      </c>
      <c r="I251" s="5" t="str">
        <f>IF(H251="","",VLOOKUP(H251,DB!A:B,2,0))</f>
        <v>vidicraft vst2110</v>
      </c>
      <c r="J251" s="6"/>
      <c r="K251" s="6"/>
      <c r="L251" s="6" t="s">
        <v>391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392</v>
      </c>
      <c r="B252" s="6" t="str">
        <f>IF(A252="","",VLOOKUP(A252,DB!A:B,2,0))</f>
        <v>tc electronic Finalizer</v>
      </c>
      <c r="C252" s="5"/>
      <c r="D252" s="6"/>
      <c r="E252" s="6" t="s">
        <v>393</v>
      </c>
      <c r="F252" s="5"/>
      <c r="G252" s="5"/>
      <c r="H252" s="6" t="s">
        <v>224</v>
      </c>
      <c r="I252" s="5" t="str">
        <f>IF(H252="","",VLOOKUP(H252,DB!A:B,2,0))</f>
        <v>AJA FS2</v>
      </c>
      <c r="J252" s="6"/>
      <c r="K252" s="6"/>
      <c r="L252" s="6" t="s">
        <v>394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392</v>
      </c>
      <c r="B253" s="6" t="str">
        <f>IF(A253="","",VLOOKUP(A253,DB!A:B,2,0))</f>
        <v>tc electronic Finalizer</v>
      </c>
      <c r="C253" s="5"/>
      <c r="D253" s="6"/>
      <c r="E253" s="6" t="s">
        <v>395</v>
      </c>
      <c r="F253" s="5"/>
      <c r="G253" s="5"/>
      <c r="H253" s="6" t="s">
        <v>89</v>
      </c>
      <c r="I253" s="5" t="str">
        <f>IF(H253="","",VLOOKUP(H253,DB!A:B,2,0))</f>
        <v/>
      </c>
      <c r="J253" s="6"/>
      <c r="K253" s="6"/>
      <c r="L253" s="6"/>
      <c r="M253" s="5"/>
      <c r="N253" s="6" t="s">
        <v>240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392</v>
      </c>
      <c r="B254" s="6" t="str">
        <f>IF(A254="","",VLOOKUP(A254,DB!A:B,2,0))</f>
        <v>tc electronic Finalizer</v>
      </c>
      <c r="C254" s="5"/>
      <c r="D254" s="6"/>
      <c r="E254" s="6" t="s">
        <v>396</v>
      </c>
      <c r="F254" s="5"/>
      <c r="G254" s="5"/>
      <c r="H254" s="6" t="s">
        <v>89</v>
      </c>
      <c r="I254" s="5" t="str">
        <f>IF(H254="","",VLOOKUP(H254,DB!A:B,2,0))</f>
        <v/>
      </c>
      <c r="J254" s="6"/>
      <c r="K254" s="6"/>
      <c r="L254" s="6"/>
      <c r="M254" s="5"/>
      <c r="N254" s="6" t="s">
        <v>240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397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243</v>
      </c>
      <c r="G255" s="6" t="s">
        <v>18</v>
      </c>
      <c r="H255" s="6" t="s">
        <v>188</v>
      </c>
      <c r="I255" s="5" t="str">
        <f>IF(H255="","",VLOOKUP(H255,DB!A:B,2,0))</f>
        <v>Player A</v>
      </c>
      <c r="J255" s="6">
        <v>1.0</v>
      </c>
      <c r="K255" s="6" t="s">
        <v>73</v>
      </c>
      <c r="L255" s="6" t="s">
        <v>398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397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243</v>
      </c>
      <c r="G256" s="6" t="s">
        <v>18</v>
      </c>
      <c r="H256" s="6" t="s">
        <v>188</v>
      </c>
      <c r="I256" s="5" t="str">
        <f>IF(H256="","",VLOOKUP(H256,DB!A:B,2,0))</f>
        <v>Player A</v>
      </c>
      <c r="J256" s="6">
        <v>2.0</v>
      </c>
      <c r="K256" s="6" t="s">
        <v>73</v>
      </c>
      <c r="L256" s="6" t="s">
        <v>398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397</v>
      </c>
      <c r="B257" s="6" t="str">
        <f>IF(A257="","",VLOOKUP(A257,DB!A:B,2,0))</f>
        <v>Videotron DV100-EQ</v>
      </c>
      <c r="C257" s="5"/>
      <c r="D257" s="6"/>
      <c r="E257" s="6" t="s">
        <v>23</v>
      </c>
      <c r="F257" s="6" t="s">
        <v>243</v>
      </c>
      <c r="G257" s="6" t="s">
        <v>18</v>
      </c>
      <c r="H257" s="6" t="s">
        <v>191</v>
      </c>
      <c r="I257" s="5" t="str">
        <f>IF(H257="","",VLOOKUP(H257,DB!A:B,2,0))</f>
        <v>Player B</v>
      </c>
      <c r="J257" s="6">
        <v>1.0</v>
      </c>
      <c r="K257" s="6" t="s">
        <v>73</v>
      </c>
      <c r="L257" s="6" t="s">
        <v>398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397</v>
      </c>
      <c r="B258" s="6" t="str">
        <f>IF(A258="","",VLOOKUP(A258,DB!A:B,2,0))</f>
        <v>Videotron DV100-EQ</v>
      </c>
      <c r="C258" s="5"/>
      <c r="D258" s="6"/>
      <c r="E258" s="6" t="s">
        <v>26</v>
      </c>
      <c r="F258" s="6" t="s">
        <v>243</v>
      </c>
      <c r="G258" s="6" t="s">
        <v>18</v>
      </c>
      <c r="H258" s="6" t="s">
        <v>191</v>
      </c>
      <c r="I258" s="5" t="str">
        <f>IF(H258="","",VLOOKUP(H258,DB!A:B,2,0))</f>
        <v>Player B</v>
      </c>
      <c r="J258" s="6">
        <v>2.0</v>
      </c>
      <c r="K258" s="6" t="s">
        <v>73</v>
      </c>
      <c r="L258" s="6" t="s">
        <v>398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397</v>
      </c>
      <c r="B259" s="6" t="str">
        <f>IF(A259="","",VLOOKUP(A259,DB!A:B,2,0))</f>
        <v>Videotron DV100-EQ</v>
      </c>
      <c r="C259" s="5"/>
      <c r="D259" s="6"/>
      <c r="E259" s="6" t="s">
        <v>29</v>
      </c>
      <c r="F259" s="6" t="s">
        <v>243</v>
      </c>
      <c r="G259" s="6" t="s">
        <v>18</v>
      </c>
      <c r="H259" s="6" t="s">
        <v>193</v>
      </c>
      <c r="I259" s="5" t="str">
        <f>IF(H259="","",VLOOKUP(H259,DB!A:B,2,0))</f>
        <v>Player C</v>
      </c>
      <c r="J259" s="6">
        <v>1.0</v>
      </c>
      <c r="K259" s="6" t="s">
        <v>73</v>
      </c>
      <c r="L259" s="6" t="s">
        <v>398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397</v>
      </c>
      <c r="B260" s="6" t="str">
        <f>IF(A260="","",VLOOKUP(A260,DB!A:B,2,0))</f>
        <v>Videotron DV100-EQ</v>
      </c>
      <c r="C260" s="5"/>
      <c r="D260" s="6"/>
      <c r="E260" s="6" t="s">
        <v>32</v>
      </c>
      <c r="F260" s="6" t="s">
        <v>243</v>
      </c>
      <c r="G260" s="6" t="s">
        <v>18</v>
      </c>
      <c r="H260" s="6" t="s">
        <v>193</v>
      </c>
      <c r="I260" s="5" t="str">
        <f>IF(H260="","",VLOOKUP(H260,DB!A:B,2,0))</f>
        <v>Player C</v>
      </c>
      <c r="J260" s="6">
        <v>2.0</v>
      </c>
      <c r="K260" s="6" t="s">
        <v>73</v>
      </c>
      <c r="L260" s="6" t="s">
        <v>398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397</v>
      </c>
      <c r="B261" s="6" t="str">
        <f>IF(A261="","",VLOOKUP(A261,DB!A:B,2,0))</f>
        <v>Videotron DV100-EQ</v>
      </c>
      <c r="C261" s="5"/>
      <c r="D261" s="6"/>
      <c r="E261" s="6" t="s">
        <v>35</v>
      </c>
      <c r="F261" s="6" t="s">
        <v>243</v>
      </c>
      <c r="G261" s="6" t="s">
        <v>18</v>
      </c>
      <c r="H261" s="6" t="s">
        <v>89</v>
      </c>
      <c r="I261" s="5" t="str">
        <f>IF(H261="","",VLOOKUP(H261,DB!A:B,2,0))</f>
        <v/>
      </c>
      <c r="J261" s="6"/>
      <c r="K261" s="6"/>
      <c r="L261" s="6"/>
      <c r="M261" s="5"/>
      <c r="N261" s="6" t="s">
        <v>399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397</v>
      </c>
      <c r="B262" s="6" t="str">
        <f>IF(A262="","",VLOOKUP(A262,DB!A:B,2,0))</f>
        <v>Videotron DV100-EQ</v>
      </c>
      <c r="C262" s="5"/>
      <c r="D262" s="6"/>
      <c r="E262" s="6" t="s">
        <v>38</v>
      </c>
      <c r="F262" s="6" t="s">
        <v>243</v>
      </c>
      <c r="G262" s="6" t="s">
        <v>18</v>
      </c>
      <c r="H262" s="6" t="s">
        <v>89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188</v>
      </c>
      <c r="B263" s="6" t="str">
        <f>IF(A263="","",VLOOKUP(A263,DB!A:B,2,0))</f>
        <v>Player A</v>
      </c>
      <c r="C263" s="6">
        <v>2.0</v>
      </c>
      <c r="D263" s="6" t="s">
        <v>73</v>
      </c>
      <c r="E263" s="6" t="s">
        <v>400</v>
      </c>
      <c r="F263" s="5"/>
      <c r="G263" s="5"/>
      <c r="H263" s="6" t="s">
        <v>352</v>
      </c>
      <c r="I263" s="5" t="str">
        <f>IF(H263="","",VLOOKUP(H263,DB!A:B,2,0))</f>
        <v>Yamaha QL5</v>
      </c>
      <c r="J263" s="6"/>
      <c r="K263" s="6"/>
      <c r="L263" s="6" t="s">
        <v>401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182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204</v>
      </c>
      <c r="I264" s="5" t="str">
        <f>IF(H264="","",VLOOKUP(H264,DB!A:B,2,0))</f>
        <v>openGear X</v>
      </c>
      <c r="J264" s="6">
        <v>1.0</v>
      </c>
      <c r="K264" s="6" t="s">
        <v>317</v>
      </c>
      <c r="L264" s="6" t="s">
        <v>319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204</v>
      </c>
      <c r="B265" s="6" t="str">
        <f>IF(A265="","",VLOOKUP(A265,DB!A:B,2,0))</f>
        <v>openGear X</v>
      </c>
      <c r="C265" s="6">
        <v>1.0</v>
      </c>
      <c r="D265" s="6" t="s">
        <v>317</v>
      </c>
      <c r="E265" s="6" t="s">
        <v>402</v>
      </c>
      <c r="F265" s="6" t="s">
        <v>243</v>
      </c>
      <c r="G265" s="6" t="s">
        <v>319</v>
      </c>
      <c r="H265" s="6" t="s">
        <v>204</v>
      </c>
      <c r="I265" s="5" t="str">
        <f>IF(H265="","",VLOOKUP(H265,DB!A:B,2,0))</f>
        <v>openGear X</v>
      </c>
      <c r="J265" s="6" t="s">
        <v>182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204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403</v>
      </c>
      <c r="F266" s="6" t="s">
        <v>243</v>
      </c>
      <c r="G266" s="6" t="s">
        <v>319</v>
      </c>
      <c r="H266" s="6" t="s">
        <v>204</v>
      </c>
      <c r="I266" s="5" t="str">
        <f>IF(H266="","",VLOOKUP(H266,DB!A:B,2,0))</f>
        <v>openGear X</v>
      </c>
      <c r="J266" s="6" t="s">
        <v>182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204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404</v>
      </c>
      <c r="F267" s="6" t="s">
        <v>243</v>
      </c>
      <c r="G267" s="6" t="s">
        <v>319</v>
      </c>
      <c r="H267" s="6" t="s">
        <v>204</v>
      </c>
      <c r="I267" s="5" t="str">
        <f>IF(H267="","",VLOOKUP(H267,DB!A:B,2,0))</f>
        <v>openGear X</v>
      </c>
      <c r="J267" s="6" t="s">
        <v>182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204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405</v>
      </c>
      <c r="F268" s="6" t="s">
        <v>243</v>
      </c>
      <c r="G268" s="6" t="s">
        <v>319</v>
      </c>
      <c r="H268" s="6" t="s">
        <v>204</v>
      </c>
      <c r="I268" s="5" t="str">
        <f>IF(H268="","",VLOOKUP(H268,DB!A:B,2,0))</f>
        <v>openGear X</v>
      </c>
      <c r="J268" s="6">
        <v>3.0</v>
      </c>
      <c r="K268" s="14" t="s">
        <v>205</v>
      </c>
      <c r="L268" s="6" t="s">
        <v>107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204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406</v>
      </c>
      <c r="F269" s="6" t="s">
        <v>243</v>
      </c>
      <c r="G269" s="6" t="s">
        <v>319</v>
      </c>
      <c r="H269" s="6" t="s">
        <v>204</v>
      </c>
      <c r="I269" s="5" t="str">
        <f>IF(H269="","",VLOOKUP(H269,DB!A:B,2,0))</f>
        <v>openGear X</v>
      </c>
      <c r="J269" s="6">
        <v>2.0</v>
      </c>
      <c r="K269" s="14" t="s">
        <v>205</v>
      </c>
      <c r="L269" s="6" t="s">
        <v>107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204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407</v>
      </c>
      <c r="F270" s="6" t="s">
        <v>243</v>
      </c>
      <c r="G270" s="6" t="s">
        <v>319</v>
      </c>
      <c r="H270" s="6" t="s">
        <v>204</v>
      </c>
      <c r="I270" s="5" t="str">
        <f>IF(H270="","",VLOOKUP(H270,DB!A:B,2,0))</f>
        <v>openGear X</v>
      </c>
      <c r="J270" s="6">
        <v>5.0</v>
      </c>
      <c r="K270" s="14" t="s">
        <v>205</v>
      </c>
      <c r="L270" s="6" t="s">
        <v>107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204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243</v>
      </c>
      <c r="G271" s="6" t="s">
        <v>319</v>
      </c>
      <c r="H271" s="6" t="s">
        <v>182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204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409</v>
      </c>
      <c r="F272" s="6" t="s">
        <v>243</v>
      </c>
      <c r="G272" s="6" t="s">
        <v>319</v>
      </c>
      <c r="H272" s="6" t="s">
        <v>347</v>
      </c>
      <c r="I272" s="5" t="str">
        <f>IF(H272="","",VLOOKUP(H272,DB!A:B,2,0))</f>
        <v>VIDEObit 3G-LINK-TD</v>
      </c>
      <c r="J272" s="6"/>
      <c r="K272" s="6"/>
      <c r="L272" s="6" t="s">
        <v>68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204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410</v>
      </c>
      <c r="F273" s="6" t="s">
        <v>243</v>
      </c>
      <c r="G273" s="6" t="s">
        <v>319</v>
      </c>
      <c r="H273" s="6" t="s">
        <v>89</v>
      </c>
      <c r="I273" s="5" t="str">
        <f>IF(H273="","",VLOOKUP(H273,DB!A:B,2,0))</f>
        <v/>
      </c>
      <c r="J273" s="6"/>
      <c r="K273" s="6"/>
      <c r="L273" s="6"/>
      <c r="M273" s="5"/>
      <c r="N273" s="6" t="s">
        <v>213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411</v>
      </c>
      <c r="B274" s="6" t="str">
        <f>IF(A274="","",VLOOKUP(A274,DB!A:B,2,0))</f>
        <v>Leader Sync Generator</v>
      </c>
      <c r="C274" s="5"/>
      <c r="D274" s="6"/>
      <c r="E274" s="6" t="s">
        <v>412</v>
      </c>
      <c r="F274" s="5"/>
      <c r="G274" s="5"/>
      <c r="H274" s="6" t="s">
        <v>144</v>
      </c>
      <c r="I274" s="5" t="str">
        <f>IF(H274="","",VLOOKUP(H274,DB!A:B,2,0))</f>
        <v>openGear X</v>
      </c>
      <c r="J274" s="6">
        <v>0.0</v>
      </c>
      <c r="K274" s="6" t="s">
        <v>413</v>
      </c>
      <c r="L274" s="6" t="s">
        <v>398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411</v>
      </c>
      <c r="B275" s="6" t="str">
        <f>IF(A275="","",VLOOKUP(A275,DB!A:B,2,0))</f>
        <v>Leader Sync Generator</v>
      </c>
      <c r="C275" s="5"/>
      <c r="D275" s="6"/>
      <c r="E275" s="6" t="s">
        <v>414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398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411</v>
      </c>
      <c r="B276" s="6" t="str">
        <f>IF(A276="","",VLOOKUP(A276,DB!A:B,2,0))</f>
        <v>Leader Sync Generator</v>
      </c>
      <c r="C276" s="5"/>
      <c r="D276" s="6"/>
      <c r="E276" s="6" t="s">
        <v>415</v>
      </c>
      <c r="F276" s="5"/>
      <c r="G276" s="5"/>
      <c r="H276" s="6" t="s">
        <v>416</v>
      </c>
      <c r="I276" s="5" t="str">
        <f>IF(H276="","",VLOOKUP(H276,DB!A:B,2,0))</f>
        <v>Miranda Densite3</v>
      </c>
      <c r="J276" s="6">
        <v>7.0</v>
      </c>
      <c r="K276" s="6" t="s">
        <v>417</v>
      </c>
      <c r="L276" s="6" t="s">
        <v>391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411</v>
      </c>
      <c r="B277" s="6" t="str">
        <f>IF(A277="","",VLOOKUP(A277,DB!A:B,2,0))</f>
        <v>Leader Sync Generator</v>
      </c>
      <c r="C277" s="5"/>
      <c r="D277" s="6"/>
      <c r="E277" s="6" t="s">
        <v>418</v>
      </c>
      <c r="F277" s="5"/>
      <c r="G277" s="5"/>
      <c r="H277" s="6" t="s">
        <v>89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411</v>
      </c>
      <c r="B278" s="6" t="str">
        <f>IF(A278="","",VLOOKUP(A278,DB!A:B,2,0))</f>
        <v>Leader Sync Generator</v>
      </c>
      <c r="C278" s="5"/>
      <c r="D278" s="6"/>
      <c r="E278" s="6" t="s">
        <v>419</v>
      </c>
      <c r="F278" s="5"/>
      <c r="G278" s="5"/>
      <c r="H278" s="6" t="s">
        <v>89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411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89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416</v>
      </c>
      <c r="B280" s="6" t="str">
        <f>IF(A280="","",VLOOKUP(A280,DB!A:B,2,0))</f>
        <v>Miranda Densite3</v>
      </c>
      <c r="C280" s="6">
        <v>7.0</v>
      </c>
      <c r="D280" s="6" t="s">
        <v>417</v>
      </c>
      <c r="E280" s="6" t="s">
        <v>421</v>
      </c>
      <c r="F280" s="6" t="s">
        <v>243</v>
      </c>
      <c r="G280" s="6" t="s">
        <v>391</v>
      </c>
      <c r="H280" s="6" t="s">
        <v>387</v>
      </c>
      <c r="I280" s="5" t="str">
        <f>IF(H280="","",VLOOKUP(H280,DB!A:B,2,0))</f>
        <v>Digiwave DSC-131</v>
      </c>
      <c r="J280" s="6"/>
      <c r="K280" s="6"/>
      <c r="L280" s="6" t="s">
        <v>398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416</v>
      </c>
      <c r="B281" s="6" t="str">
        <f>IF(A281="","",VLOOKUP(A281,DB!A:B,2,0))</f>
        <v>Miranda Densite3</v>
      </c>
      <c r="C281" s="6">
        <v>7.0</v>
      </c>
      <c r="D281" s="6" t="s">
        <v>417</v>
      </c>
      <c r="E281" s="6" t="s">
        <v>422</v>
      </c>
      <c r="F281" s="6" t="s">
        <v>243</v>
      </c>
      <c r="G281" s="6" t="s">
        <v>391</v>
      </c>
      <c r="H281" s="6" t="s">
        <v>397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416</v>
      </c>
      <c r="B282" s="6" t="str">
        <f>IF(A282="","",VLOOKUP(A282,DB!A:B,2,0))</f>
        <v>Miranda Densite3</v>
      </c>
      <c r="C282" s="6">
        <v>7.0</v>
      </c>
      <c r="D282" s="6" t="s">
        <v>417</v>
      </c>
      <c r="E282" s="6" t="s">
        <v>423</v>
      </c>
      <c r="F282" s="6" t="s">
        <v>243</v>
      </c>
      <c r="G282" s="6" t="s">
        <v>391</v>
      </c>
      <c r="H282" s="6" t="s">
        <v>279</v>
      </c>
      <c r="I282" s="5" t="str">
        <f>IF(H282="","",VLOOKUP(H282,DB!A:B,2,0))</f>
        <v>Sony HXCU-100 Cam 1</v>
      </c>
      <c r="J282" s="6"/>
      <c r="K282" s="6"/>
      <c r="L282" s="6" t="s">
        <v>398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416</v>
      </c>
      <c r="B283" s="6" t="str">
        <f>IF(A283="","",VLOOKUP(A283,DB!A:B,2,0))</f>
        <v>Miranda Densite3</v>
      </c>
      <c r="C283" s="6">
        <v>7.0</v>
      </c>
      <c r="D283" s="6" t="s">
        <v>417</v>
      </c>
      <c r="E283" s="6" t="s">
        <v>424</v>
      </c>
      <c r="F283" s="6" t="s">
        <v>243</v>
      </c>
      <c r="G283" s="6" t="s">
        <v>391</v>
      </c>
      <c r="H283" s="6" t="s">
        <v>204</v>
      </c>
      <c r="I283" s="5" t="str">
        <f>IF(H283="","",VLOOKUP(H283,DB!A:B,2,0))</f>
        <v>openGear X</v>
      </c>
      <c r="J283" s="6">
        <v>0.0</v>
      </c>
      <c r="K283" s="6" t="s">
        <v>413</v>
      </c>
      <c r="L283" s="6" t="s">
        <v>398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416</v>
      </c>
      <c r="B284" s="6" t="str">
        <f>IF(A284="","",VLOOKUP(A284,DB!A:B,2,0))</f>
        <v>Miranda Densite3</v>
      </c>
      <c r="C284" s="6">
        <v>7.0</v>
      </c>
      <c r="D284" s="6" t="s">
        <v>417</v>
      </c>
      <c r="E284" s="6" t="s">
        <v>425</v>
      </c>
      <c r="F284" s="6" t="s">
        <v>243</v>
      </c>
      <c r="G284" s="6" t="s">
        <v>391</v>
      </c>
      <c r="H284" s="6" t="s">
        <v>89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416</v>
      </c>
      <c r="B285" s="6" t="str">
        <f>IF(A285="","",VLOOKUP(A285,DB!A:B,2,0))</f>
        <v>Miranda Densite3</v>
      </c>
      <c r="C285" s="6">
        <v>7.0</v>
      </c>
      <c r="D285" s="6" t="s">
        <v>417</v>
      </c>
      <c r="E285" s="6" t="s">
        <v>426</v>
      </c>
      <c r="F285" s="6" t="s">
        <v>243</v>
      </c>
      <c r="G285" s="6" t="s">
        <v>391</v>
      </c>
      <c r="H285" s="6" t="s">
        <v>89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416</v>
      </c>
      <c r="B286" s="6" t="str">
        <f>IF(A286="","",VLOOKUP(A286,DB!A:B,2,0))</f>
        <v>Miranda Densite3</v>
      </c>
      <c r="C286" s="6">
        <v>7.0</v>
      </c>
      <c r="D286" s="6" t="s">
        <v>417</v>
      </c>
      <c r="E286" s="6" t="s">
        <v>427</v>
      </c>
      <c r="F286" s="6" t="s">
        <v>243</v>
      </c>
      <c r="G286" s="6" t="s">
        <v>391</v>
      </c>
      <c r="H286" s="6" t="s">
        <v>89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416</v>
      </c>
      <c r="B287" s="6" t="str">
        <f>IF(A287="","",VLOOKUP(A287,DB!A:B,2,0))</f>
        <v>Miranda Densite3</v>
      </c>
      <c r="C287" s="6">
        <v>7.0</v>
      </c>
      <c r="D287" s="6" t="s">
        <v>417</v>
      </c>
      <c r="E287" s="6" t="s">
        <v>428</v>
      </c>
      <c r="F287" s="6" t="s">
        <v>243</v>
      </c>
      <c r="G287" s="6" t="s">
        <v>391</v>
      </c>
      <c r="H287" s="6" t="s">
        <v>89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416</v>
      </c>
      <c r="B288" s="6" t="str">
        <f>IF(A288="","",VLOOKUP(A288,DB!A:B,2,0))</f>
        <v>Miranda Densite3</v>
      </c>
      <c r="C288" s="6">
        <v>7.0</v>
      </c>
      <c r="D288" s="6" t="s">
        <v>417</v>
      </c>
      <c r="E288" s="6" t="s">
        <v>429</v>
      </c>
      <c r="F288" s="6" t="s">
        <v>243</v>
      </c>
      <c r="G288" s="6" t="s">
        <v>391</v>
      </c>
      <c r="H288" s="6" t="s">
        <v>89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430</v>
      </c>
      <c r="F289" s="6" t="s">
        <v>243</v>
      </c>
      <c r="G289" s="6" t="s">
        <v>398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398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279</v>
      </c>
      <c r="B290" s="6" t="str">
        <f>IF(A290="","",VLOOKUP(A290,DB!A:B,2,0))</f>
        <v>Sony HXCU-100 Cam 1</v>
      </c>
      <c r="C290" s="5"/>
      <c r="D290" s="6"/>
      <c r="E290" s="6" t="s">
        <v>430</v>
      </c>
      <c r="F290" s="6" t="s">
        <v>243</v>
      </c>
      <c r="G290" s="6" t="s">
        <v>398</v>
      </c>
      <c r="H290" s="6" t="s">
        <v>282</v>
      </c>
      <c r="I290" s="5" t="str">
        <f>IF(H290="","",VLOOKUP(H290,DB!A:B,2,0))</f>
        <v>Sony HXCU-100 Cam 2</v>
      </c>
      <c r="J290" s="6"/>
      <c r="K290" s="6"/>
      <c r="L290" s="6" t="s">
        <v>398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282</v>
      </c>
      <c r="B291" s="6" t="str">
        <f>IF(A291="","",VLOOKUP(A291,DB!A:B,2,0))</f>
        <v>Sony HXCU-100 Cam 2</v>
      </c>
      <c r="C291" s="5"/>
      <c r="D291" s="6"/>
      <c r="E291" s="6" t="s">
        <v>430</v>
      </c>
      <c r="F291" s="6" t="s">
        <v>243</v>
      </c>
      <c r="G291" s="6" t="s">
        <v>398</v>
      </c>
      <c r="H291" s="6" t="s">
        <v>285</v>
      </c>
      <c r="I291" s="5" t="str">
        <f>IF(H291="","",VLOOKUP(H291,DB!A:B,2,0))</f>
        <v>Sony HXCU-100 Cam 3</v>
      </c>
      <c r="J291" s="6"/>
      <c r="K291" s="6"/>
      <c r="L291" s="6" t="s">
        <v>398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285</v>
      </c>
      <c r="B292" s="6" t="str">
        <f>IF(A292="","",VLOOKUP(A292,DB!A:B,2,0))</f>
        <v>Sony HXCU-100 Cam 3</v>
      </c>
      <c r="C292" s="5"/>
      <c r="D292" s="6"/>
      <c r="E292" s="6" t="s">
        <v>430</v>
      </c>
      <c r="F292" s="6" t="s">
        <v>243</v>
      </c>
      <c r="G292" s="6" t="s">
        <v>398</v>
      </c>
      <c r="H292" s="6" t="s">
        <v>288</v>
      </c>
      <c r="I292" s="5" t="str">
        <f>IF(H292="","",VLOOKUP(H292,DB!A:B,2,0))</f>
        <v>Sony HXCU-100 Cam 4</v>
      </c>
      <c r="J292" s="6"/>
      <c r="K292" s="6"/>
      <c r="L292" s="6" t="s">
        <v>398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288</v>
      </c>
      <c r="B293" s="6" t="str">
        <f>IF(A293="","",VLOOKUP(A293,DB!A:B,2,0))</f>
        <v>Sony HXCU-100 Cam 4</v>
      </c>
      <c r="C293" s="5"/>
      <c r="D293" s="6"/>
      <c r="E293" s="6" t="s">
        <v>430</v>
      </c>
      <c r="F293" s="6" t="s">
        <v>243</v>
      </c>
      <c r="G293" s="6" t="s">
        <v>398</v>
      </c>
      <c r="H293" s="6" t="s">
        <v>91</v>
      </c>
      <c r="I293" s="5" t="str">
        <f>IF(H293="","",VLOOKUP(H293,DB!A:B,2,0))</f>
        <v>FOR A HVS-390HS</v>
      </c>
      <c r="J293" s="6"/>
      <c r="K293" s="6"/>
      <c r="L293" s="6" t="s">
        <v>398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89</v>
      </c>
      <c r="B294" s="6" t="str">
        <f>IF(A294="","",VLOOKUP(A294,DB!A:B,2,0))</f>
        <v/>
      </c>
      <c r="C294" s="5"/>
      <c r="D294" s="6"/>
      <c r="E294" s="6"/>
      <c r="F294" s="5"/>
      <c r="G294" s="5"/>
      <c r="H294" s="6" t="s">
        <v>144</v>
      </c>
      <c r="I294" s="5" t="str">
        <f>IF(H294="","",VLOOKUP(H294,DB!A:B,2,0))</f>
        <v>openGear X</v>
      </c>
      <c r="J294" s="6">
        <v>8.0</v>
      </c>
      <c r="K294" s="6" t="s">
        <v>329</v>
      </c>
      <c r="L294" s="6" t="s">
        <v>107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144</v>
      </c>
      <c r="B295" s="6" t="str">
        <f>IF(A295="","",VLOOKUP(A295,DB!A:B,2,0))</f>
        <v>openGear X</v>
      </c>
      <c r="C295" s="6">
        <v>0.0</v>
      </c>
      <c r="D295" s="6" t="s">
        <v>413</v>
      </c>
      <c r="E295" s="6" t="s">
        <v>430</v>
      </c>
      <c r="F295" s="6" t="s">
        <v>243</v>
      </c>
      <c r="G295" s="6" t="s">
        <v>398</v>
      </c>
      <c r="H295" s="6" t="s">
        <v>185</v>
      </c>
      <c r="I295" s="5" t="str">
        <f>IF(H295="","",VLOOKUP(H295,DB!A:B,2,0))</f>
        <v>openGear X</v>
      </c>
      <c r="J295" s="6">
        <v>0.0</v>
      </c>
      <c r="K295" s="6" t="s">
        <v>413</v>
      </c>
      <c r="L295" s="6" t="s">
        <v>398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185</v>
      </c>
      <c r="B296" s="6" t="str">
        <f>IF(A296="","",VLOOKUP(A296,DB!A:B,2,0))</f>
        <v>openGear X</v>
      </c>
      <c r="C296" s="6">
        <v>0.0</v>
      </c>
      <c r="D296" s="6" t="s">
        <v>413</v>
      </c>
      <c r="E296" s="6" t="s">
        <v>430</v>
      </c>
      <c r="F296" s="6" t="s">
        <v>243</v>
      </c>
      <c r="G296" s="6" t="s">
        <v>398</v>
      </c>
      <c r="H296" s="6" t="s">
        <v>67</v>
      </c>
      <c r="I296" s="5" t="str">
        <f>IF(H296="","",VLOOKUP(H296,DB!A:B,2,0))</f>
        <v>AJA FS4</v>
      </c>
      <c r="J296" s="6"/>
      <c r="K296" s="6"/>
      <c r="L296" s="6" t="s">
        <v>398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67</v>
      </c>
      <c r="B297" s="6" t="str">
        <f>IF(A297="","",VLOOKUP(A297,DB!A:B,2,0))</f>
        <v>AJA FS4</v>
      </c>
      <c r="C297" s="5"/>
      <c r="D297" s="6"/>
      <c r="E297" s="6" t="s">
        <v>430</v>
      </c>
      <c r="F297" s="6" t="s">
        <v>243</v>
      </c>
      <c r="G297" s="6" t="s">
        <v>398</v>
      </c>
      <c r="H297" s="6" t="s">
        <v>224</v>
      </c>
      <c r="I297" s="5" t="str">
        <f>IF(H297="","",VLOOKUP(H297,DB!A:B,2,0))</f>
        <v>AJA FS2</v>
      </c>
      <c r="J297" s="6"/>
      <c r="K297" s="6"/>
      <c r="L297" s="6" t="s">
        <v>398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175</v>
      </c>
      <c r="B298" s="6" t="str">
        <f>IF(A298="","",VLOOKUP(A298,DB!A:B,2,0))</f>
        <v>Leader LV 7770</v>
      </c>
      <c r="C298" s="5"/>
      <c r="D298" s="6"/>
      <c r="E298" s="6" t="s">
        <v>431</v>
      </c>
      <c r="F298" s="6" t="s">
        <v>243</v>
      </c>
      <c r="G298" s="6" t="s">
        <v>179</v>
      </c>
      <c r="H298" s="6" t="s">
        <v>102</v>
      </c>
      <c r="I298" s="5" t="str">
        <f>IF(H298="","",VLOOKUP(H298,DB!A:B,2,0))</f>
        <v>PC Rack</v>
      </c>
      <c r="J298" s="6">
        <v>1.0</v>
      </c>
      <c r="K298" s="6" t="s">
        <v>73</v>
      </c>
      <c r="L298" s="6" t="s">
        <v>432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</sheetData>
  <conditionalFormatting sqref="A1:AC498">
    <cfRule type="cellIs" dxfId="0" priority="1" operator="equal">
      <formula>"N/D"</formula>
    </cfRule>
  </conditionalFormatting>
  <conditionalFormatting sqref="A1:AC498">
    <cfRule type="cellIs" dxfId="1" priority="2" operator="equal">
      <formula>"N/C"</formula>
    </cfRule>
  </conditionalFormatting>
  <conditionalFormatting sqref="A1:AC498">
    <cfRule type="expression" dxfId="2" priority="3">
      <formula>ISEVEN(ROW())</formula>
    </cfRule>
  </conditionalFormatting>
  <dataValidations>
    <dataValidation type="list" allowBlank="1" showErrorMessage="1" sqref="A2:A498 H2:H498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433</v>
      </c>
      <c r="B1" s="16" t="s">
        <v>434</v>
      </c>
      <c r="C1" s="17" t="s">
        <v>435</v>
      </c>
      <c r="D1" s="18" t="s">
        <v>436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437</v>
      </c>
      <c r="B2" s="7" t="s">
        <v>438</v>
      </c>
      <c r="C2" s="19" t="s">
        <v>439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440</v>
      </c>
      <c r="C3" s="19" t="s">
        <v>441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442</v>
      </c>
      <c r="C4" s="19" t="s">
        <v>443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444</v>
      </c>
      <c r="C5" s="19" t="s">
        <v>445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446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397</v>
      </c>
      <c r="B7" s="11" t="s">
        <v>447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448</v>
      </c>
      <c r="B9" s="7" t="s">
        <v>449</v>
      </c>
      <c r="C9" s="19" t="s">
        <v>450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451</v>
      </c>
      <c r="C10" s="19" t="s">
        <v>452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453</v>
      </c>
      <c r="C11" s="19" t="s">
        <v>454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455</v>
      </c>
      <c r="C12" s="19" t="s">
        <v>456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411</v>
      </c>
      <c r="B14" s="11" t="s">
        <v>457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416</v>
      </c>
      <c r="B15" s="7" t="s">
        <v>458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459</v>
      </c>
      <c r="C16" s="19" t="s">
        <v>460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461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462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463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463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369</v>
      </c>
      <c r="B22" s="11" t="s">
        <v>464</v>
      </c>
      <c r="C22" s="20" t="s">
        <v>465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371</v>
      </c>
      <c r="B23" s="11" t="s">
        <v>466</v>
      </c>
      <c r="C23" s="20" t="s">
        <v>467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468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469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470</v>
      </c>
      <c r="B27" s="7" t="s">
        <v>471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472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472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473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474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475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362</v>
      </c>
      <c r="B33" s="7" t="s">
        <v>471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475</v>
      </c>
      <c r="C34" s="19" t="s">
        <v>476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392</v>
      </c>
      <c r="B35" s="7" t="s">
        <v>477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478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479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479</v>
      </c>
      <c r="C38" s="19" t="s">
        <v>480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387</v>
      </c>
      <c r="B39" s="7" t="s">
        <v>481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390</v>
      </c>
      <c r="B40" s="7" t="s">
        <v>482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483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484</v>
      </c>
      <c r="B43" s="7" t="s">
        <v>485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486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487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488</v>
      </c>
      <c r="C46" s="19" t="s">
        <v>489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490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491</v>
      </c>
      <c r="B49" s="7" t="s">
        <v>492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493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494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495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496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497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498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381</v>
      </c>
      <c r="B56" s="7" t="s">
        <v>499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500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368</v>
      </c>
      <c r="B60" s="6" t="s">
        <v>501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502</v>
      </c>
      <c r="B61" s="11" t="s">
        <v>503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504</v>
      </c>
      <c r="B62" s="11" t="s">
        <v>505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506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507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204</v>
      </c>
      <c r="B65" s="7" t="s">
        <v>475</v>
      </c>
      <c r="C65" s="19" t="s">
        <v>508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6" t="s">
        <v>509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510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511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512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384</v>
      </c>
      <c r="B72" s="7" t="s">
        <v>513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514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515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516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517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374</v>
      </c>
      <c r="B78" s="7" t="s">
        <v>518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519</v>
      </c>
      <c r="B79" s="7" t="s">
        <v>520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377</v>
      </c>
      <c r="B80" s="7" t="s">
        <v>521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149</v>
      </c>
      <c r="B81" s="7" t="s">
        <v>522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523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379</v>
      </c>
      <c r="B83" s="7" t="s">
        <v>524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110</v>
      </c>
      <c r="B84" s="7" t="s">
        <v>525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373</v>
      </c>
      <c r="B85" s="11" t="s">
        <v>526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527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182</v>
      </c>
      <c r="B89" s="11" t="s">
        <v>528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89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529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530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531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  <col customWidth="1" min="31" max="38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6" t="s">
        <v>533</v>
      </c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Conexiones!A2:O498,
    IF(A2="""", ROW(Conexiones!A2:A498)^0, ISNUMBER(SEARCH(A2, Conexiones!A2:A498))),
    IF(B2="""", ROW(Conexiones!B2:B498)^0, ISNUMBER(SEARCH(B2, Conexiones!B2:B498))),
    IF(C2="""", ROW(Conexiones!C2:C498)^0, "&amp;"ISNUMBER(SEARCH(C2, Conexiones!C2:C498))),
    IF(D2="""", ROW(Conexiones!D2:D498)^0, ISNUMBER(SEARCH(D2, Conexiones!D2:D498))),
    IF(E2="""", ROW(Conexiones!E2:E498)^0, ISNUMBER(SEARCH(E2, Conexiones!E2:E498))),
    IF(F2="""", ROW(Conexiones!F2:F498)^"&amp;"0, ISNUMBER(SEARCH(F2, Conexiones!F2:F498))),
    IF(G2="""", ROW(Conexiones!G2:G498)^0, ISNUMBER(SEARCH(G2, Conexiones!G2:G498))),
    IF(H2="""", ROW(Conexiones!H2:H498)^0, ISNUMBER(SEARCH(H2, Conexiones!H2:H498))),
    IF(B2="""", ROW(Conexiones!H2:H49"&amp;"8)^0, ISNUMBER(SEARCH(B2, Conexiones!H2:H498))),
    IF(I2="""", ROW(Conexiones!I2:I498)^0, ISNUMBER(SEARCH(I2, Conexiones!I2:I498))),
    IF(J2="""", ROW(Conexiones!J2:J498)^0, ISNUMBER(SEARCH(J2, Conexiones!J2:J498))),
    IF(K2="""", ROW(Conexiones!L2:"&amp;"L498)^0, ISNUMBER(SEARCH(K2, Conexiones!L2:L498))),
    IF(L2="""", ROW(Conexiones!M2:M498)^0, ISNUMBER(SEARCH(L2, Conexiones!M2:M498))),
    IF(M2="""", ROW(Conexiones!N2:N498)^0, ISNUMBER(SEARCH(M2, Conexiones!N2:N498))),
    IF(N2="""", ROW(Conexiones!"&amp;"O2:O498)^0, ISNUMBER(SEARCH(N2, Conexiones!O2:O498)))
  ),
  P2,
  TRUE
)"),"A.6")</f>
        <v>A.6</v>
      </c>
      <c r="B3" s="5" t="str">
        <f>IFERROR(__xludf.DUMMYFUNCTION("""COMPUTED_VALUE"""),"Videotron DV100-EQ")</f>
        <v>Videotron DV100-EQ</v>
      </c>
      <c r="C3" s="5"/>
      <c r="D3" s="5"/>
      <c r="E3" s="5" t="str">
        <f>IFERROR(__xludf.DUMMYFUNCTION("""COMPUTED_VALUE"""),"Out 1")</f>
        <v>Out 1</v>
      </c>
      <c r="F3" s="5" t="str">
        <f>IFERROR(__xludf.DUMMYFUNCTION("""COMPUTED_VALUE"""),"T")</f>
        <v>T</v>
      </c>
      <c r="G3" s="5" t="str">
        <f>IFERROR(__xludf.DUMMYFUNCTION("""COMPUTED_VALUE"""),"In 1")</f>
        <v>In 1</v>
      </c>
      <c r="H3" s="5" t="str">
        <f>IFERROR(__xludf.DUMMYFUNCTION("""COMPUTED_VALUE"""),"A.2")</f>
        <v>A.2</v>
      </c>
      <c r="I3" s="5" t="str">
        <f>IFERROR(__xludf.DUMMYFUNCTION("""COMPUTED_VALUE"""),"Player A")</f>
        <v>Player A</v>
      </c>
      <c r="J3" s="5">
        <f>IFERROR(__xludf.DUMMYFUNCTION("""COMPUTED_VALUE"""),1.0)</f>
        <v>1</v>
      </c>
      <c r="K3" s="5" t="str">
        <f>IFERROR(__xludf.DUMMYFUNCTION("""COMPUTED_VALUE"""),"DeckLink")</f>
        <v>DeckLink</v>
      </c>
      <c r="L3" s="5" t="str">
        <f>IFERROR(__xludf.DUMMYFUNCTION("""COMPUTED_VALUE"""),"REF In")</f>
        <v>REF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IFERROR(__xludf.DUMMYFUNCTION("""COMPUTED_VALUE"""),"A.6")</f>
        <v>A.6</v>
      </c>
      <c r="B4" s="5" t="str">
        <f>IFERROR(__xludf.DUMMYFUNCTION("""COMPUTED_VALUE"""),"Videotron DV100-EQ")</f>
        <v>Videotron DV100-EQ</v>
      </c>
      <c r="C4" s="5"/>
      <c r="D4" s="5"/>
      <c r="E4" s="5" t="str">
        <f>IFERROR(__xludf.DUMMYFUNCTION("""COMPUTED_VALUE"""),"Out 2")</f>
        <v>Out 2</v>
      </c>
      <c r="F4" s="5" t="str">
        <f>IFERROR(__xludf.DUMMYFUNCTION("""COMPUTED_VALUE"""),"T")</f>
        <v>T</v>
      </c>
      <c r="G4" s="5" t="str">
        <f>IFERROR(__xludf.DUMMYFUNCTION("""COMPUTED_VALUE"""),"In 1")</f>
        <v>In 1</v>
      </c>
      <c r="H4" s="5" t="str">
        <f>IFERROR(__xludf.DUMMYFUNCTION("""COMPUTED_VALUE"""),"A.2")</f>
        <v>A.2</v>
      </c>
      <c r="I4" s="5" t="str">
        <f>IFERROR(__xludf.DUMMYFUNCTION("""COMPUTED_VALUE"""),"Player A")</f>
        <v>Player A</v>
      </c>
      <c r="J4" s="5">
        <f>IFERROR(__xludf.DUMMYFUNCTION("""COMPUTED_VALUE"""),2.0)</f>
        <v>2</v>
      </c>
      <c r="K4" s="5" t="str">
        <f>IFERROR(__xludf.DUMMYFUNCTION("""COMPUTED_VALUE"""),"DeckLink")</f>
        <v>DeckLink</v>
      </c>
      <c r="L4" s="5" t="str">
        <f>IFERROR(__xludf.DUMMYFUNCTION("""COMPUTED_VALUE"""),"REF In")</f>
        <v>REF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IFERROR(__xludf.DUMMYFUNCTION("""COMPUTED_VALUE"""),"A.6")</f>
        <v>A.6</v>
      </c>
      <c r="B5" s="5" t="str">
        <f>IFERROR(__xludf.DUMMYFUNCTION("""COMPUTED_VALUE"""),"Videotron DV100-EQ")</f>
        <v>Videotron DV100-EQ</v>
      </c>
      <c r="C5" s="5"/>
      <c r="D5" s="5"/>
      <c r="E5" s="5" t="str">
        <f>IFERROR(__xludf.DUMMYFUNCTION("""COMPUTED_VALUE"""),"Out 3")</f>
        <v>Out 3</v>
      </c>
      <c r="F5" s="5" t="str">
        <f>IFERROR(__xludf.DUMMYFUNCTION("""COMPUTED_VALUE"""),"T")</f>
        <v>T</v>
      </c>
      <c r="G5" s="5" t="str">
        <f>IFERROR(__xludf.DUMMYFUNCTION("""COMPUTED_VALUE"""),"In 1")</f>
        <v>In 1</v>
      </c>
      <c r="H5" s="5" t="str">
        <f>IFERROR(__xludf.DUMMYFUNCTION("""COMPUTED_VALUE"""),"A.3")</f>
        <v>A.3</v>
      </c>
      <c r="I5" s="5" t="str">
        <f>IFERROR(__xludf.DUMMYFUNCTION("""COMPUTED_VALUE"""),"Player B")</f>
        <v>Player B</v>
      </c>
      <c r="J5" s="5">
        <f>IFERROR(__xludf.DUMMYFUNCTION("""COMPUTED_VALUE"""),1.0)</f>
        <v>1</v>
      </c>
      <c r="K5" s="5" t="str">
        <f>IFERROR(__xludf.DUMMYFUNCTION("""COMPUTED_VALUE"""),"DeckLink")</f>
        <v>DeckLink</v>
      </c>
      <c r="L5" s="5" t="str">
        <f>IFERROR(__xludf.DUMMYFUNCTION("""COMPUTED_VALUE"""),"REF In")</f>
        <v>REF In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IFERROR(__xludf.DUMMYFUNCTION("""COMPUTED_VALUE"""),"A.6")</f>
        <v>A.6</v>
      </c>
      <c r="B6" s="5" t="str">
        <f>IFERROR(__xludf.DUMMYFUNCTION("""COMPUTED_VALUE"""),"Videotron DV100-EQ")</f>
        <v>Videotron DV100-EQ</v>
      </c>
      <c r="C6" s="5"/>
      <c r="D6" s="5"/>
      <c r="E6" s="5" t="str">
        <f>IFERROR(__xludf.DUMMYFUNCTION("""COMPUTED_VALUE"""),"Out 4")</f>
        <v>Out 4</v>
      </c>
      <c r="F6" s="5" t="str">
        <f>IFERROR(__xludf.DUMMYFUNCTION("""COMPUTED_VALUE"""),"T")</f>
        <v>T</v>
      </c>
      <c r="G6" s="5" t="str">
        <f>IFERROR(__xludf.DUMMYFUNCTION("""COMPUTED_VALUE"""),"In 1")</f>
        <v>In 1</v>
      </c>
      <c r="H6" s="5" t="str">
        <f>IFERROR(__xludf.DUMMYFUNCTION("""COMPUTED_VALUE"""),"A.3")</f>
        <v>A.3</v>
      </c>
      <c r="I6" s="5" t="str">
        <f>IFERROR(__xludf.DUMMYFUNCTION("""COMPUTED_VALUE"""),"Player B")</f>
        <v>Player B</v>
      </c>
      <c r="J6" s="5">
        <f>IFERROR(__xludf.DUMMYFUNCTION("""COMPUTED_VALUE"""),2.0)</f>
        <v>2</v>
      </c>
      <c r="K6" s="5" t="str">
        <f>IFERROR(__xludf.DUMMYFUNCTION("""COMPUTED_VALUE"""),"DeckLink")</f>
        <v>DeckLink</v>
      </c>
      <c r="L6" s="5" t="str">
        <f>IFERROR(__xludf.DUMMYFUNCTION("""COMPUTED_VALUE"""),"REF In")</f>
        <v>REF In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21"/>
      <c r="AF6" s="21"/>
      <c r="AG6" s="21"/>
      <c r="AH6" s="21"/>
      <c r="AI6" s="21"/>
      <c r="AJ6" s="21"/>
      <c r="AK6" s="21"/>
      <c r="AL6" s="21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IFERROR(__xludf.DUMMYFUNCTION("""COMPUTED_VALUE"""),"A.6")</f>
        <v>A.6</v>
      </c>
      <c r="B7" s="5" t="str">
        <f>IFERROR(__xludf.DUMMYFUNCTION("""COMPUTED_VALUE"""),"Videotron DV100-EQ")</f>
        <v>Videotron DV100-EQ</v>
      </c>
      <c r="C7" s="5"/>
      <c r="D7" s="5"/>
      <c r="E7" s="5" t="str">
        <f>IFERROR(__xludf.DUMMYFUNCTION("""COMPUTED_VALUE"""),"Out 5")</f>
        <v>Out 5</v>
      </c>
      <c r="F7" s="5" t="str">
        <f>IFERROR(__xludf.DUMMYFUNCTION("""COMPUTED_VALUE"""),"T")</f>
        <v>T</v>
      </c>
      <c r="G7" s="5" t="str">
        <f>IFERROR(__xludf.DUMMYFUNCTION("""COMPUTED_VALUE"""),"In 1")</f>
        <v>In 1</v>
      </c>
      <c r="H7" s="5" t="str">
        <f>IFERROR(__xludf.DUMMYFUNCTION("""COMPUTED_VALUE"""),"A.4")</f>
        <v>A.4</v>
      </c>
      <c r="I7" s="5" t="str">
        <f>IFERROR(__xludf.DUMMYFUNCTION("""COMPUTED_VALUE"""),"Player C")</f>
        <v>Player C</v>
      </c>
      <c r="J7" s="5">
        <f>IFERROR(__xludf.DUMMYFUNCTION("""COMPUTED_VALUE"""),1.0)</f>
        <v>1</v>
      </c>
      <c r="K7" s="5" t="str">
        <f>IFERROR(__xludf.DUMMYFUNCTION("""COMPUTED_VALUE"""),"DeckLink")</f>
        <v>DeckLink</v>
      </c>
      <c r="L7" s="5" t="str">
        <f>IFERROR(__xludf.DUMMYFUNCTION("""COMPUTED_VALUE"""),"REF In")</f>
        <v>REF In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6"/>
      <c r="AF7" s="6"/>
      <c r="AG7" s="6"/>
      <c r="AH7" s="6"/>
      <c r="AI7" s="6"/>
      <c r="AJ7" s="6"/>
      <c r="AK7" s="6"/>
      <c r="AL7" s="6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IFERROR(__xludf.DUMMYFUNCTION("""COMPUTED_VALUE"""),"A.6")</f>
        <v>A.6</v>
      </c>
      <c r="B8" s="5" t="str">
        <f>IFERROR(__xludf.DUMMYFUNCTION("""COMPUTED_VALUE"""),"Videotron DV100-EQ")</f>
        <v>Videotron DV100-EQ</v>
      </c>
      <c r="C8" s="5"/>
      <c r="D8" s="5"/>
      <c r="E8" s="5" t="str">
        <f>IFERROR(__xludf.DUMMYFUNCTION("""COMPUTED_VALUE"""),"Out 6")</f>
        <v>Out 6</v>
      </c>
      <c r="F8" s="5" t="str">
        <f>IFERROR(__xludf.DUMMYFUNCTION("""COMPUTED_VALUE"""),"T")</f>
        <v>T</v>
      </c>
      <c r="G8" s="5" t="str">
        <f>IFERROR(__xludf.DUMMYFUNCTION("""COMPUTED_VALUE"""),"In 1")</f>
        <v>In 1</v>
      </c>
      <c r="H8" s="5" t="str">
        <f>IFERROR(__xludf.DUMMYFUNCTION("""COMPUTED_VALUE"""),"A.4")</f>
        <v>A.4</v>
      </c>
      <c r="I8" s="5" t="str">
        <f>IFERROR(__xludf.DUMMYFUNCTION("""COMPUTED_VALUE"""),"Player C")</f>
        <v>Player C</v>
      </c>
      <c r="J8" s="5">
        <f>IFERROR(__xludf.DUMMYFUNCTION("""COMPUTED_VALUE"""),2.0)</f>
        <v>2</v>
      </c>
      <c r="K8" s="5" t="str">
        <f>IFERROR(__xludf.DUMMYFUNCTION("""COMPUTED_VALUE"""),"DeckLink")</f>
        <v>DeckLink</v>
      </c>
      <c r="L8" s="5" t="str">
        <f>IFERROR(__xludf.DUMMYFUNCTION("""COMPUTED_VALUE"""),"REF In")</f>
        <v>REF In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IFERROR(__xludf.DUMMYFUNCTION("""COMPUTED_VALUE"""),"C.1")</f>
        <v>C.1</v>
      </c>
      <c r="B9" s="5" t="str">
        <f>IFERROR(__xludf.DUMMYFUNCTION("""COMPUTED_VALUE"""),"Leader Sync Generator")</f>
        <v>Leader Sync Generator</v>
      </c>
      <c r="C9" s="5"/>
      <c r="D9" s="5"/>
      <c r="E9" s="5" t="str">
        <f>IFERROR(__xludf.DUMMYFUNCTION("""COMPUTED_VALUE"""),"Analog Out 1")</f>
        <v>Analog Out 1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IFERROR(__xludf.DUMMYFUNCTION("""COMPUTED_VALUE"""),0.0)</f>
        <v>0</v>
      </c>
      <c r="K9" s="5" t="str">
        <f>IFERROR(__xludf.DUMMYFUNCTION("""COMPUTED_VALUE"""),"Main")</f>
        <v>Main</v>
      </c>
      <c r="L9" s="5" t="str">
        <f>IFERROR(__xludf.DUMMYFUNCTION("""COMPUTED_VALUE"""),"REF In")</f>
        <v>REF In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IFERROR(__xludf.DUMMYFUNCTION("""COMPUTED_VALUE"""),"C.1")</f>
        <v>C.1</v>
      </c>
      <c r="B10" s="5" t="str">
        <f>IFERROR(__xludf.DUMMYFUNCTION("""COMPUTED_VALUE"""),"Leader Sync Generator")</f>
        <v>Leader Sync Generator</v>
      </c>
      <c r="C10" s="5"/>
      <c r="D10" s="5"/>
      <c r="E10" s="5" t="str">
        <f>IFERROR(__xludf.DUMMYFUNCTION("""COMPUTED_VALUE"""),"Analog Out 2")</f>
        <v>Analog Out 2</v>
      </c>
      <c r="F10" s="5"/>
      <c r="G10" s="5"/>
      <c r="H10" s="5" t="str">
        <f>IFERROR(__xludf.DUMMYFUNCTION("""COMPUTED_VALUE"""),"C.3")</f>
        <v>C.3</v>
      </c>
      <c r="I10" s="5" t="str">
        <f>IFERROR(__xludf.DUMMYFUNCTION("""COMPUTED_VALUE"""),"AJA KUMO 6464")</f>
        <v>AJA KUMO 6464</v>
      </c>
      <c r="J10" s="5"/>
      <c r="K10" s="5"/>
      <c r="L10" s="5" t="str">
        <f>IFERROR(__xludf.DUMMYFUNCTION("""COMPUTED_VALUE"""),"REF In")</f>
        <v>REF In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IFERROR(__xludf.DUMMYFUNCTION("""COMPUTED_VALUE"""),"C.2")</f>
        <v>C.2</v>
      </c>
      <c r="B11" s="5" t="str">
        <f>IFERROR(__xludf.DUMMYFUNCTION("""COMPUTED_VALUE"""),"Miranda Densite3")</f>
        <v>Miranda Densite3</v>
      </c>
      <c r="C11" s="5">
        <f>IFERROR(__xludf.DUMMYFUNCTION("""COMPUTED_VALUE"""),7.0)</f>
        <v>7</v>
      </c>
      <c r="D11" s="5" t="str">
        <f>IFERROR(__xludf.DUMMYFUNCTION("""COMPUTED_VALUE"""),"Analog Dist. Amp.")</f>
        <v>Analog Dist. Amp.</v>
      </c>
      <c r="E11" s="5" t="str">
        <f>IFERROR(__xludf.DUMMYFUNCTION("""COMPUTED_VALUE"""),"Video Out 1")</f>
        <v>Video Out 1</v>
      </c>
      <c r="F11" s="5" t="str">
        <f>IFERROR(__xludf.DUMMYFUNCTION("""COMPUTED_VALUE"""),"T")</f>
        <v>T</v>
      </c>
      <c r="G11" s="5" t="str">
        <f>IFERROR(__xludf.DUMMYFUNCTION("""COMPUTED_VALUE"""),"Video In")</f>
        <v>Video In</v>
      </c>
      <c r="H11" s="5" t="str">
        <f>IFERROR(__xludf.DUMMYFUNCTION("""COMPUTED_VALUE"""),"D.14")</f>
        <v>D.14</v>
      </c>
      <c r="I11" s="5" t="str">
        <f>IFERROR(__xludf.DUMMYFUNCTION("""COMPUTED_VALUE"""),"Digiwave DSC-131")</f>
        <v>Digiwave DSC-131</v>
      </c>
      <c r="J11" s="5"/>
      <c r="K11" s="5"/>
      <c r="L11" s="5" t="str">
        <f>IFERROR(__xludf.DUMMYFUNCTION("""COMPUTED_VALUE"""),"REF In")</f>
        <v>REF In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IFERROR(__xludf.DUMMYFUNCTION("""COMPUTED_VALUE"""),"C.2")</f>
        <v>C.2</v>
      </c>
      <c r="B12" s="5" t="str">
        <f>IFERROR(__xludf.DUMMYFUNCTION("""COMPUTED_VALUE"""),"Miranda Densite3")</f>
        <v>Miranda Densite3</v>
      </c>
      <c r="C12" s="5">
        <f>IFERROR(__xludf.DUMMYFUNCTION("""COMPUTED_VALUE"""),7.0)</f>
        <v>7</v>
      </c>
      <c r="D12" s="5" t="str">
        <f>IFERROR(__xludf.DUMMYFUNCTION("""COMPUTED_VALUE"""),"Analog Dist. Amp.")</f>
        <v>Analog Dist. Amp.</v>
      </c>
      <c r="E12" s="5" t="str">
        <f>IFERROR(__xludf.DUMMYFUNCTION("""COMPUTED_VALUE"""),"Video Out 3")</f>
        <v>Video Out 3</v>
      </c>
      <c r="F12" s="5" t="str">
        <f>IFERROR(__xludf.DUMMYFUNCTION("""COMPUTED_VALUE"""),"T")</f>
        <v>T</v>
      </c>
      <c r="G12" s="5" t="str">
        <f>IFERROR(__xludf.DUMMYFUNCTION("""COMPUTED_VALUE"""),"Video In")</f>
        <v>Video In</v>
      </c>
      <c r="H12" s="5" t="str">
        <f>IFERROR(__xludf.DUMMYFUNCTION("""COMPUTED_VALUE"""),"F.2")</f>
        <v>F.2</v>
      </c>
      <c r="I12" s="5" t="str">
        <f>IFERROR(__xludf.DUMMYFUNCTION("""COMPUTED_VALUE"""),"Sony HXCU-100 Cam 1")</f>
        <v>Sony HXCU-100 Cam 1</v>
      </c>
      <c r="J12" s="5"/>
      <c r="K12" s="5"/>
      <c r="L12" s="5" t="str">
        <f>IFERROR(__xludf.DUMMYFUNCTION("""COMPUTED_VALUE"""),"REF In")</f>
        <v>REF In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IFERROR(__xludf.DUMMYFUNCTION("""COMPUTED_VALUE"""),"C.2")</f>
        <v>C.2</v>
      </c>
      <c r="B13" s="5" t="str">
        <f>IFERROR(__xludf.DUMMYFUNCTION("""COMPUTED_VALUE"""),"Miranda Densite3")</f>
        <v>Miranda Densite3</v>
      </c>
      <c r="C13" s="5">
        <f>IFERROR(__xludf.DUMMYFUNCTION("""COMPUTED_VALUE"""),7.0)</f>
        <v>7</v>
      </c>
      <c r="D13" s="5" t="str">
        <f>IFERROR(__xludf.DUMMYFUNCTION("""COMPUTED_VALUE"""),"Analog Dist. Amp.")</f>
        <v>Analog Dist. Amp.</v>
      </c>
      <c r="E13" s="5" t="str">
        <f>IFERROR(__xludf.DUMMYFUNCTION("""COMPUTED_VALUE"""),"Video Out 4")</f>
        <v>Video Out 4</v>
      </c>
      <c r="F13" s="5" t="str">
        <f>IFERROR(__xludf.DUMMYFUNCTION("""COMPUTED_VALUE"""),"T")</f>
        <v>T</v>
      </c>
      <c r="G13" s="5" t="str">
        <f>IFERROR(__xludf.DUMMYFUNCTION("""COMPUTED_VALUE"""),"Video In")</f>
        <v>Video In</v>
      </c>
      <c r="H13" s="5" t="str">
        <f>IFERROR(__xludf.DUMMYFUNCTION("""COMPUTED_VALUE"""),"L.6")</f>
        <v>L.6</v>
      </c>
      <c r="I13" s="5" t="str">
        <f>IFERROR(__xludf.DUMMYFUNCTION("""COMPUTED_VALUE"""),"openGear X")</f>
        <v>openGear X</v>
      </c>
      <c r="J13" s="5">
        <f>IFERROR(__xludf.DUMMYFUNCTION("""COMPUTED_VALUE"""),0.0)</f>
        <v>0</v>
      </c>
      <c r="K13" s="5" t="str">
        <f>IFERROR(__xludf.DUMMYFUNCTION("""COMPUTED_VALUE"""),"Main")</f>
        <v>Main</v>
      </c>
      <c r="L13" s="5" t="str">
        <f>IFERROR(__xludf.DUMMYFUNCTION("""COMPUTED_VALUE"""),"REF In")</f>
        <v>REF In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 t="str">
        <f>IFERROR(__xludf.DUMMYFUNCTION("""COMPUTED_VALUE"""),"C.3")</f>
        <v>C.3</v>
      </c>
      <c r="B14" s="5" t="str">
        <f>IFERROR(__xludf.DUMMYFUNCTION("""COMPUTED_VALUE"""),"AJA KUMO 6464")</f>
        <v>AJA KUMO 6464</v>
      </c>
      <c r="C14" s="5"/>
      <c r="D14" s="5"/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IFERROR(__xludf.DUMMYFUNCTION("""COMPUTED_VALUE"""),"C.5")</f>
        <v>C.5</v>
      </c>
      <c r="I14" s="5" t="str">
        <f>IFERROR(__xludf.DUMMYFUNCTION("""COMPUTED_VALUE"""),"Blackmagic 12 x 12")</f>
        <v>Blackmagic 12 x 12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21"/>
      <c r="AF14" s="21"/>
      <c r="AG14" s="21"/>
      <c r="AH14" s="21"/>
      <c r="AI14" s="21"/>
      <c r="AJ14" s="21"/>
      <c r="AK14" s="21"/>
      <c r="AL14" s="21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 t="str">
        <f>IFERROR(__xludf.DUMMYFUNCTION("""COMPUTED_VALUE"""),"D.11")</f>
        <v>D.11</v>
      </c>
      <c r="B15" s="5" t="str">
        <f>IFERROR(__xludf.DUMMYFUNCTION("""COMPUTED_VALUE"""),"AJA FS4")</f>
        <v>AJA FS4</v>
      </c>
      <c r="C15" s="5"/>
      <c r="D15" s="5"/>
      <c r="E15" s="5" t="str">
        <f>IFERROR(__xludf.DUMMYFUNCTION("""COMPUTED_VALUE"""),"REF Out")</f>
        <v>REF Out</v>
      </c>
      <c r="F15" s="5" t="str">
        <f>IFERROR(__xludf.DUMMYFUNCTION("""COMPUTED_VALUE"""),"T")</f>
        <v>T</v>
      </c>
      <c r="G15" s="5" t="str">
        <f>IFERROR(__xludf.DUMMYFUNCTION("""COMPUTED_VALUE"""),"REF In")</f>
        <v>REF In</v>
      </c>
      <c r="H15" s="5" t="str">
        <f>IFERROR(__xludf.DUMMYFUNCTION("""COMPUTED_VALUE"""),"D.13")</f>
        <v>D.13</v>
      </c>
      <c r="I15" s="5" t="str">
        <f>IFERROR(__xludf.DUMMYFUNCTION("""COMPUTED_VALUE"""),"AJA FS2")</f>
        <v>AJA FS2</v>
      </c>
      <c r="J15" s="5"/>
      <c r="K15" s="5"/>
      <c r="L15" s="5" t="str">
        <f>IFERROR(__xludf.DUMMYFUNCTION("""COMPUTED_VALUE"""),"REF In")</f>
        <v>REF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6"/>
      <c r="AF15" s="6"/>
      <c r="AG15" s="6"/>
      <c r="AH15" s="6"/>
      <c r="AI15" s="6"/>
      <c r="AJ15" s="6"/>
      <c r="AK15" s="6"/>
      <c r="AL15" s="6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 t="str">
        <f>IFERROR(__xludf.DUMMYFUNCTION("""COMPUTED_VALUE"""),"D.7")</f>
        <v>D.7</v>
      </c>
      <c r="B16" s="5" t="str">
        <f>IFERROR(__xludf.DUMMYFUNCTION("""COMPUTED_VALUE"""),"openGear X")</f>
        <v>openGear X</v>
      </c>
      <c r="C16" s="5">
        <f>IFERROR(__xludf.DUMMYFUNCTION("""COMPUTED_VALUE"""),0.0)</f>
        <v>0</v>
      </c>
      <c r="D16" s="5" t="str">
        <f>IFERROR(__xludf.DUMMYFUNCTION("""COMPUTED_VALUE"""),"Main")</f>
        <v>Main</v>
      </c>
      <c r="E16" s="5" t="str">
        <f>IFERROR(__xludf.DUMMYFUNCTION("""COMPUTED_VALUE"""),"REF Out")</f>
        <v>REF Out</v>
      </c>
      <c r="F16" s="5" t="str">
        <f>IFERROR(__xludf.DUMMYFUNCTION("""COMPUTED_VALUE"""),"T")</f>
        <v>T</v>
      </c>
      <c r="G16" s="5" t="str">
        <f>IFERROR(__xludf.DUMMYFUNCTION("""COMPUTED_VALUE"""),"REF In")</f>
        <v>REF In</v>
      </c>
      <c r="H16" s="5" t="str">
        <f>IFERROR(__xludf.DUMMYFUNCTION("""COMPUTED_VALUE"""),"D.9")</f>
        <v>D.9</v>
      </c>
      <c r="I16" s="5" t="str">
        <f>IFERROR(__xludf.DUMMYFUNCTION("""COMPUTED_VALUE"""),"openGear X")</f>
        <v>openGear X</v>
      </c>
      <c r="J16" s="5">
        <f>IFERROR(__xludf.DUMMYFUNCTION("""COMPUTED_VALUE"""),0.0)</f>
        <v>0</v>
      </c>
      <c r="K16" s="5" t="str">
        <f>IFERROR(__xludf.DUMMYFUNCTION("""COMPUTED_VALUE"""),"Main")</f>
        <v>Main</v>
      </c>
      <c r="L16" s="5" t="str">
        <f>IFERROR(__xludf.DUMMYFUNCTION("""COMPUTED_VALUE"""),"REF In")</f>
        <v>REF In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 t="str">
        <f>IFERROR(__xludf.DUMMYFUNCTION("""COMPUTED_VALUE"""),"D.9")</f>
        <v>D.9</v>
      </c>
      <c r="B17" s="5" t="str">
        <f>IFERROR(__xludf.DUMMYFUNCTION("""COMPUTED_VALUE"""),"openGear X")</f>
        <v>openGear X</v>
      </c>
      <c r="C17" s="5">
        <f>IFERROR(__xludf.DUMMYFUNCTION("""COMPUTED_VALUE"""),0.0)</f>
        <v>0</v>
      </c>
      <c r="D17" s="5" t="str">
        <f>IFERROR(__xludf.DUMMYFUNCTION("""COMPUTED_VALUE"""),"Main")</f>
        <v>Main</v>
      </c>
      <c r="E17" s="5" t="str">
        <f>IFERROR(__xludf.DUMMYFUNCTION("""COMPUTED_VALUE"""),"REF Out")</f>
        <v>REF Out</v>
      </c>
      <c r="F17" s="5" t="str">
        <f>IFERROR(__xludf.DUMMYFUNCTION("""COMPUTED_VALUE"""),"T")</f>
        <v>T</v>
      </c>
      <c r="G17" s="5" t="str">
        <f>IFERROR(__xludf.DUMMYFUNCTION("""COMPUTED_VALUE"""),"REF In")</f>
        <v>REF In</v>
      </c>
      <c r="H17" s="5" t="str">
        <f>IFERROR(__xludf.DUMMYFUNCTION("""COMPUTED_VALUE"""),"D.11")</f>
        <v>D.11</v>
      </c>
      <c r="I17" s="5" t="str">
        <f>IFERROR(__xludf.DUMMYFUNCTION("""COMPUTED_VALUE"""),"AJA FS4")</f>
        <v>AJA FS4</v>
      </c>
      <c r="J17" s="5"/>
      <c r="K17" s="5"/>
      <c r="L17" s="5" t="str">
        <f>IFERROR(__xludf.DUMMYFUNCTION("""COMPUTED_VALUE"""),"REF In")</f>
        <v>REF In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 t="str">
        <f>IFERROR(__xludf.DUMMYFUNCTION("""COMPUTED_VALUE"""),"F.2")</f>
        <v>F.2</v>
      </c>
      <c r="B18" s="5" t="str">
        <f>IFERROR(__xludf.DUMMYFUNCTION("""COMPUTED_VALUE"""),"Sony HXCU-100 Cam 1")</f>
        <v>Sony HXCU-100 Cam 1</v>
      </c>
      <c r="C18" s="5"/>
      <c r="D18" s="5"/>
      <c r="E18" s="5" t="str">
        <f>IFERROR(__xludf.DUMMYFUNCTION("""COMPUTED_VALUE"""),"REF Out")</f>
        <v>REF Out</v>
      </c>
      <c r="F18" s="5" t="str">
        <f>IFERROR(__xludf.DUMMYFUNCTION("""COMPUTED_VALUE"""),"T")</f>
        <v>T</v>
      </c>
      <c r="G18" s="5" t="str">
        <f>IFERROR(__xludf.DUMMYFUNCTION("""COMPUTED_VALUE"""),"REF In")</f>
        <v>REF In</v>
      </c>
      <c r="H18" s="5" t="str">
        <f>IFERROR(__xludf.DUMMYFUNCTION("""COMPUTED_VALUE"""),"F.3")</f>
        <v>F.3</v>
      </c>
      <c r="I18" s="5" t="str">
        <f>IFERROR(__xludf.DUMMYFUNCTION("""COMPUTED_VALUE"""),"Sony HXCU-100 Cam 2")</f>
        <v>Sony HXCU-100 Cam 2</v>
      </c>
      <c r="J18" s="5"/>
      <c r="K18" s="5"/>
      <c r="L18" s="5" t="str">
        <f>IFERROR(__xludf.DUMMYFUNCTION("""COMPUTED_VALUE"""),"REF In")</f>
        <v>REF In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 t="str">
        <f>IFERROR(__xludf.DUMMYFUNCTION("""COMPUTED_VALUE"""),"F.3")</f>
        <v>F.3</v>
      </c>
      <c r="B19" s="5" t="str">
        <f>IFERROR(__xludf.DUMMYFUNCTION("""COMPUTED_VALUE"""),"Sony HXCU-100 Cam 2")</f>
        <v>Sony HXCU-100 Cam 2</v>
      </c>
      <c r="C19" s="5"/>
      <c r="D19" s="5"/>
      <c r="E19" s="5" t="str">
        <f>IFERROR(__xludf.DUMMYFUNCTION("""COMPUTED_VALUE"""),"REF Out")</f>
        <v>REF Out</v>
      </c>
      <c r="F19" s="5" t="str">
        <f>IFERROR(__xludf.DUMMYFUNCTION("""COMPUTED_VALUE"""),"T")</f>
        <v>T</v>
      </c>
      <c r="G19" s="5" t="str">
        <f>IFERROR(__xludf.DUMMYFUNCTION("""COMPUTED_VALUE"""),"REF In")</f>
        <v>REF In</v>
      </c>
      <c r="H19" s="5" t="str">
        <f>IFERROR(__xludf.DUMMYFUNCTION("""COMPUTED_VALUE"""),"F.4")</f>
        <v>F.4</v>
      </c>
      <c r="I19" s="5" t="str">
        <f>IFERROR(__xludf.DUMMYFUNCTION("""COMPUTED_VALUE"""),"Sony HXCU-100 Cam 3")</f>
        <v>Sony HXCU-100 Cam 3</v>
      </c>
      <c r="J19" s="5"/>
      <c r="K19" s="5"/>
      <c r="L19" s="5" t="str">
        <f>IFERROR(__xludf.DUMMYFUNCTION("""COMPUTED_VALUE"""),"REF In")</f>
        <v>REF In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 t="str">
        <f>IFERROR(__xludf.DUMMYFUNCTION("""COMPUTED_VALUE"""),"F.4")</f>
        <v>F.4</v>
      </c>
      <c r="B20" s="5" t="str">
        <f>IFERROR(__xludf.DUMMYFUNCTION("""COMPUTED_VALUE"""),"Sony HXCU-100 Cam 3")</f>
        <v>Sony HXCU-100 Cam 3</v>
      </c>
      <c r="C20" s="5"/>
      <c r="D20" s="5"/>
      <c r="E20" s="5" t="str">
        <f>IFERROR(__xludf.DUMMYFUNCTION("""COMPUTED_VALUE"""),"REF Out")</f>
        <v>REF Out</v>
      </c>
      <c r="F20" s="5" t="str">
        <f>IFERROR(__xludf.DUMMYFUNCTION("""COMPUTED_VALUE"""),"T")</f>
        <v>T</v>
      </c>
      <c r="G20" s="5" t="str">
        <f>IFERROR(__xludf.DUMMYFUNCTION("""COMPUTED_VALUE"""),"REF In")</f>
        <v>REF In</v>
      </c>
      <c r="H20" s="5" t="str">
        <f>IFERROR(__xludf.DUMMYFUNCTION("""COMPUTED_VALUE"""),"F.5")</f>
        <v>F.5</v>
      </c>
      <c r="I20" s="5" t="str">
        <f>IFERROR(__xludf.DUMMYFUNCTION("""COMPUTED_VALUE"""),"Sony HXCU-100 Cam 4")</f>
        <v>Sony HXCU-100 Cam 4</v>
      </c>
      <c r="J20" s="5"/>
      <c r="K20" s="5"/>
      <c r="L20" s="5" t="str">
        <f>IFERROR(__xludf.DUMMYFUNCTION("""COMPUTED_VALUE"""),"REF In")</f>
        <v>REF In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 t="str">
        <f>IFERROR(__xludf.DUMMYFUNCTION("""COMPUTED_VALUE"""),"F.5")</f>
        <v>F.5</v>
      </c>
      <c r="B21" s="5" t="str">
        <f>IFERROR(__xludf.DUMMYFUNCTION("""COMPUTED_VALUE"""),"Sony HXCU-100 Cam 4")</f>
        <v>Sony HXCU-100 Cam 4</v>
      </c>
      <c r="C21" s="5"/>
      <c r="D21" s="5"/>
      <c r="E21" s="5" t="str">
        <f>IFERROR(__xludf.DUMMYFUNCTION("""COMPUTED_VALUE"""),"REF Out")</f>
        <v>REF Out</v>
      </c>
      <c r="F21" s="5" t="str">
        <f>IFERROR(__xludf.DUMMYFUNCTION("""COMPUTED_VALUE"""),"T")</f>
        <v>T</v>
      </c>
      <c r="G21" s="5" t="str">
        <f>IFERROR(__xludf.DUMMYFUNCTION("""COMPUTED_VALUE"""),"REF In")</f>
        <v>REF In</v>
      </c>
      <c r="H21" s="5" t="str">
        <f>IFERROR(__xludf.DUMMYFUNCTION("""COMPUTED_VALUE"""),"F.7")</f>
        <v>F.7</v>
      </c>
      <c r="I21" s="5" t="str">
        <f>IFERROR(__xludf.DUMMYFUNCTION("""COMPUTED_VALUE"""),"FOR A HVS-390HS")</f>
        <v>FOR A HVS-390HS</v>
      </c>
      <c r="J21" s="5"/>
      <c r="K21" s="5"/>
      <c r="L21" s="5" t="str">
        <f>IFERROR(__xludf.DUMMYFUNCTION("""COMPUTED_VALUE"""),"REF In")</f>
        <v>REF In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