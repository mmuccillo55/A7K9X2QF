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<sst xmlns="http://schemas.openxmlformats.org/spreadsheetml/2006/main" count="1619" uniqueCount="512">
  <si>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</si>
  <si>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</si>
  <si>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</si>
  <si>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</si>
  <si>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</si>
  <si>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</si>
  <si>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</si>
  <si>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</si>
  <si>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</si>
  <si>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</si>
  <si>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</si>
  <si>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</si>
  <si>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</si>
  <si>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</si>
  <si>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</si>
  <si>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</si>
  <si>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</si>
  <si>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</si>
  <si>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</si>
  <si>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</si>
  <si>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</si>
  <si>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</si>
  <si>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</si>
  <si>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PRUEBA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</si>
  <si>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</si>
  <si>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</si>
  <si>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</si>
  <si>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</si>
  <si>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</si>
  <si>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</si>
  <si>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</si>
  <si>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</si>
  <si>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</si>
  <si>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</si>
  <si>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</si>
  <si>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</si>
  <si>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</si>
  <si>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</si>
  <si>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</si>
  <si>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</si>
  <si>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</si>
  <si>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</si>
  <si>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</si>
  <si>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</si>
  <si>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</si>
  <si>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</si>
  <si>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</si>
  <si>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</si>
  <si>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</si>
  <si>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</si>
  <si>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</si>
  <si>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</si>
  <si>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</si>
  <si>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</si>
  <si>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</si>
  <si>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</si>
  <si>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</si>
  <si>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</si>
  <si>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</si>
  <si>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</si>
  <si>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</si>
  <si>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</si>
  <si>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</si>
  <si>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</si>
  <si>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</si>
  <si>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</si>
  <si>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</si>
  <si>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</si>
  <si>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</si>
  <si>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</si>
  <si>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</si>
  <si>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</si>
  <si>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</si>
  <si>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</si>
  <si>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</si>
  <si>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</si>
  <si>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</si>
  <si>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</si>
  <si>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</si>
  <si>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</si>
  <si>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</si>
  <si>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</si>
  <si>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</si>
  <si>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</si>
  <si>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</si>
  <si>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</si>
  <si>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</si>
  <si>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</si>
  <si>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</si>
  <si>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</si>
  <si>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</si>
  <si>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</si>
  <si>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</si>
  <si>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</si>
  <si>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</si>
  <si>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</si>
  <si>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</si>
  <si>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</si>
  <si>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</si>
  <si>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</si>
  <si>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</si>
  <si>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</si>
  <si>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</si>
  <si>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</si>
  <si>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</si>
  <si>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</si>
  <si>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</si>
  <si>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</si>
  <si>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</si>
  <si>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</si>
  <si>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</si>
  <si>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</si>
  <si>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</si>
  <si>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</si>
  <si>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</si>
  <si>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</si>
  <si>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</si>
  <si>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</si>
  <si>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</si>
  <si>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</si>
  <si>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</si>
  <si>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</si>
  <si>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</si>
  <si>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</si>
  <si>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</si>
  <si>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</si>
  <si>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</si>
  <si>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</si>
  <si>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</si>
  <si>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</si>
  <si>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</si>
  <si>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</si>
  <si>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</si>
  <si>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</si>
  <si>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</si>
  <si>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</si>
  <si>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</si>
  <si>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</si>
  <si>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</si>
  <si>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</si>
  <si>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</si>
  <si>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</si>
  <si>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</si>
  <si>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</si>
  <si>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</si>
  <si>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</si>
  <si>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</si>
  <si>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</si>
  <si>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</si>
  <si>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</si>
  <si>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</si>
  <si>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</si>
  <si>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</si>
  <si>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</si>
  <si>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</si>
  <si>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</si>
  <si>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</si>
  <si>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</si>
  <si>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</si>
  <si>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</si>
  <si>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</si>
  <si>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</si>
  <si>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</si>
  <si>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</si>
  <si>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</si>
  <si>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</si>
  <si>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</si>
  <si>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</si>
  <si>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</si>
  <si>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</si>
  <si>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</si>
  <si>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</si>
  <si>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</si>
  <si>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</si>
  <si>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</si>
  <si>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</si>
  <si>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</si>
  <si>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</si>
  <si>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</si>
  <si>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</si>
  <si>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</si>
  <si>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</si>
  <si>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</si>
  <si>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</si>
  <si>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</si>
  <si>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</si>
  <si>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</si>
  <si>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</si>
  <si>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</si>
  <si>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</si>
  <si>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</si>
  <si>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</si>
  <si>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</si>
  <si>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</si>
  <si>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</si>
  <si>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</si>
  <si>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</si>
  <si>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</si>
  <si>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</si>
  <si>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</si>
  <si>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</si>
  <si>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</si>
  <si>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</si>
  <si>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</si>
  <si>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</si>
  <si>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</si>
  <si>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</si>
  <si>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</si>
  <si>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</si>
  <si>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</si>
  <si>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</si>
  <si>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</si>
  <si>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</si>
  <si>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</si>
  <si>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</si>
  <si>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</si>
  <si>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</si>
  <si>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</si>
  <si>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</si>
  <si>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</si>
  <si>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</si>
  <si>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</si>
  <si>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</si>
  <si>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</si>
  <si>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</si>
  <si>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</si>
  <si>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</si>
  <si>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</si>
  <si>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</si>
  <si>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</si>
  <si>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</si>
  <si>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</si>
  <si>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</si>
  <si>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</si>
  <si>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</si>
  <si>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</si>
  <si>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</si>
  <si>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</si>
  <si>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</si>
  <si>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</si>
  <si>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</si>
  <si>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</si>
  <si>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</si>
  <si>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</si>
  <si>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</si>
  <si>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</si>
  <si>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</si>
  <si>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</si>
  <si>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</si>
  <si>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</si>
  <si>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</si>
  <si>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</si>
  <si>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</si>
  <si>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</si>
  <si>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</si>
  <si>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</si>
  <si>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</si>
  <si>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</si>
  <si>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</si>
  <si>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</si>
  <si>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</si>
  <si>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</si>
  <si>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</si>
  <si>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</si>
  <si>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</si>
  <si>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</si>
  <si>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</si>
  <si>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</si>
  <si>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</si>
  <si>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</si>
  <si>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</si>
  <si>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</si>
  <si>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</si>
  <si>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</si>
  <si>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</si>
  <si>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</si>
  <si>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</si>
  <si>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</si>
  <si>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</si>
  <si>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</si>
  <si>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</si>
  <si>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</si>
  <si>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</si>
  <si>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</si>
  <si>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</si>
  <si>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</si>
  <si>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</si>
  <si>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</si>
  <si>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</si>
  <si>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</si>
  <si>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</si>
  <si>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</si>
  <si>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</si>
  <si>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</si>
  <si>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</si>
  <si>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</si>
  <si>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</si>
  <si>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</si>
  <si>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</si>
  <si>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</si>
  <si>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</si>
  <si>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</si>
  <si>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</si>
  <si>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</si>
  <si>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</si>
  <si>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</si>
  <si>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</si>
  <si>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</si>
  <si>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</si>
  <si>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</si>
  <si>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</si>
  <si>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</si>
  <si>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</si>
  <si>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</si>
  <si>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</si>
  <si>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</si>
  <si>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</si>
  <si>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</si>
  <si>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</si>
  <si>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</si>
  <si>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</si>
  <si>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</si>
  <si>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</si>
  <si>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</si>
  <si>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</si>
  <si>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</si>
  <si>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</si>
  <si>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</si>
  <si>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</si>
  <si>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</si>
  <si>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</si>
  <si>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</si>
  <si>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</si>
  <si>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</si>
  <si>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</si>
  <si>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</si>
  <si>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</si>
  <si>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</si>
  <si>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</si>
  <si>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</si>
  <si>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</si>
  <si>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</si>
  <si>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</si>
  <si>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</si>
  <si>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</si>
  <si>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</si>
  <si>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</si>
  <si>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</si>
  <si>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</si>
  <si>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</si>
  <si>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</si>
  <si>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</si>
  <si>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</si>
  <si>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</si>
  <si>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</si>
  <si>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</si>
  <si>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</si>
  <si>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</si>
  <si>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</si>
  <si>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</si>
  <si>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</si>
  <si>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</si>
  <si>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</si>
  <si>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</si>
  <si>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</si>
  <si>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</si>
  <si>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</si>
  <si>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</si>
  <si>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</si>
  <si>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</si>
  <si>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</si>
  <si>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</si>
  <si>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</si>
  <si>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</si>
  <si>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</si>
  <si>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</si>
  <si>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</si>
  <si>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</si>
  <si>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</si>
  <si>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</si>
  <si>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</si>
  <si>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</si>
  <si>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</si>
  <si>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</si>
  <si>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</si>
  <si>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</si>
  <si>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</si>
  <si>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</si>
  <si>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</si>
  <si>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</si>
  <si>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</si>
  <si>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</si>
  <si>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</si>
  <si>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</si>
  <si>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</si>
  <si>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</si>
  <si>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</si>
  <si>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</si>
  <si>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</si>
  <si>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</si>
  <si>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</si>
  <si>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</si>
  <si>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J1 (in)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</si>
  <si>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</si>
  <si>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</si>
  <si>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</si>
  <si>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</si>
  <si>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</si>
  <si>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</si>
  <si>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</si>
  <si>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</si>
  <si>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</si>
  <si>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</si>
  <si>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</si>
  <si>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</si>
  <si>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</si>
  <si>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</si>
  <si>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</si>
  <si>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</si>
  <si>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</si>
  <si>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</si>
  <si>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</si>
  <si>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</si>
  <si>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</si>
  <si>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</si>
  <si>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</si>
  <si>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</si>
  <si>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</si>
  <si>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</si>
  <si>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</si>
  <si>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</si>
  <si>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</si>
  <si>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</si>
  <si>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</si>
  <si>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</si>
  <si>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</si>
  <si>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</si>
  <si>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</si>
  <si>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</si>
  <si>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</si>
  <si>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</si>
  <si>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</si>
  <si>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</si>
  <si>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</si>
  <si>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</si>
  <si>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</si>
  <si>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</si>
  <si>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</si>
  <si>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</si>
  <si>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</si>
  <si>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</si>
  <si>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</si>
  <si>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</si>
  <si>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</si>
  <si>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</si>
  <si>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</si>
  <si>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</si>
  <si>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</si>
  <si>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</si>
  <si>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</si>
  <si>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</si>
  <si>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</si>
  <si>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</si>
  <si>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</si>
  <si>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</si>
  <si>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</si>
  <si>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</si>
  <si>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</si>
  <si>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</si>
  <si>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</si>
  <si>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</si>
  <si>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</si>
  <si>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</si>
  <si>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</si>
  <si>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</si>
  <si>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</si>
  <si>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</si>
  <si>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</si>
  <si>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</si>
  <si>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</si>
  <si>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</si>
  <si>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</si>
  <si>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</si>
  <si>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</si>
  <si>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</si>
  <si>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</si>
  <si>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</si>
  <si>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</si>
  <si>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</si>
  <si>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</si>
  <si>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</si>
  <si>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</si>
  <si>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</si>
  <si>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</si>
  <si>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</si>
  <si>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</si>
  <si>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</si>
  <si>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</si>
  <si>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</si>
  <si>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</si>
  <si>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</si>
  <si>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</si>
  <si>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</si>
  <si>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</si>
  <si>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</si>
  <si>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</si>
  <si>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</si>
  <si>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</si>
  <si>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</si>
  <si>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</si>
  <si>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</si>
  <si>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d.7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</si>
</sst>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21</v>
      </c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25</v>
      </c>
      <c r="L4" s="6" t="s">
        <v>26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28</v>
      </c>
      <c r="L5" s="6" t="s">
        <v>29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31</v>
      </c>
      <c r="L6" s="6" t="s">
        <v>32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34</v>
      </c>
      <c r="L7" s="6" t="s">
        <v>35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37</v>
      </c>
      <c r="L8" s="6" t="s">
        <v>38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40</v>
      </c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43</v>
      </c>
      <c r="L10" s="6" t="s">
        <v>44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46</v>
      </c>
      <c r="L11" s="6" t="s">
        <v>47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 t="s">
        <v>50</v>
      </c>
      <c r="L12" s="6" t="s">
        <v>51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 t="s">
        <v>53</v>
      </c>
      <c r="L13" s="6" t="s">
        <v>54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 t="s">
        <v>56</v>
      </c>
      <c r="L14" s="6" t="s">
        <v>57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 t="s">
        <v>59</v>
      </c>
      <c r="L15" s="6" t="s">
        <v>60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 t="s">
        <v>62</v>
      </c>
      <c r="L16" s="6" t="s">
        <v>63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 t="s">
        <v>65</v>
      </c>
      <c r="L17" s="6" t="s">
        <v>66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 t="s">
        <v>69</v>
      </c>
      <c r="L18" s="6" t="s">
        <v>70</v>
      </c>
      <c r="M18" s="6" t="s">
        <v>71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80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83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85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 t="s">
        <v>17</v>
      </c>
      <c r="L24" s="6" t="s">
        <v>87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 t="s">
        <v>50</v>
      </c>
      <c r="L26" s="6" t="s">
        <v>92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 t="s">
        <v>53</v>
      </c>
      <c r="L27" s="6" t="s">
        <v>94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 t="s">
        <v>56</v>
      </c>
      <c r="L28" s="6" t="s">
        <v>96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 t="s">
        <v>59</v>
      </c>
      <c r="L29" s="6" t="s">
        <v>98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 t="s">
        <v>100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103</v>
      </c>
      <c r="L31" s="6" t="s">
        <v>104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 t="s">
        <v>107</v>
      </c>
      <c r="L32" s="6" t="s">
        <v>108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6" t="s">
        <v>111</v>
      </c>
      <c r="M33" s="6" t="s">
        <v>112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 t="s">
        <v>65</v>
      </c>
      <c r="L34" s="6" t="s">
        <v>115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 t="s">
        <v>62</v>
      </c>
      <c r="L35" s="6" t="s">
        <v>117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 t="s">
        <v>59</v>
      </c>
      <c r="L36" s="6" t="s">
        <v>119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 t="s">
        <v>56</v>
      </c>
      <c r="L37" s="6" t="s">
        <v>121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 t="s">
        <v>53</v>
      </c>
      <c r="L38" s="6" t="s">
        <v>123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 t="s">
        <v>50</v>
      </c>
      <c r="L39" s="6" t="s">
        <v>125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 t="s">
        <v>46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 t="s">
        <v>43</v>
      </c>
      <c r="L41" s="6" t="s">
        <v>115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 t="s">
        <v>40</v>
      </c>
      <c r="L42" s="6" t="s">
        <v>129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 t="s">
        <v>37</v>
      </c>
      <c r="L43" s="6" t="s">
        <v>131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 t="s">
        <v>34</v>
      </c>
      <c r="L44" s="6" t="s">
        <v>133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 t="s">
        <v>31</v>
      </c>
      <c r="L45" s="6" t="s">
        <v>135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 t="s">
        <v>28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 t="s">
        <v>25</v>
      </c>
      <c r="L47" s="6" t="s">
        <v>138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 t="s">
        <v>21</v>
      </c>
      <c r="L48" s="6" t="s">
        <v>140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 t="s">
        <v>17</v>
      </c>
      <c r="L49" s="6" t="s">
        <v>142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117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 t="s">
        <v>17</v>
      </c>
      <c r="L52" s="6" t="s">
        <v>149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 t="s">
        <v>69</v>
      </c>
      <c r="L53" s="6" t="s">
        <v>152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 t="s">
        <v>17</v>
      </c>
      <c r="L55" s="6" t="s">
        <v>156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160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 t="s">
        <v>162</v>
      </c>
      <c r="L58" s="6" t="s">
        <v>163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6" t="s">
        <v>165</v>
      </c>
      <c r="M59" s="6" t="s">
        <v>166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 t="s">
        <v>168</v>
      </c>
      <c r="L60" s="6" t="s">
        <v>169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 t="s">
        <v>171</v>
      </c>
      <c r="L61" s="6" t="s">
        <v>172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 t="s">
        <v>175</v>
      </c>
      <c r="L62" s="6" t="s">
        <v>176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 t="s">
        <v>178</v>
      </c>
      <c r="L63" s="6" t="s">
        <v>179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 t="s">
        <v>182</v>
      </c>
      <c r="K64" s="6" t="s">
        <v>107</v>
      </c>
      <c r="L64" s="6" t="s">
        <v>183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107</v>
      </c>
      <c r="L65" s="6" t="s">
        <v>186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188</v>
      </c>
      <c r="E66" s="6" t="s">
        <v>189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190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188</v>
      </c>
      <c r="E67" s="6" t="s">
        <v>189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21</v>
      </c>
      <c r="L67" s="6" t="s">
        <v>192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188</v>
      </c>
      <c r="E68" s="7" t="s">
        <v>189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25</v>
      </c>
      <c r="L68" s="7" t="s">
        <v>194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188</v>
      </c>
      <c r="E69" s="9" t="s">
        <v>189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28</v>
      </c>
      <c r="L69" s="9" t="s">
        <v>195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31</v>
      </c>
      <c r="L70" s="7" t="s">
        <v>196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34</v>
      </c>
      <c r="L71" s="7" t="s">
        <v>198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37</v>
      </c>
      <c r="L72" s="7" t="s">
        <v>200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40</v>
      </c>
      <c r="L73" s="9" t="s">
        <v>203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43</v>
      </c>
      <c r="L74" s="12" t="s">
        <v>89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204</v>
      </c>
      <c r="E75" s="6" t="s">
        <v>205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46</v>
      </c>
      <c r="L75" s="6" t="s">
        <v>206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204</v>
      </c>
      <c r="E76" s="6" t="s">
        <v>205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50</v>
      </c>
      <c r="L76" s="6" t="s">
        <v>207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208</v>
      </c>
      <c r="B77" s="6" t="str">
        <f>IF(A77="","",VLOOKUP(A77,DB!A:B,2,0))</f>
        <v>BM OF to SDI</v>
      </c>
      <c r="C77" s="5"/>
      <c r="D77" s="5"/>
      <c r="E77" s="6" t="s">
        <v>205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53</v>
      </c>
      <c r="L77" s="6" t="s">
        <v>209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204</v>
      </c>
      <c r="E78" s="6" t="s">
        <v>205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56</v>
      </c>
      <c r="L78" s="6" t="s">
        <v>210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204</v>
      </c>
      <c r="E79" s="6" t="s">
        <v>205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59</v>
      </c>
      <c r="L79" s="6" t="s">
        <v>211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62</v>
      </c>
      <c r="L80" s="6" t="s">
        <v>89</v>
      </c>
      <c r="M80" s="5"/>
      <c r="N80" s="6" t="s">
        <v>212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204</v>
      </c>
      <c r="E81" s="6" t="s">
        <v>205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65</v>
      </c>
      <c r="L81" s="6" t="s">
        <v>213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214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215</v>
      </c>
      <c r="L82" s="6" t="s">
        <v>216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217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218</v>
      </c>
      <c r="L83" s="6" t="s">
        <v>219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220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221</v>
      </c>
      <c r="L84" s="6" t="s">
        <v>222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223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224</v>
      </c>
      <c r="L85" s="6" t="s">
        <v>225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226</v>
      </c>
      <c r="B86" s="6" t="str">
        <f>IF(A86="","",VLOOKUP(A86,DB!A:B,2,0))</f>
        <v>CRD1000D</v>
      </c>
      <c r="C86" s="5"/>
      <c r="D86" s="5"/>
      <c r="E86" s="6" t="s">
        <v>227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228</v>
      </c>
      <c r="L86" s="6" t="s">
        <v>229</v>
      </c>
      <c r="M86" s="5"/>
      <c r="N86" s="6" t="s">
        <v>230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231</v>
      </c>
      <c r="L87" s="6" t="s">
        <v>232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233</v>
      </c>
      <c r="B88" s="6" t="str">
        <f>IF(A88="","",VLOOKUP(A88,DB!A:B,2,0))</f>
        <v>Videocasetera</v>
      </c>
      <c r="C88" s="5"/>
      <c r="D88" s="5"/>
      <c r="E88" s="6" t="s">
        <v>234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235</v>
      </c>
      <c r="L88" s="6" t="s">
        <v>236</v>
      </c>
      <c r="M88" s="5"/>
      <c r="N88" s="6" t="s">
        <v>237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238</v>
      </c>
      <c r="L89" s="6" t="s">
        <v>89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182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239</v>
      </c>
      <c r="L90" s="6" t="s">
        <v>182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240</v>
      </c>
      <c r="E91" s="6" t="s">
        <v>15</v>
      </c>
      <c r="F91" s="6" t="s">
        <v>241</v>
      </c>
      <c r="G91" s="6" t="s">
        <v>242</v>
      </c>
      <c r="H91" s="6" t="s">
        <v>14</v>
      </c>
      <c r="I91" s="5" t="str">
        <f>IF(H91="","",VLOOKUP(H91,DB!A:B,2,0))</f>
        <v>AJA KUMO 6464</v>
      </c>
      <c r="J91" s="5"/>
      <c r="K91" s="6" t="s">
        <v>243</v>
      </c>
      <c r="L91" s="6" t="s">
        <v>244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240</v>
      </c>
      <c r="E92" s="6" t="s">
        <v>15</v>
      </c>
      <c r="F92" s="6" t="s">
        <v>241</v>
      </c>
      <c r="G92" s="6" t="s">
        <v>242</v>
      </c>
      <c r="H92" s="6" t="s">
        <v>14</v>
      </c>
      <c r="I92" s="5" t="str">
        <f>IF(H92="","",VLOOKUP(H92,DB!A:B,2,0))</f>
        <v>AJA KUMO 6464</v>
      </c>
      <c r="J92" s="5"/>
      <c r="K92" s="6" t="s">
        <v>245</v>
      </c>
      <c r="L92" s="6" t="s">
        <v>246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240</v>
      </c>
      <c r="E93" s="6" t="s">
        <v>15</v>
      </c>
      <c r="F93" s="6" t="s">
        <v>241</v>
      </c>
      <c r="G93" s="6" t="s">
        <v>242</v>
      </c>
      <c r="H93" s="6" t="s">
        <v>14</v>
      </c>
      <c r="I93" s="5" t="str">
        <f>IF(H93="","",VLOOKUP(H93,DB!A:B,2,0))</f>
        <v>AJA KUMO 6464</v>
      </c>
      <c r="J93" s="5"/>
      <c r="K93" s="6" t="s">
        <v>247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188</v>
      </c>
      <c r="E94" s="6" t="s">
        <v>248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249</v>
      </c>
      <c r="L94" s="6" t="s">
        <v>250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251</v>
      </c>
      <c r="B95" s="6" t="str">
        <f>IF(A95="","",VLOOKUP(A95,DB!A:B,2,0))</f>
        <v>Blackmagic Multiview 4</v>
      </c>
      <c r="C95" s="5"/>
      <c r="D95" s="5"/>
      <c r="E95" s="6" t="s">
        <v>205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252</v>
      </c>
      <c r="L95" s="6" t="s">
        <v>253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205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254</v>
      </c>
      <c r="L96" s="6" t="s">
        <v>255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256</v>
      </c>
      <c r="L97" s="6" t="s">
        <v>89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257</v>
      </c>
      <c r="B98" s="6" t="str">
        <f>IF(A98="","",VLOOKUP(A98,DB!A:B,2,0))</f>
        <v>Apple TV</v>
      </c>
      <c r="C98" s="5"/>
      <c r="D98" s="5"/>
      <c r="E98" s="6" t="s">
        <v>258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259</v>
      </c>
      <c r="L98" s="6" t="s">
        <v>260</v>
      </c>
      <c r="M98" s="5"/>
      <c r="N98" s="6" t="s">
        <v>261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262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241</v>
      </c>
      <c r="G99" s="6" t="s">
        <v>62</v>
      </c>
      <c r="H99" s="6" t="s">
        <v>14</v>
      </c>
      <c r="I99" s="5" t="str">
        <f>IF(H99="","",VLOOKUP(H99,DB!A:B,2,0))</f>
        <v>AJA KUMO 6464</v>
      </c>
      <c r="J99" s="5"/>
      <c r="K99" s="6" t="s">
        <v>263</v>
      </c>
      <c r="L99" s="6" t="s">
        <v>264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262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241</v>
      </c>
      <c r="G100" s="6" t="s">
        <v>59</v>
      </c>
      <c r="H100" s="6" t="s">
        <v>14</v>
      </c>
      <c r="I100" s="5" t="str">
        <f>IF(H100="","",VLOOKUP(H100,DB!A:B,2,0))</f>
        <v>AJA KUMO 6464</v>
      </c>
      <c r="J100" s="5"/>
      <c r="K100" s="6" t="s">
        <v>265</v>
      </c>
      <c r="L100" s="6" t="s">
        <v>266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262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241</v>
      </c>
      <c r="G101" s="6" t="s">
        <v>56</v>
      </c>
      <c r="H101" s="6" t="s">
        <v>14</v>
      </c>
      <c r="I101" s="5" t="str">
        <f>IF(H101="","",VLOOKUP(H101,DB!A:B,2,0))</f>
        <v>AJA KUMO 6464</v>
      </c>
      <c r="J101" s="5"/>
      <c r="K101" s="6" t="s">
        <v>267</v>
      </c>
      <c r="L101" s="6" t="s">
        <v>268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262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241</v>
      </c>
      <c r="G102" s="6" t="s">
        <v>53</v>
      </c>
      <c r="H102" s="6" t="s">
        <v>14</v>
      </c>
      <c r="I102" s="5" t="str">
        <f>IF(H102="","",VLOOKUP(H102,DB!A:B,2,0))</f>
        <v>AJA KUMO 6464</v>
      </c>
      <c r="J102" s="5"/>
      <c r="K102" s="6" t="s">
        <v>269</v>
      </c>
      <c r="L102" s="6" t="s">
        <v>270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262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241</v>
      </c>
      <c r="G103" s="6" t="s">
        <v>50</v>
      </c>
      <c r="H103" s="6" t="s">
        <v>14</v>
      </c>
      <c r="I103" s="5" t="str">
        <f>IF(H103="","",VLOOKUP(H103,DB!A:B,2,0))</f>
        <v>AJA KUMO 6464</v>
      </c>
      <c r="J103" s="5"/>
      <c r="K103" s="6" t="s">
        <v>271</v>
      </c>
      <c r="L103" s="6" t="s">
        <v>272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262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241</v>
      </c>
      <c r="G104" s="6" t="s">
        <v>46</v>
      </c>
      <c r="H104" s="6" t="s">
        <v>14</v>
      </c>
      <c r="I104" s="5" t="str">
        <f>IF(H104="","",VLOOKUP(H104,DB!A:B,2,0))</f>
        <v>AJA KUMO 6464</v>
      </c>
      <c r="J104" s="5"/>
      <c r="K104" s="6" t="s">
        <v>273</v>
      </c>
      <c r="L104" s="6" t="s">
        <v>274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262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241</v>
      </c>
      <c r="G105" s="6" t="s">
        <v>43</v>
      </c>
      <c r="H105" s="6" t="s">
        <v>14</v>
      </c>
      <c r="I105" s="5" t="str">
        <f>IF(H105="","",VLOOKUP(H105,DB!A:B,2,0))</f>
        <v>AJA KUMO 6464</v>
      </c>
      <c r="J105" s="5"/>
      <c r="K105" s="6" t="s">
        <v>275</v>
      </c>
      <c r="L105" s="6" t="s">
        <v>276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277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278</v>
      </c>
      <c r="L106" s="6" t="s">
        <v>279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280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281</v>
      </c>
      <c r="L107" s="6" t="s">
        <v>282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283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284</v>
      </c>
      <c r="L108" s="6" t="s">
        <v>285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286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287</v>
      </c>
      <c r="L109" s="6" t="s">
        <v>288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289</v>
      </c>
      <c r="L110" s="6" t="s">
        <v>89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290</v>
      </c>
      <c r="L111" s="6" t="s">
        <v>89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291</v>
      </c>
      <c r="L112" s="6" t="s">
        <v>89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292</v>
      </c>
      <c r="L113" s="6" t="s">
        <v>89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182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293</v>
      </c>
      <c r="L114" s="6" t="s">
        <v>294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295</v>
      </c>
      <c r="L115" s="6" t="s">
        <v>89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296</v>
      </c>
      <c r="L116" s="6" t="s">
        <v>89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297</v>
      </c>
      <c r="L117" s="6" t="s">
        <v>89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188</v>
      </c>
      <c r="E118" s="6" t="s">
        <v>189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298</v>
      </c>
      <c r="L118" s="6" t="s">
        <v>299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182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300</v>
      </c>
      <c r="L119" s="6" t="s">
        <v>301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188</v>
      </c>
      <c r="E120" s="6" t="s">
        <v>302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303</v>
      </c>
      <c r="L120" s="6" t="s">
        <v>304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305</v>
      </c>
      <c r="L121" s="6" t="s">
        <v>89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199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306</v>
      </c>
      <c r="L122" s="6" t="s">
        <v>163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182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307</v>
      </c>
      <c r="L123" s="6" t="s">
        <v>165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308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309</v>
      </c>
      <c r="L124" s="6" t="s">
        <v>310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311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312</v>
      </c>
      <c r="L125" s="6" t="s">
        <v>313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314</v>
      </c>
      <c r="L126" s="6" t="s">
        <v>89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315</v>
      </c>
      <c r="E127" s="6" t="s">
        <v>316</v>
      </c>
      <c r="F127" s="6" t="s">
        <v>241</v>
      </c>
      <c r="G127" s="6" t="s">
        <v>317</v>
      </c>
      <c r="H127" s="6" t="s">
        <v>14</v>
      </c>
      <c r="I127" s="5" t="str">
        <f>IF(H127="","",VLOOKUP(H127,DB!A:B,2,0))</f>
        <v>AJA KUMO 6464</v>
      </c>
      <c r="J127" s="5"/>
      <c r="K127" s="6" t="s">
        <v>318</v>
      </c>
      <c r="L127" s="6" t="s">
        <v>319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205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320</v>
      </c>
      <c r="L128" s="6" t="s">
        <v>321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322</v>
      </c>
      <c r="L129" s="6" t="s">
        <v>323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188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 t="s">
        <v>31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188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 t="s">
        <v>34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89</v>
      </c>
      <c r="I132" s="5" t="str">
        <f>IF(H132="","",VLOOKUP(H132,DB!A:B,2,0))</f>
        <v/>
      </c>
      <c r="J132" s="6"/>
      <c r="K132" s="6"/>
      <c r="L132" s="6" t="s">
        <v>190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89</v>
      </c>
      <c r="I133" s="5" t="str">
        <f>IF(H133="","",VLOOKUP(H133,DB!A:B,2,0))</f>
        <v/>
      </c>
      <c r="J133" s="6"/>
      <c r="K133" s="6"/>
      <c r="L133" s="6" t="s">
        <v>324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89</v>
      </c>
      <c r="I134" s="5" t="str">
        <f>IF(H134="","",VLOOKUP(H134,DB!A:B,2,0))</f>
        <v/>
      </c>
      <c r="J134" s="6"/>
      <c r="K134" s="6"/>
      <c r="L134" s="6" t="s">
        <v>325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89</v>
      </c>
      <c r="I135" s="5" t="str">
        <f>IF(H135="","",VLOOKUP(H135,DB!A:B,2,0))</f>
        <v/>
      </c>
      <c r="J135" s="6"/>
      <c r="K135" s="6"/>
      <c r="L135" s="6" t="s">
        <v>326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241</v>
      </c>
      <c r="G136" s="6" t="s">
        <v>56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107</v>
      </c>
      <c r="L136" s="6" t="s">
        <v>327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241</v>
      </c>
      <c r="G137" s="6" t="s">
        <v>59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107</v>
      </c>
      <c r="L137" s="6" t="s">
        <v>328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241</v>
      </c>
      <c r="G138" s="6" t="s">
        <v>62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107</v>
      </c>
      <c r="L138" s="6" t="s">
        <v>329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241</v>
      </c>
      <c r="G139" s="6" t="s">
        <v>65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107</v>
      </c>
      <c r="L139" s="6" t="s">
        <v>330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5"/>
      <c r="G140" s="5"/>
      <c r="H140" s="6" t="s">
        <v>89</v>
      </c>
      <c r="I140" s="5" t="str">
        <f>IF(H140="","",VLOOKUP(H140,DB!A:B,2,0))</f>
        <v/>
      </c>
      <c r="J140" s="6"/>
      <c r="K140" s="6"/>
      <c r="L140" s="6" t="s">
        <v>331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89</v>
      </c>
      <c r="I141" s="5" t="str">
        <f>IF(H141="","",VLOOKUP(H141,DB!A:B,2,0))</f>
        <v/>
      </c>
      <c r="J141" s="6"/>
      <c r="K141" s="6"/>
      <c r="L141" s="6" t="s">
        <v>332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89</v>
      </c>
      <c r="I142" s="5" t="str">
        <f>IF(H142="","",VLOOKUP(H142,DB!A:B,2,0))</f>
        <v/>
      </c>
      <c r="J142" s="6"/>
      <c r="K142" s="6"/>
      <c r="L142" s="6" t="s">
        <v>333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89</v>
      </c>
      <c r="I143" s="5" t="str">
        <f>IF(H143="","",VLOOKUP(H143,DB!A:B,2,0))</f>
        <v/>
      </c>
      <c r="J143" s="6"/>
      <c r="K143" s="6"/>
      <c r="L143" s="6" t="s">
        <v>334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89</v>
      </c>
      <c r="I144" s="5" t="str">
        <f>IF(H144="","",VLOOKUP(H144,DB!A:B,2,0))</f>
        <v/>
      </c>
      <c r="J144" s="6"/>
      <c r="K144" s="6"/>
      <c r="L144" s="6" t="s">
        <v>213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89</v>
      </c>
      <c r="I145" s="5" t="str">
        <f>IF(H145="","",VLOOKUP(H145,DB!A:B,2,0))</f>
        <v/>
      </c>
      <c r="J145" s="6"/>
      <c r="K145" s="6"/>
      <c r="L145" s="6" t="s">
        <v>335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89</v>
      </c>
      <c r="I146" s="5" t="str">
        <f>IF(H146="","",VLOOKUP(H146,DB!A:B,2,0))</f>
        <v/>
      </c>
      <c r="J146" s="6"/>
      <c r="K146" s="6"/>
      <c r="L146" s="6" t="s">
        <v>336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89</v>
      </c>
      <c r="I147" s="5" t="str">
        <f>IF(H147="","",VLOOKUP(H147,DB!A:B,2,0))</f>
        <v/>
      </c>
      <c r="J147" s="6"/>
      <c r="K147" s="6"/>
      <c r="L147" s="6" t="s">
        <v>337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241</v>
      </c>
      <c r="G148" s="6" t="s">
        <v>17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6" t="s">
        <v>338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241</v>
      </c>
      <c r="G149" s="6" t="s">
        <v>21</v>
      </c>
      <c r="H149" s="6" t="s">
        <v>49</v>
      </c>
      <c r="I149" s="5" t="str">
        <f>IF(H149="","",VLOOKUP(H149,DB!A:B,2,0))</f>
        <v>Blackmagic Multiview 16</v>
      </c>
      <c r="J149" s="5"/>
      <c r="K149" s="6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241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 t="s">
        <v>25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241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 t="s">
        <v>28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241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 t="s">
        <v>31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241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 t="s">
        <v>34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241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 t="s">
        <v>37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241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 t="s">
        <v>40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241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 t="s">
        <v>43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241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 t="s">
        <v>46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262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241</v>
      </c>
      <c r="G159" s="6" t="s">
        <v>17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262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241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262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241</v>
      </c>
      <c r="G161" s="6" t="s">
        <v>25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262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241</v>
      </c>
      <c r="G162" s="6" t="s">
        <v>28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262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241</v>
      </c>
      <c r="G163" s="6" t="s">
        <v>31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262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241</v>
      </c>
      <c r="G164" s="6" t="s">
        <v>34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262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241</v>
      </c>
      <c r="G165" s="6" t="s">
        <v>37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262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241</v>
      </c>
      <c r="G166" s="6" t="s">
        <v>40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262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241</v>
      </c>
      <c r="G167" s="6" t="s">
        <v>65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241</v>
      </c>
      <c r="G168" s="6" t="s">
        <v>17</v>
      </c>
      <c r="H168" s="6" t="s">
        <v>339</v>
      </c>
      <c r="I168" s="5" t="str">
        <f>IF(H168="","",VLOOKUP(H168,DB!A:B,2,0))</f>
        <v>Monitor Pvw TX</v>
      </c>
      <c r="J168" s="5"/>
      <c r="K168" s="6" t="s">
        <v>242</v>
      </c>
      <c r="L168" s="5"/>
      <c r="M168" s="6" t="s">
        <v>340</v>
      </c>
      <c r="N168" s="6" t="s">
        <v>341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241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140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241</v>
      </c>
      <c r="G170" s="6" t="s">
        <v>25</v>
      </c>
      <c r="H170" s="6" t="s">
        <v>342</v>
      </c>
      <c r="I170" s="5" t="str">
        <f>IF(H170="","",VLOOKUP(H170,DB!A:B,2,0))</f>
        <v>Monitor Linea TX</v>
      </c>
      <c r="J170" s="5"/>
      <c r="K170" s="6" t="s">
        <v>242</v>
      </c>
      <c r="L170" s="5"/>
      <c r="M170" s="6" t="s">
        <v>343</v>
      </c>
      <c r="N170" s="6" t="s">
        <v>341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241</v>
      </c>
      <c r="G171" s="6" t="s">
        <v>28</v>
      </c>
      <c r="H171" s="6" t="s">
        <v>344</v>
      </c>
      <c r="I171" s="5" t="str">
        <f>IF(H171="","",VLOOKUP(H171,DB!A:B,2,0))</f>
        <v>Monitor MV TX</v>
      </c>
      <c r="J171" s="5"/>
      <c r="K171" s="6" t="s">
        <v>242</v>
      </c>
      <c r="L171" s="5"/>
      <c r="M171" s="6" t="s">
        <v>345</v>
      </c>
      <c r="N171" s="6" t="s">
        <v>341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241</v>
      </c>
      <c r="G172" s="6" t="s">
        <v>31</v>
      </c>
      <c r="H172" s="6" t="s">
        <v>346</v>
      </c>
      <c r="I172" s="5" t="str">
        <f>IF(H172="","",VLOOKUP(H172,DB!A:B,2,0))</f>
        <v>Monitor Sonidista</v>
      </c>
      <c r="J172" s="5"/>
      <c r="K172" s="6" t="s">
        <v>242</v>
      </c>
      <c r="L172" s="5"/>
      <c r="M172" s="5"/>
      <c r="N172" s="6" t="s">
        <v>341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241</v>
      </c>
      <c r="G173" s="6" t="s">
        <v>34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241</v>
      </c>
      <c r="G174" s="6" t="s">
        <v>37</v>
      </c>
      <c r="H174" s="6" t="s">
        <v>89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241</v>
      </c>
      <c r="G175" s="6" t="s">
        <v>40</v>
      </c>
      <c r="H175" s="6" t="s">
        <v>89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241</v>
      </c>
      <c r="G176" s="6" t="s">
        <v>43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241</v>
      </c>
      <c r="G177" s="6" t="s">
        <v>46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241</v>
      </c>
      <c r="G178" s="6" t="s">
        <v>50</v>
      </c>
      <c r="H178" s="6" t="s">
        <v>347</v>
      </c>
      <c r="I178" s="5" t="str">
        <f>IF(H178="","",VLOOKUP(H178,DB!A:B,2,0))</f>
        <v>VIDEObit 3G-LINK-TD</v>
      </c>
      <c r="J178" s="5"/>
      <c r="K178" s="6" t="s">
        <v>162</v>
      </c>
      <c r="L178" s="5"/>
      <c r="M178" s="5"/>
      <c r="N178" s="6" t="s">
        <v>125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241</v>
      </c>
      <c r="G179" s="6" t="s">
        <v>53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241</v>
      </c>
      <c r="G180" s="6" t="s">
        <v>56</v>
      </c>
      <c r="H180" s="6" t="s">
        <v>348</v>
      </c>
      <c r="I180" s="5" t="str">
        <f>IF(H180="","",VLOOKUP(H180,DB!A:B,2,0))</f>
        <v>Monitor Titulos</v>
      </c>
      <c r="J180" s="5"/>
      <c r="K180" s="6" t="s">
        <v>242</v>
      </c>
      <c r="L180" s="5"/>
      <c r="M180" s="5"/>
      <c r="N180" s="6" t="s">
        <v>341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241</v>
      </c>
      <c r="G181" s="6" t="s">
        <v>59</v>
      </c>
      <c r="H181" s="6" t="s">
        <v>349</v>
      </c>
      <c r="I181" s="5" t="str">
        <f>IF(H181="","",VLOOKUP(H181,DB!A:B,2,0))</f>
        <v>Monitor Iluminador</v>
      </c>
      <c r="J181" s="5"/>
      <c r="K181" s="6" t="s">
        <v>242</v>
      </c>
      <c r="L181" s="5"/>
      <c r="M181" s="5"/>
      <c r="N181" s="6" t="s">
        <v>341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241</v>
      </c>
      <c r="G182" s="6" t="s">
        <v>62</v>
      </c>
      <c r="H182" s="6" t="s">
        <v>350</v>
      </c>
      <c r="I182" s="5" t="str">
        <f>IF(H182="","",VLOOKUP(H182,DB!A:B,2,0))</f>
        <v>Monitor Piso</v>
      </c>
      <c r="J182" s="5"/>
      <c r="K182" s="6" t="s">
        <v>242</v>
      </c>
      <c r="L182" s="5"/>
      <c r="M182" s="5"/>
      <c r="N182" s="6" t="s">
        <v>341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241</v>
      </c>
      <c r="G183" s="6" t="s">
        <v>65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241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223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107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351</v>
      </c>
      <c r="E186" s="6" t="s">
        <v>205</v>
      </c>
      <c r="F186" s="6" t="s">
        <v>241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 t="s">
        <v>37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351</v>
      </c>
      <c r="E187" s="6" t="s">
        <v>352</v>
      </c>
      <c r="F187" s="6" t="s">
        <v>241</v>
      </c>
      <c r="G187" s="6" t="s">
        <v>107</v>
      </c>
      <c r="H187" s="6" t="s">
        <v>353</v>
      </c>
      <c r="I187" s="5" t="str">
        <f>IF(H187="","",VLOOKUP(H187,DB!A:B,2,0))</f>
        <v>Yamaha QL5</v>
      </c>
      <c r="J187" s="5"/>
      <c r="K187" s="6" t="s">
        <v>53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351</v>
      </c>
      <c r="E188" s="6" t="s">
        <v>354</v>
      </c>
      <c r="F188" s="6" t="s">
        <v>241</v>
      </c>
      <c r="G188" s="6" t="s">
        <v>107</v>
      </c>
      <c r="H188" s="6" t="s">
        <v>353</v>
      </c>
      <c r="I188" s="5" t="str">
        <f>IF(H188="","",VLOOKUP(H188,DB!A:B,2,0))</f>
        <v>Yamaha QL5</v>
      </c>
      <c r="J188" s="5"/>
      <c r="K188" s="6" t="s">
        <v>56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351</v>
      </c>
      <c r="E189" s="6" t="s">
        <v>205</v>
      </c>
      <c r="F189" s="6" t="s">
        <v>241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 t="s">
        <v>40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351</v>
      </c>
      <c r="E190" s="6" t="s">
        <v>352</v>
      </c>
      <c r="F190" s="6" t="s">
        <v>241</v>
      </c>
      <c r="G190" s="6" t="s">
        <v>107</v>
      </c>
      <c r="H190" s="6" t="s">
        <v>353</v>
      </c>
      <c r="I190" s="5" t="str">
        <f>IF(H190="","",VLOOKUP(H190,DB!A:B,2,0))</f>
        <v>Yamaha QL5</v>
      </c>
      <c r="J190" s="5"/>
      <c r="K190" s="6" t="s">
        <v>59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351</v>
      </c>
      <c r="E191" s="6" t="s">
        <v>354</v>
      </c>
      <c r="F191" s="6" t="s">
        <v>241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 t="s">
        <v>89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351</v>
      </c>
      <c r="E192" s="6" t="s">
        <v>205</v>
      </c>
      <c r="F192" s="6" t="s">
        <v>241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 t="s">
        <v>43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351</v>
      </c>
      <c r="E193" s="6" t="s">
        <v>352</v>
      </c>
      <c r="F193" s="6" t="s">
        <v>241</v>
      </c>
      <c r="G193" s="6" t="s">
        <v>107</v>
      </c>
      <c r="H193" s="6" t="s">
        <v>353</v>
      </c>
      <c r="I193" s="5" t="str">
        <f>IF(H193="","",VLOOKUP(H193,DB!A:B,2,0))</f>
        <v>Yamaha QL5</v>
      </c>
      <c r="J193" s="5"/>
      <c r="K193" s="6" t="s">
        <v>62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351</v>
      </c>
      <c r="E194" s="6" t="s">
        <v>354</v>
      </c>
      <c r="F194" s="6" t="s">
        <v>241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 t="s">
        <v>89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351</v>
      </c>
      <c r="E195" s="6" t="s">
        <v>205</v>
      </c>
      <c r="F195" s="6" t="s">
        <v>241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 t="s">
        <v>46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351</v>
      </c>
      <c r="E196" s="6" t="s">
        <v>352</v>
      </c>
      <c r="F196" s="6" t="s">
        <v>241</v>
      </c>
      <c r="G196" s="6" t="s">
        <v>107</v>
      </c>
      <c r="H196" s="6" t="s">
        <v>353</v>
      </c>
      <c r="I196" s="5" t="str">
        <f>IF(H196="","",VLOOKUP(H196,DB!A:B,2,0))</f>
        <v>Yamaha QL5</v>
      </c>
      <c r="J196" s="5"/>
      <c r="K196" s="6" t="s">
        <v>65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351</v>
      </c>
      <c r="E197" s="6" t="s">
        <v>354</v>
      </c>
      <c r="F197" s="6" t="s">
        <v>241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 t="s">
        <v>89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355</v>
      </c>
      <c r="E198" s="6" t="s">
        <v>205</v>
      </c>
      <c r="F198" s="6" t="s">
        <v>241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 t="s">
        <v>89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351</v>
      </c>
      <c r="E199" s="6" t="s">
        <v>352</v>
      </c>
      <c r="F199" s="6" t="s">
        <v>241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 t="s">
        <v>89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351</v>
      </c>
      <c r="E200" s="6" t="s">
        <v>354</v>
      </c>
      <c r="F200" s="6" t="s">
        <v>241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 t="s">
        <v>89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356</v>
      </c>
      <c r="E201" s="6" t="s">
        <v>357</v>
      </c>
      <c r="F201" s="6" t="s">
        <v>241</v>
      </c>
      <c r="G201" s="6" t="s">
        <v>358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6" t="s">
        <v>359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356</v>
      </c>
      <c r="E202" s="6" t="s">
        <v>360</v>
      </c>
      <c r="F202" s="6" t="s">
        <v>241</v>
      </c>
      <c r="G202" s="6" t="s">
        <v>358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6" t="s">
        <v>359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361</v>
      </c>
      <c r="B203" s="6" t="str">
        <f>IF(A203="","",VLOOKUP(A203,DB!A:B,2,0))</f>
        <v>Cisco D9865</v>
      </c>
      <c r="C203" s="5"/>
      <c r="D203" s="5"/>
      <c r="E203" s="6" t="s">
        <v>362</v>
      </c>
      <c r="F203" s="5"/>
      <c r="G203" s="5"/>
      <c r="H203" s="6" t="s">
        <v>223</v>
      </c>
      <c r="I203" s="5" t="str">
        <f>IF(H203="","",VLOOKUP(H203,DB!A:B,2,0))</f>
        <v>AJA FS2</v>
      </c>
      <c r="J203" s="5"/>
      <c r="K203" s="6" t="s">
        <v>363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185</v>
      </c>
      <c r="B204" s="6" t="str">
        <f>IF(A204="","",VLOOKUP(A204,DB!A:B,2,0))</f>
        <v>openGear X</v>
      </c>
      <c r="C204" s="6">
        <v>1.0</v>
      </c>
      <c r="D204" s="6" t="s">
        <v>364</v>
      </c>
      <c r="E204" s="6" t="s">
        <v>205</v>
      </c>
      <c r="F204" s="5"/>
      <c r="G204" s="6"/>
      <c r="H204" s="6" t="s">
        <v>182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185</v>
      </c>
      <c r="B205" s="6" t="str">
        <f>IF(A205="","",VLOOKUP(A205,DB!A:B,2,0))</f>
        <v>openGear X</v>
      </c>
      <c r="C205" s="6">
        <v>1.0</v>
      </c>
      <c r="D205" s="6" t="s">
        <v>364</v>
      </c>
      <c r="E205" s="6" t="s">
        <v>365</v>
      </c>
      <c r="F205" s="5"/>
      <c r="G205" s="6"/>
      <c r="H205" s="6" t="s">
        <v>182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185</v>
      </c>
      <c r="B206" s="6" t="str">
        <f>IF(A206="","",VLOOKUP(A206,DB!A:B,2,0))</f>
        <v>openGear X</v>
      </c>
      <c r="C206" s="6">
        <v>1.0</v>
      </c>
      <c r="D206" s="6" t="s">
        <v>364</v>
      </c>
      <c r="E206" s="6" t="s">
        <v>366</v>
      </c>
      <c r="F206" s="5"/>
      <c r="G206" s="6"/>
      <c r="H206" s="6" t="s">
        <v>182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185</v>
      </c>
      <c r="B207" s="6" t="str">
        <f>IF(A207="","",VLOOKUP(A207,DB!A:B,2,0))</f>
        <v>openGear X</v>
      </c>
      <c r="C207" s="6">
        <v>2.0</v>
      </c>
      <c r="D207" s="6" t="s">
        <v>364</v>
      </c>
      <c r="E207" s="6" t="s">
        <v>205</v>
      </c>
      <c r="F207" s="5"/>
      <c r="G207" s="6"/>
      <c r="H207" s="6" t="s">
        <v>182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185</v>
      </c>
      <c r="B208" s="6" t="str">
        <f>IF(A208="","",VLOOKUP(A208,DB!A:B,2,0))</f>
        <v>openGear X</v>
      </c>
      <c r="C208" s="6">
        <v>2.0</v>
      </c>
      <c r="D208" s="6" t="s">
        <v>364</v>
      </c>
      <c r="E208" s="6" t="s">
        <v>365</v>
      </c>
      <c r="F208" s="5"/>
      <c r="G208" s="6"/>
      <c r="H208" s="6" t="s">
        <v>182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185</v>
      </c>
      <c r="B209" s="6" t="str">
        <f>IF(A209="","",VLOOKUP(A209,DB!A:B,2,0))</f>
        <v>openGear X</v>
      </c>
      <c r="C209" s="6">
        <v>2.0</v>
      </c>
      <c r="D209" s="6" t="s">
        <v>364</v>
      </c>
      <c r="E209" s="6" t="s">
        <v>366</v>
      </c>
      <c r="F209" s="5"/>
      <c r="G209" s="6"/>
      <c r="H209" s="6" t="s">
        <v>182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185</v>
      </c>
      <c r="B210" s="6" t="str">
        <f>IF(A210="","",VLOOKUP(A210,DB!A:B,2,0))</f>
        <v>openGear X</v>
      </c>
      <c r="C210" s="6">
        <v>3.0</v>
      </c>
      <c r="D210" s="6" t="s">
        <v>364</v>
      </c>
      <c r="E210" s="6" t="s">
        <v>365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185</v>
      </c>
      <c r="B211" s="6" t="str">
        <f>IF(A211="","",VLOOKUP(A211,DB!A:B,2,0))</f>
        <v>openGear X</v>
      </c>
      <c r="C211" s="6">
        <v>5.0</v>
      </c>
      <c r="D211" s="6" t="s">
        <v>355</v>
      </c>
      <c r="E211" s="6" t="s">
        <v>205</v>
      </c>
      <c r="F211" s="6" t="s">
        <v>241</v>
      </c>
      <c r="G211" s="6" t="s">
        <v>107</v>
      </c>
      <c r="H211" s="6" t="s">
        <v>223</v>
      </c>
      <c r="I211" s="5" t="str">
        <f>IF(H211="","",VLOOKUP(H211,DB!A:B,2,0))</f>
        <v>AJA FS2</v>
      </c>
      <c r="J211" s="5"/>
      <c r="K211" s="6" t="s">
        <v>162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185</v>
      </c>
      <c r="B212" s="6" t="str">
        <f>IF(A212="","",VLOOKUP(A212,DB!A:B,2,0))</f>
        <v>openGear X</v>
      </c>
      <c r="C212" s="6">
        <v>5.0</v>
      </c>
      <c r="D212" s="6" t="s">
        <v>364</v>
      </c>
      <c r="E212" s="6" t="s">
        <v>366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315</v>
      </c>
      <c r="E213" s="6" t="s">
        <v>367</v>
      </c>
      <c r="F213" s="6" t="s">
        <v>241</v>
      </c>
      <c r="G213" s="6" t="s">
        <v>317</v>
      </c>
      <c r="H213" s="6" t="s">
        <v>368</v>
      </c>
      <c r="I213" s="5" t="str">
        <f>IF(H213="","",VLOOKUP(H213,DB!A:B,2,0))</f>
        <v>VIDEOTRON</v>
      </c>
      <c r="J213" s="5"/>
      <c r="K213" s="6" t="s">
        <v>162</v>
      </c>
      <c r="L213" s="5"/>
      <c r="M213" s="6" t="s">
        <v>182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369</v>
      </c>
      <c r="B214" s="6" t="str">
        <f>IF(A214="","",VLOOKUP(A214,DB!A:B,2,0))</f>
        <v>Raspberry PI 1</v>
      </c>
      <c r="C214" s="5"/>
      <c r="D214" s="6"/>
      <c r="E214" s="6" t="s">
        <v>258</v>
      </c>
      <c r="F214" s="5"/>
      <c r="G214" s="5"/>
      <c r="H214" s="6" t="s">
        <v>144</v>
      </c>
      <c r="I214" s="5" t="str">
        <f>IF(H214="","",VLOOKUP(H214,DB!A:B,2,0))</f>
        <v>openGear X</v>
      </c>
      <c r="J214" s="6">
        <v>1.0</v>
      </c>
      <c r="K214" s="6" t="s">
        <v>242</v>
      </c>
      <c r="L214" s="5"/>
      <c r="M214" s="6" t="s">
        <v>370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371</v>
      </c>
      <c r="B215" s="6" t="str">
        <f>IF(A215="","",VLOOKUP(A215,DB!A:B,2,0))</f>
        <v>Raspberry PI 2</v>
      </c>
      <c r="C215" s="5"/>
      <c r="D215" s="6"/>
      <c r="E215" s="6" t="s">
        <v>258</v>
      </c>
      <c r="F215" s="5"/>
      <c r="G215" s="5"/>
      <c r="H215" s="6" t="s">
        <v>144</v>
      </c>
      <c r="I215" s="5" t="str">
        <f>IF(H215="","",VLOOKUP(H215,DB!A:B,2,0))</f>
        <v>openGear X</v>
      </c>
      <c r="J215" s="6">
        <v>2.0</v>
      </c>
      <c r="K215" s="6" t="s">
        <v>242</v>
      </c>
      <c r="L215" s="5"/>
      <c r="M215" s="6" t="s">
        <v>372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373</v>
      </c>
      <c r="B216" s="6" t="str">
        <f>IF(A216="","",VLOOKUP(A216,DB!A:B,2,0))</f>
        <v>Deco Direccion</v>
      </c>
      <c r="C216" s="5"/>
      <c r="D216" s="5"/>
      <c r="E216" s="6" t="s">
        <v>258</v>
      </c>
      <c r="F216" s="5"/>
      <c r="G216" s="5"/>
      <c r="H216" s="6" t="s">
        <v>262</v>
      </c>
      <c r="I216" s="5" t="str">
        <f>IF(H216="","",VLOOKUP(H216,DB!A:B,2,0))</f>
        <v>Patch Panel</v>
      </c>
      <c r="J216" s="5"/>
      <c r="K216" s="6" t="s">
        <v>43</v>
      </c>
      <c r="L216" s="5"/>
      <c r="M216" s="5"/>
      <c r="N216" s="6" t="s">
        <v>261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374</v>
      </c>
      <c r="B217" s="6" t="str">
        <f>IF(A217="","",VLOOKUP(A217,DB!A:B,2,0))</f>
        <v>PC Videollamada</v>
      </c>
      <c r="C217" s="6">
        <v>1.0</v>
      </c>
      <c r="D217" s="6" t="s">
        <v>188</v>
      </c>
      <c r="E217" s="6" t="s">
        <v>375</v>
      </c>
      <c r="F217" s="5"/>
      <c r="G217" s="5"/>
      <c r="H217" s="6" t="s">
        <v>262</v>
      </c>
      <c r="I217" s="5" t="str">
        <f>IF(H217="","",VLOOKUP(H217,DB!A:B,2,0))</f>
        <v>Patch Panel</v>
      </c>
      <c r="J217" s="5"/>
      <c r="K217" s="6" t="s">
        <v>59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277</v>
      </c>
      <c r="B218" s="6" t="str">
        <f>IF(A218="","",VLOOKUP(A218,DB!A:B,2,0))</f>
        <v>Sony HXCU-100 Cam 1</v>
      </c>
      <c r="C218" s="5"/>
      <c r="D218" s="5"/>
      <c r="E218" s="6" t="s">
        <v>202</v>
      </c>
      <c r="F218" s="5"/>
      <c r="G218" s="5"/>
      <c r="H218" s="6" t="s">
        <v>251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277</v>
      </c>
      <c r="B219" s="6" t="str">
        <f>IF(A219="","",VLOOKUP(A219,DB!A:B,2,0))</f>
        <v>Sony HXCU-100 Cam 1</v>
      </c>
      <c r="C219" s="5"/>
      <c r="D219" s="5"/>
      <c r="E219" s="6" t="s">
        <v>308</v>
      </c>
      <c r="F219" s="5"/>
      <c r="G219" s="5"/>
      <c r="H219" s="6" t="s">
        <v>91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280</v>
      </c>
      <c r="B220" s="6" t="str">
        <f>IF(A220="","",VLOOKUP(A220,DB!A:B,2,0))</f>
        <v>Sony HXCU-100 Cam 2</v>
      </c>
      <c r="C220" s="5"/>
      <c r="D220" s="5"/>
      <c r="E220" s="6" t="s">
        <v>202</v>
      </c>
      <c r="F220" s="5"/>
      <c r="G220" s="5"/>
      <c r="H220" s="6" t="s">
        <v>251</v>
      </c>
      <c r="I220" s="5" t="str">
        <f>IF(H220="","",VLOOKUP(H220,DB!A:B,2,0))</f>
        <v>Blackmagic Multiview 4</v>
      </c>
      <c r="J220" s="5"/>
      <c r="K220" s="6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280</v>
      </c>
      <c r="B221" s="6" t="str">
        <f>IF(A221="","",VLOOKUP(A221,DB!A:B,2,0))</f>
        <v>Sony HXCU-100 Cam 2</v>
      </c>
      <c r="C221" s="5"/>
      <c r="D221" s="5"/>
      <c r="E221" s="6" t="s">
        <v>308</v>
      </c>
      <c r="F221" s="5"/>
      <c r="G221" s="5"/>
      <c r="H221" s="6" t="s">
        <v>91</v>
      </c>
      <c r="I221" s="5" t="str">
        <f>IF(H221="","",VLOOKUP(H221,DB!A:B,2,0))</f>
        <v>FOR A HVS-390HS</v>
      </c>
      <c r="J221" s="5"/>
      <c r="K221" s="6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283</v>
      </c>
      <c r="B222" s="6" t="str">
        <f>IF(A222="","",VLOOKUP(A222,DB!A:B,2,0))</f>
        <v>Sony HXCU-100 Cam 3</v>
      </c>
      <c r="C222" s="5"/>
      <c r="D222" s="5"/>
      <c r="E222" s="6" t="s">
        <v>202</v>
      </c>
      <c r="F222" s="5"/>
      <c r="G222" s="5"/>
      <c r="H222" s="6" t="s">
        <v>251</v>
      </c>
      <c r="I222" s="5" t="str">
        <f>IF(H222="","",VLOOKUP(H222,DB!A:B,2,0))</f>
        <v>Blackmagic Multiview 4</v>
      </c>
      <c r="J222" s="5"/>
      <c r="K222" s="6" t="s">
        <v>25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283</v>
      </c>
      <c r="B223" s="6" t="str">
        <f>IF(A223="","",VLOOKUP(A223,DB!A:B,2,0))</f>
        <v>Sony HXCU-100 Cam 3</v>
      </c>
      <c r="C223" s="5"/>
      <c r="D223" s="5"/>
      <c r="E223" s="6" t="s">
        <v>308</v>
      </c>
      <c r="F223" s="5"/>
      <c r="G223" s="5"/>
      <c r="H223" s="6" t="s">
        <v>91</v>
      </c>
      <c r="I223" s="5" t="str">
        <f>IF(H223="","",VLOOKUP(H223,DB!A:B,2,0))</f>
        <v>FOR A HVS-390HS</v>
      </c>
      <c r="J223" s="5"/>
      <c r="K223" s="6" t="s">
        <v>25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286</v>
      </c>
      <c r="B224" s="6" t="str">
        <f>IF(A224="","",VLOOKUP(A224,DB!A:B,2,0))</f>
        <v>Sony HXCU-100 Cam 4</v>
      </c>
      <c r="C224" s="5"/>
      <c r="D224" s="5"/>
      <c r="E224" s="6" t="s">
        <v>202</v>
      </c>
      <c r="F224" s="5"/>
      <c r="G224" s="5"/>
      <c r="H224" s="6" t="s">
        <v>251</v>
      </c>
      <c r="I224" s="5" t="str">
        <f>IF(H224="","",VLOOKUP(H224,DB!A:B,2,0))</f>
        <v>Blackmagic Multiview 4</v>
      </c>
      <c r="J224" s="5"/>
      <c r="K224" s="6" t="s">
        <v>28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286</v>
      </c>
      <c r="B225" s="6" t="str">
        <f>IF(A225="","",VLOOKUP(A225,DB!A:B,2,0))</f>
        <v>Sony HXCU-100 Cam 4</v>
      </c>
      <c r="C225" s="5"/>
      <c r="D225" s="5"/>
      <c r="E225" s="6" t="s">
        <v>308</v>
      </c>
      <c r="F225" s="5"/>
      <c r="G225" s="5"/>
      <c r="H225" s="6" t="s">
        <v>91</v>
      </c>
      <c r="I225" s="5" t="str">
        <f>IF(H225="","",VLOOKUP(H225,DB!A:B,2,0))</f>
        <v>FOR A HVS-390HS</v>
      </c>
      <c r="J225" s="5"/>
      <c r="K225" s="6" t="s">
        <v>28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91</v>
      </c>
      <c r="B226" s="6" t="str">
        <f>IF(A226="","",VLOOKUP(A226,DB!A:B,2,0))</f>
        <v>FOR A HVS-390HS</v>
      </c>
      <c r="C226" s="5"/>
      <c r="D226" s="5"/>
      <c r="E226" s="6" t="s">
        <v>376</v>
      </c>
      <c r="F226" s="5"/>
      <c r="G226" s="5"/>
      <c r="H226" s="6" t="s">
        <v>377</v>
      </c>
      <c r="I226" s="5" t="str">
        <f>IF(H226="","",VLOOKUP(H226,DB!A:B,2,0))</f>
        <v>Monitor Director 2</v>
      </c>
      <c r="J226" s="5"/>
      <c r="K226" s="6" t="s">
        <v>242</v>
      </c>
      <c r="L226" s="5"/>
      <c r="M226" s="5"/>
      <c r="N226" s="6" t="s">
        <v>341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91</v>
      </c>
      <c r="B227" s="6" t="str">
        <f>IF(A227="","",VLOOKUP(A227,DB!A:B,2,0))</f>
        <v>FOR A HVS-390HS</v>
      </c>
      <c r="C227" s="5"/>
      <c r="D227" s="5"/>
      <c r="E227" s="6" t="s">
        <v>378</v>
      </c>
      <c r="F227" s="5"/>
      <c r="G227" s="5"/>
      <c r="H227" s="6" t="s">
        <v>379</v>
      </c>
      <c r="I227" s="5" t="str">
        <f>IF(H227="","",VLOOKUP(H227,DB!A:B,2,0))</f>
        <v>PC Pantalla</v>
      </c>
      <c r="J227" s="5"/>
      <c r="K227" s="6" t="s">
        <v>242</v>
      </c>
      <c r="L227" s="5"/>
      <c r="M227" s="5"/>
      <c r="N227" s="6" t="s">
        <v>380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91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381</v>
      </c>
      <c r="I228" s="5" t="str">
        <f>IF(H228="","",VLOOKUP(H228,DB!A:B,2,0))</f>
        <v>AJA HD5DA</v>
      </c>
      <c r="J228" s="5"/>
      <c r="K228" s="6" t="s">
        <v>107</v>
      </c>
      <c r="L228" s="5"/>
      <c r="M228" s="5"/>
      <c r="N228" s="6" t="s">
        <v>382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381</v>
      </c>
      <c r="B229" s="6" t="str">
        <f>IF(A229="","",VLOOKUP(A229,DB!A:B,2,0))</f>
        <v>AJA HD5DA</v>
      </c>
      <c r="C229" s="5"/>
      <c r="D229" s="5"/>
      <c r="E229" s="6" t="s">
        <v>199</v>
      </c>
      <c r="F229" s="6" t="s">
        <v>241</v>
      </c>
      <c r="G229" s="6" t="s">
        <v>107</v>
      </c>
      <c r="H229" s="6" t="s">
        <v>277</v>
      </c>
      <c r="I229" s="5" t="str">
        <f>IF(H229="","",VLOOKUP(H229,DB!A:B,2,0))</f>
        <v>Sony HXCU-100 Cam 1</v>
      </c>
      <c r="J229" s="5"/>
      <c r="K229" s="6" t="s">
        <v>383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381</v>
      </c>
      <c r="B230" s="6" t="str">
        <f>IF(A230="","",VLOOKUP(A230,DB!A:B,2,0))</f>
        <v>AJA HD5DA</v>
      </c>
      <c r="C230" s="5"/>
      <c r="D230" s="5"/>
      <c r="E230" s="6" t="s">
        <v>202</v>
      </c>
      <c r="F230" s="6" t="s">
        <v>241</v>
      </c>
      <c r="G230" s="6" t="s">
        <v>107</v>
      </c>
      <c r="H230" s="6" t="s">
        <v>280</v>
      </c>
      <c r="I230" s="5" t="str">
        <f>IF(H230="","",VLOOKUP(H230,DB!A:B,2,0))</f>
        <v>Sony HXCU-100 Cam 2</v>
      </c>
      <c r="J230" s="5"/>
      <c r="K230" s="6" t="s">
        <v>383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381</v>
      </c>
      <c r="B231" s="6" t="str">
        <f>IF(A231="","",VLOOKUP(A231,DB!A:B,2,0))</f>
        <v>AJA HD5DA</v>
      </c>
      <c r="C231" s="5"/>
      <c r="D231" s="5"/>
      <c r="E231" s="6" t="s">
        <v>308</v>
      </c>
      <c r="F231" s="6" t="s">
        <v>241</v>
      </c>
      <c r="G231" s="6" t="s">
        <v>107</v>
      </c>
      <c r="H231" s="6" t="s">
        <v>283</v>
      </c>
      <c r="I231" s="5" t="str">
        <f>IF(H231="","",VLOOKUP(H231,DB!A:B,2,0))</f>
        <v>Sony HXCU-100 Cam 3</v>
      </c>
      <c r="J231" s="5"/>
      <c r="K231" s="6" t="s">
        <v>383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381</v>
      </c>
      <c r="B232" s="6" t="str">
        <f>IF(A232="","",VLOOKUP(A232,DB!A:B,2,0))</f>
        <v>AJA HD5DA</v>
      </c>
      <c r="C232" s="5"/>
      <c r="D232" s="5"/>
      <c r="E232" s="6" t="s">
        <v>311</v>
      </c>
      <c r="F232" s="6" t="s">
        <v>241</v>
      </c>
      <c r="G232" s="6" t="s">
        <v>107</v>
      </c>
      <c r="H232" s="6" t="s">
        <v>286</v>
      </c>
      <c r="I232" s="5" t="str">
        <f>IF(H232="","",VLOOKUP(H232,DB!A:B,2,0))</f>
        <v>Sony HXCU-100 Cam 4</v>
      </c>
      <c r="J232" s="5"/>
      <c r="K232" s="6" t="s">
        <v>383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384</v>
      </c>
      <c r="B233" s="6" t="str">
        <f>IF(A233="","",VLOOKUP(A233,DB!A:B,2,0))</f>
        <v>Patch Estudio</v>
      </c>
      <c r="C233" s="5"/>
      <c r="D233" s="5"/>
      <c r="E233" s="6" t="s">
        <v>385</v>
      </c>
      <c r="F233" s="5"/>
      <c r="G233" s="5"/>
      <c r="H233" s="6" t="s">
        <v>262</v>
      </c>
      <c r="I233" s="5" t="str">
        <f>IF(H233="","",VLOOKUP(H233,DB!A:B,2,0))</f>
        <v>Patch Panel</v>
      </c>
      <c r="J233" s="5"/>
      <c r="K233" s="6" t="s">
        <v>62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89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262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89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262</v>
      </c>
      <c r="I235" s="5" t="str">
        <f>IF(H235="","",VLOOKUP(H235,DB!A:B,2,0))</f>
        <v>Patch Panel</v>
      </c>
      <c r="J235" s="5"/>
      <c r="K235" s="6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89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262</v>
      </c>
      <c r="I236" s="5" t="str">
        <f>IF(H236="","",VLOOKUP(H236,DB!A:B,2,0))</f>
        <v>Patch Panel</v>
      </c>
      <c r="J236" s="5"/>
      <c r="K236" s="6" t="s">
        <v>25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89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262</v>
      </c>
      <c r="I237" s="5" t="str">
        <f>IF(H237="","",VLOOKUP(H237,DB!A:B,2,0))</f>
        <v>Patch Panel</v>
      </c>
      <c r="J237" s="5"/>
      <c r="K237" s="6" t="s">
        <v>28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89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262</v>
      </c>
      <c r="I238" s="5" t="str">
        <f>IF(H238="","",VLOOKUP(H238,DB!A:B,2,0))</f>
        <v>Patch Panel</v>
      </c>
      <c r="J238" s="5"/>
      <c r="K238" s="6" t="s">
        <v>31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89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262</v>
      </c>
      <c r="I239" s="5" t="str">
        <f>IF(H239="","",VLOOKUP(H239,DB!A:B,2,0))</f>
        <v>Patch Panel</v>
      </c>
      <c r="J239" s="5"/>
      <c r="K239" s="6" t="s">
        <v>34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89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262</v>
      </c>
      <c r="I240" s="5" t="str">
        <f>IF(H240="","",VLOOKUP(H240,DB!A:B,2,0))</f>
        <v>Patch Panel</v>
      </c>
      <c r="J240" s="5"/>
      <c r="K240" s="6" t="s">
        <v>37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89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262</v>
      </c>
      <c r="I241" s="5" t="str">
        <f>IF(H241="","",VLOOKUP(H241,DB!A:B,2,0))</f>
        <v>Patch Panel</v>
      </c>
      <c r="J241" s="5"/>
      <c r="K241" s="6" t="s">
        <v>40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89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262</v>
      </c>
      <c r="I242" s="5" t="str">
        <f>IF(H242="","",VLOOKUP(H242,DB!A:B,2,0))</f>
        <v>Patch Panel</v>
      </c>
      <c r="J242" s="5"/>
      <c r="K242" s="6" t="s">
        <v>46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89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262</v>
      </c>
      <c r="I243" s="5" t="str">
        <f>IF(H243="","",VLOOKUP(H243,DB!A:B,2,0))</f>
        <v>Patch Panel</v>
      </c>
      <c r="J243" s="5"/>
      <c r="K243" s="6" t="s">
        <v>50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89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262</v>
      </c>
      <c r="I244" s="5" t="str">
        <f>IF(H244="","",VLOOKUP(H244,DB!A:B,2,0))</f>
        <v>Patch Panel</v>
      </c>
      <c r="J244" s="5"/>
      <c r="K244" s="6" t="s">
        <v>53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89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262</v>
      </c>
      <c r="I245" s="5" t="str">
        <f>IF(H245="","",VLOOKUP(H245,DB!A:B,2,0))</f>
        <v>Patch Panel</v>
      </c>
      <c r="J245" s="5"/>
      <c r="K245" s="6" t="s">
        <v>56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89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262</v>
      </c>
      <c r="I246" s="5" t="str">
        <f>IF(H246="","",VLOOKUP(H246,DB!A:B,2,0))</f>
        <v>Patch Panel</v>
      </c>
      <c r="J246" s="5"/>
      <c r="K246" s="6" t="s">
        <v>65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50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53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89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144</v>
      </c>
      <c r="I249" s="5" t="str">
        <f>IF(H249="","",VLOOKUP(H249,DB!A:B,2,0))</f>
        <v>openGear X</v>
      </c>
      <c r="J249" s="6">
        <v>3.0</v>
      </c>
      <c r="K249" s="6" t="s">
        <v>242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223</v>
      </c>
      <c r="B250" s="6" t="str">
        <f>IF(A250="","",VLOOKUP(A250,DB!A:B,2,0))</f>
        <v>AJA FS2</v>
      </c>
      <c r="C250" s="5"/>
      <c r="D250" s="6"/>
      <c r="E250" s="6" t="s">
        <v>386</v>
      </c>
      <c r="F250" s="5"/>
      <c r="G250" s="5"/>
      <c r="H250" s="6" t="s">
        <v>387</v>
      </c>
      <c r="I250" s="5" t="str">
        <f>IF(H250="","",VLOOKUP(H250,DB!A:B,2,0))</f>
        <v>Digiwave DSC-131</v>
      </c>
      <c r="J250" s="6"/>
      <c r="K250" s="6" t="s">
        <v>388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387</v>
      </c>
      <c r="B251" s="6" t="str">
        <f>IF(A251="","",VLOOKUP(A251,DB!A:B,2,0))</f>
        <v>Digiwave DSC-131</v>
      </c>
      <c r="C251" s="5"/>
      <c r="D251" s="6"/>
      <c r="E251" s="6" t="s">
        <v>389</v>
      </c>
      <c r="F251" s="5"/>
      <c r="G251" s="5"/>
      <c r="H251" s="6" t="s">
        <v>390</v>
      </c>
      <c r="I251" s="5" t="str">
        <f>IF(H251="","",VLOOKUP(H251,DB!A:B,2,0))</f>
        <v>vidicraft vst2110</v>
      </c>
      <c r="J251" s="6"/>
      <c r="K251" s="6" t="s">
        <v>391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392</v>
      </c>
      <c r="B252" s="6" t="str">
        <f>IF(A252="","",VLOOKUP(A252,DB!A:B,2,0))</f>
        <v>tc electronic Finalizer</v>
      </c>
      <c r="C252" s="5"/>
      <c r="D252" s="6"/>
      <c r="E252" s="6" t="s">
        <v>393</v>
      </c>
      <c r="F252" s="5"/>
      <c r="G252" s="5"/>
      <c r="H252" s="6" t="s">
        <v>223</v>
      </c>
      <c r="I252" s="5" t="str">
        <f>IF(H252="","",VLOOKUP(H252,DB!A:B,2,0))</f>
        <v>AJA FS2</v>
      </c>
      <c r="J252" s="6"/>
      <c r="K252" s="6" t="s">
        <v>394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392</v>
      </c>
      <c r="B253" s="6" t="str">
        <f>IF(A253="","",VLOOKUP(A253,DB!A:B,2,0))</f>
        <v>tc electronic Finalizer</v>
      </c>
      <c r="C253" s="5"/>
      <c r="D253" s="6"/>
      <c r="E253" s="6" t="s">
        <v>395</v>
      </c>
      <c r="F253" s="5"/>
      <c r="G253" s="5"/>
      <c r="H253" s="6" t="s">
        <v>89</v>
      </c>
      <c r="I253" s="5" t="str">
        <f>IF(H253="","",VLOOKUP(H253,DB!A:B,2,0))</f>
        <v/>
      </c>
      <c r="J253" s="6"/>
      <c r="K253" s="6"/>
      <c r="L253" s="5"/>
      <c r="M253" s="6" t="s">
        <v>396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392</v>
      </c>
      <c r="B254" s="6" t="str">
        <f>IF(A254="","",VLOOKUP(A254,DB!A:B,2,0))</f>
        <v>tc electronic Finalizer</v>
      </c>
      <c r="C254" s="5"/>
      <c r="D254" s="6"/>
      <c r="E254" s="6" t="s">
        <v>397</v>
      </c>
      <c r="F254" s="5"/>
      <c r="G254" s="5"/>
      <c r="H254" s="6" t="s">
        <v>89</v>
      </c>
      <c r="I254" s="5" t="str">
        <f>IF(H254="","",VLOOKUP(H254,DB!A:B,2,0))</f>
        <v/>
      </c>
      <c r="J254" s="6"/>
      <c r="K254" s="6"/>
      <c r="L254" s="5"/>
      <c r="M254" s="6" t="s">
        <v>396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398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241</v>
      </c>
      <c r="G255" s="6" t="s">
        <v>17</v>
      </c>
      <c r="H255" s="6" t="s">
        <v>187</v>
      </c>
      <c r="I255" s="5" t="str">
        <f>IF(H255="","",VLOOKUP(H255,DB!A:B,2,0))</f>
        <v>Player A</v>
      </c>
      <c r="J255" s="6">
        <v>1.0</v>
      </c>
      <c r="K255" s="6" t="s">
        <v>399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398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241</v>
      </c>
      <c r="G256" s="6" t="s">
        <v>17</v>
      </c>
      <c r="H256" s="6" t="s">
        <v>187</v>
      </c>
      <c r="I256" s="5" t="str">
        <f>IF(H256="","",VLOOKUP(H256,DB!A:B,2,0))</f>
        <v>Player A</v>
      </c>
      <c r="J256" s="6">
        <v>2.0</v>
      </c>
      <c r="K256" s="6" t="s">
        <v>399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398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241</v>
      </c>
      <c r="G257" s="6" t="s">
        <v>17</v>
      </c>
      <c r="H257" s="6" t="s">
        <v>191</v>
      </c>
      <c r="I257" s="5" t="str">
        <f>IF(H257="","",VLOOKUP(H257,DB!A:B,2,0))</f>
        <v>Player B</v>
      </c>
      <c r="J257" s="6">
        <v>1.0</v>
      </c>
      <c r="K257" s="6" t="s">
        <v>399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398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241</v>
      </c>
      <c r="G258" s="6" t="s">
        <v>17</v>
      </c>
      <c r="H258" s="6" t="s">
        <v>191</v>
      </c>
      <c r="I258" s="5" t="str">
        <f>IF(H258="","",VLOOKUP(H258,DB!A:B,2,0))</f>
        <v>Player B</v>
      </c>
      <c r="J258" s="6">
        <v>2.0</v>
      </c>
      <c r="K258" s="6" t="s">
        <v>399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398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241</v>
      </c>
      <c r="G259" s="6" t="s">
        <v>17</v>
      </c>
      <c r="H259" s="6" t="s">
        <v>193</v>
      </c>
      <c r="I259" s="5" t="str">
        <f>IF(H259="","",VLOOKUP(H259,DB!A:B,2,0))</f>
        <v>Player C</v>
      </c>
      <c r="J259" s="6">
        <v>1.0</v>
      </c>
      <c r="K259" s="6" t="s">
        <v>399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398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241</v>
      </c>
      <c r="G260" s="6" t="s">
        <v>17</v>
      </c>
      <c r="H260" s="6" t="s">
        <v>193</v>
      </c>
      <c r="I260" s="5" t="str">
        <f>IF(H260="","",VLOOKUP(H260,DB!A:B,2,0))</f>
        <v>Player C</v>
      </c>
      <c r="J260" s="6">
        <v>2.0</v>
      </c>
      <c r="K260" s="6" t="s">
        <v>399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398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241</v>
      </c>
      <c r="G261" s="6" t="s">
        <v>17</v>
      </c>
      <c r="H261" s="6" t="s">
        <v>89</v>
      </c>
      <c r="I261" s="5" t="str">
        <f>IF(H261="","",VLOOKUP(H261,DB!A:B,2,0))</f>
        <v/>
      </c>
      <c r="J261" s="6"/>
      <c r="K261" s="6"/>
      <c r="L261" s="5"/>
      <c r="M261" s="6" t="s">
        <v>400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398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241</v>
      </c>
      <c r="G262" s="6" t="s">
        <v>17</v>
      </c>
      <c r="H262" s="6" t="s">
        <v>89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182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398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187</v>
      </c>
      <c r="B264" s="6" t="str">
        <f>IF(A264="","",VLOOKUP(A264,DB!A:B,2,0))</f>
        <v>Player A</v>
      </c>
      <c r="C264" s="6">
        <v>2.0</v>
      </c>
      <c r="D264" s="6" t="s">
        <v>188</v>
      </c>
      <c r="E264" s="6" t="s">
        <v>401</v>
      </c>
      <c r="F264" s="5"/>
      <c r="G264" s="5"/>
      <c r="H264" s="6" t="s">
        <v>353</v>
      </c>
      <c r="I264" s="5" t="str">
        <f>IF(H264="","",VLOOKUP(H264,DB!A:B,2,0))</f>
        <v>Yamaha QL5</v>
      </c>
      <c r="J264" s="6"/>
      <c r="K264" s="6" t="s">
        <v>249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182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181</v>
      </c>
      <c r="I265" s="5" t="str">
        <f>IF(H265="","",VLOOKUP(H265,DB!A:B,2,0))</f>
        <v>openGear X</v>
      </c>
      <c r="J265" s="6">
        <v>1.0</v>
      </c>
      <c r="K265" s="6" t="s">
        <v>402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181</v>
      </c>
      <c r="B266" s="6" t="str">
        <f>IF(A266="","",VLOOKUP(A266,DB!A:B,2,0))</f>
        <v>openGear X</v>
      </c>
      <c r="C266" s="6">
        <v>1.0</v>
      </c>
      <c r="D266" s="6" t="s">
        <v>315</v>
      </c>
      <c r="E266" s="6" t="s">
        <v>403</v>
      </c>
      <c r="F266" s="6" t="s">
        <v>241</v>
      </c>
      <c r="G266" s="6" t="s">
        <v>402</v>
      </c>
      <c r="H266" s="6" t="s">
        <v>181</v>
      </c>
      <c r="I266" s="5" t="str">
        <f>IF(H266="","",VLOOKUP(H266,DB!A:B,2,0))</f>
        <v>openGear X</v>
      </c>
      <c r="J266" s="6" t="s">
        <v>182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181</v>
      </c>
      <c r="B267" s="6" t="str">
        <f>IF(A267="","",VLOOKUP(A267,DB!A:B,2,0))</f>
        <v>openGear X</v>
      </c>
      <c r="C267" s="6">
        <v>1.0</v>
      </c>
      <c r="D267" s="6" t="s">
        <v>315</v>
      </c>
      <c r="E267" s="6" t="s">
        <v>404</v>
      </c>
      <c r="F267" s="6" t="s">
        <v>241</v>
      </c>
      <c r="G267" s="6" t="s">
        <v>402</v>
      </c>
      <c r="H267" s="6" t="s">
        <v>181</v>
      </c>
      <c r="I267" s="5" t="str">
        <f>IF(H267="","",VLOOKUP(H267,DB!A:B,2,0))</f>
        <v>openGear X</v>
      </c>
      <c r="J267" s="6" t="s">
        <v>182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181</v>
      </c>
      <c r="B268" s="6" t="str">
        <f>IF(A268="","",VLOOKUP(A268,DB!A:B,2,0))</f>
        <v>openGear X</v>
      </c>
      <c r="C268" s="6">
        <v>1.0</v>
      </c>
      <c r="D268" s="6" t="s">
        <v>315</v>
      </c>
      <c r="E268" s="6" t="s">
        <v>405</v>
      </c>
      <c r="F268" s="6" t="s">
        <v>241</v>
      </c>
      <c r="G268" s="6" t="s">
        <v>402</v>
      </c>
      <c r="H268" s="6" t="s">
        <v>181</v>
      </c>
      <c r="I268" s="5" t="str">
        <f>IF(H268="","",VLOOKUP(H268,DB!A:B,2,0))</f>
        <v>openGear X</v>
      </c>
      <c r="J268" s="6" t="s">
        <v>182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315</v>
      </c>
      <c r="E269" s="6" t="s">
        <v>406</v>
      </c>
      <c r="F269" s="6" t="s">
        <v>241</v>
      </c>
      <c r="G269" s="6" t="s">
        <v>402</v>
      </c>
      <c r="H269" s="6" t="s">
        <v>181</v>
      </c>
      <c r="I269" s="5" t="str">
        <f>IF(H269="","",VLOOKUP(H269,DB!A:B,2,0))</f>
        <v>openGear X</v>
      </c>
      <c r="J269" s="6">
        <v>3.0</v>
      </c>
      <c r="K269" s="6" t="s">
        <v>107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315</v>
      </c>
      <c r="E270" s="6" t="s">
        <v>407</v>
      </c>
      <c r="F270" s="6" t="s">
        <v>241</v>
      </c>
      <c r="G270" s="6" t="s">
        <v>402</v>
      </c>
      <c r="H270" s="6" t="s">
        <v>181</v>
      </c>
      <c r="I270" s="5" t="str">
        <f>IF(H270="","",VLOOKUP(H270,DB!A:B,2,0))</f>
        <v>openGear X</v>
      </c>
      <c r="J270" s="6">
        <v>2.0</v>
      </c>
      <c r="K270" s="6" t="s">
        <v>107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315</v>
      </c>
      <c r="E271" s="6" t="s">
        <v>408</v>
      </c>
      <c r="F271" s="6" t="s">
        <v>241</v>
      </c>
      <c r="G271" s="6" t="s">
        <v>402</v>
      </c>
      <c r="H271" s="6" t="s">
        <v>181</v>
      </c>
      <c r="I271" s="5" t="str">
        <f>IF(H271="","",VLOOKUP(H271,DB!A:B,2,0))</f>
        <v>openGear X</v>
      </c>
      <c r="J271" s="6">
        <v>5.0</v>
      </c>
      <c r="K271" s="6" t="s">
        <v>107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315</v>
      </c>
      <c r="E272" s="6" t="s">
        <v>409</v>
      </c>
      <c r="F272" s="6" t="s">
        <v>241</v>
      </c>
      <c r="G272" s="6" t="s">
        <v>402</v>
      </c>
      <c r="H272" s="6" t="s">
        <v>182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315</v>
      </c>
      <c r="E273" s="6" t="s">
        <v>410</v>
      </c>
      <c r="F273" s="6" t="s">
        <v>241</v>
      </c>
      <c r="G273" s="6" t="s">
        <v>402</v>
      </c>
      <c r="H273" s="6" t="s">
        <v>347</v>
      </c>
      <c r="I273" s="5" t="str">
        <f>IF(H273="","",VLOOKUP(H273,DB!A:B,2,0))</f>
        <v>VIDEObit 3G-LINK-TD</v>
      </c>
      <c r="J273" s="6"/>
      <c r="K273" s="6" t="s">
        <v>69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315</v>
      </c>
      <c r="E274" s="6" t="s">
        <v>411</v>
      </c>
      <c r="F274" s="6" t="s">
        <v>241</v>
      </c>
      <c r="G274" s="6" t="s">
        <v>402</v>
      </c>
      <c r="H274" s="6" t="s">
        <v>89</v>
      </c>
      <c r="I274" s="5" t="str">
        <f>IF(H274="","",VLOOKUP(H274,DB!A:B,2,0))</f>
        <v/>
      </c>
      <c r="J274" s="6"/>
      <c r="K274" s="6"/>
      <c r="L274" s="5"/>
      <c r="M274" s="6" t="s">
        <v>212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412</v>
      </c>
      <c r="B1" s="15" t="s">
        <v>413</v>
      </c>
      <c r="C1" s="16" t="s">
        <v>414</v>
      </c>
      <c r="D1" s="17" t="s">
        <v>415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416</v>
      </c>
      <c r="B2" s="7" t="s">
        <v>417</v>
      </c>
      <c r="C2" s="18" t="s">
        <v>418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419</v>
      </c>
      <c r="C3" s="18" t="s">
        <v>420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421</v>
      </c>
      <c r="C4" s="18" t="s">
        <v>422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423</v>
      </c>
      <c r="C5" s="18" t="s">
        <v>424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425</v>
      </c>
      <c r="C6" s="19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398</v>
      </c>
      <c r="B7" s="11" t="s">
        <v>426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427</v>
      </c>
      <c r="B9" s="7" t="s">
        <v>428</v>
      </c>
      <c r="C9" s="18" t="s">
        <v>429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430</v>
      </c>
      <c r="C10" s="18" t="s">
        <v>431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432</v>
      </c>
      <c r="C11" s="18" t="s">
        <v>433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434</v>
      </c>
      <c r="C12" s="18" t="s">
        <v>435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436</v>
      </c>
      <c r="B14" s="11" t="s">
        <v>437</v>
      </c>
      <c r="C14" s="19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438</v>
      </c>
      <c r="B15" s="7" t="s">
        <v>439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440</v>
      </c>
      <c r="C16" s="18" t="s">
        <v>441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442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443</v>
      </c>
      <c r="C18" s="19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262</v>
      </c>
      <c r="B19" s="7" t="s">
        <v>444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444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369</v>
      </c>
      <c r="B22" s="11" t="s">
        <v>445</v>
      </c>
      <c r="C22" s="19" t="s">
        <v>446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371</v>
      </c>
      <c r="B23" s="11" t="s">
        <v>447</v>
      </c>
      <c r="C23" s="19" t="s">
        <v>448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449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214</v>
      </c>
      <c r="B26" s="7" t="s">
        <v>450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451</v>
      </c>
      <c r="B27" s="7" t="s">
        <v>452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217</v>
      </c>
      <c r="B28" s="7" t="s">
        <v>453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220</v>
      </c>
      <c r="B29" s="7" t="s">
        <v>453</v>
      </c>
      <c r="C29" s="19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226</v>
      </c>
      <c r="B30" s="7" t="s">
        <v>454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455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456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361</v>
      </c>
      <c r="B33" s="7" t="s">
        <v>452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456</v>
      </c>
      <c r="C34" s="18" t="s">
        <v>457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392</v>
      </c>
      <c r="B35" s="7" t="s">
        <v>458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459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460</v>
      </c>
      <c r="C37" s="19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223</v>
      </c>
      <c r="B38" s="7" t="s">
        <v>460</v>
      </c>
      <c r="C38" s="18" t="s">
        <v>461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387</v>
      </c>
      <c r="B39" s="7" t="s">
        <v>462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390</v>
      </c>
      <c r="B40" s="7" t="s">
        <v>463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233</v>
      </c>
      <c r="B41" s="7" t="s">
        <v>464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465</v>
      </c>
      <c r="B43" s="7" t="s">
        <v>466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467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468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469</v>
      </c>
      <c r="C46" s="18" t="s">
        <v>470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471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472</v>
      </c>
      <c r="B49" s="7" t="s">
        <v>473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277</v>
      </c>
      <c r="B50" s="11" t="s">
        <v>474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280</v>
      </c>
      <c r="B51" s="11" t="s">
        <v>475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283</v>
      </c>
      <c r="B52" s="11" t="s">
        <v>476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286</v>
      </c>
      <c r="B53" s="11" t="s">
        <v>477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251</v>
      </c>
      <c r="B54" s="7" t="s">
        <v>478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479</v>
      </c>
      <c r="C55" s="19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381</v>
      </c>
      <c r="B56" s="7" t="s">
        <v>480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481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368</v>
      </c>
      <c r="B60" s="6" t="s">
        <v>482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483</v>
      </c>
      <c r="B61" s="11" t="s">
        <v>484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485</v>
      </c>
      <c r="B62" s="11" t="s">
        <v>486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487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488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181</v>
      </c>
      <c r="B65" s="7" t="s">
        <v>456</v>
      </c>
      <c r="C65" s="18" t="s">
        <v>489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208</v>
      </c>
      <c r="B67" s="6" t="s">
        <v>490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491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492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257</v>
      </c>
      <c r="B71" s="7" t="s">
        <v>493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384</v>
      </c>
      <c r="B72" s="7" t="s">
        <v>494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495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496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353</v>
      </c>
      <c r="B76" s="7" t="s">
        <v>497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498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374</v>
      </c>
      <c r="B78" s="7" t="s">
        <v>499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500</v>
      </c>
      <c r="B79" s="7" t="s">
        <v>501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377</v>
      </c>
      <c r="B80" s="7" t="s">
        <v>502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148</v>
      </c>
      <c r="B81" s="7" t="s">
        <v>503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504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379</v>
      </c>
      <c r="B83" s="7" t="s">
        <v>505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110</v>
      </c>
      <c r="B84" s="7" t="s">
        <v>506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373</v>
      </c>
      <c r="B85" s="11" t="s">
        <v>507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508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182</v>
      </c>
      <c r="B89" s="11" t="s">
        <v>509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89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344</v>
      </c>
      <c r="B93" s="6" t="s">
        <v>345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342</v>
      </c>
      <c r="B94" s="6" t="s">
        <v>343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339</v>
      </c>
      <c r="B95" s="6" t="s">
        <v>340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510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511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49")</f>
        <v>Out 49</v>
      </c>
      <c r="F3" s="5"/>
      <c r="G3" s="5"/>
      <c r="H3" s="5" t="str">
        <f>IFERROR(__xludf.DUMMYFUNCTION("""COMPUTED_VALUE"""),"D.7")</f>
        <v>D.7</v>
      </c>
      <c r="I3" s="5" t="str">
        <f>IFERROR(__xludf.DUMMYFUNCTION("""COMPUTED_VALUE"""),"openGear X")</f>
        <v>openGear X</v>
      </c>
      <c r="J3" s="5">
        <f>IFERROR(__xludf.DUMMYFUNCTION("""COMPUTED_VALUE"""),9.0)</f>
        <v>9</v>
      </c>
      <c r="K3" s="5" t="str">
        <f>IFERROR(__xludf.DUMMYFUNCTION("""COMPUTED_VALUE"""),"J2 (in)")</f>
        <v>J2 (in)</v>
      </c>
      <c r="L3" s="5" t="str">
        <f>IFERROR(__xludf.DUMMYFUNCTION("""COMPUTED_VALUE"""),"MON PISO")</f>
        <v>MON PISO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IFERROR(__xludf.DUMMYFUNCTION("""COMPUTED_VALUE"""),"C.4")</f>
        <v>C.4</v>
      </c>
      <c r="B4" s="5" t="str">
        <f>IFERROR(__xludf.DUMMYFUNCTION("""COMPUTED_VALUE"""),"Blackmagic Multiview 16")</f>
        <v>Blackmagic Multiview 16</v>
      </c>
      <c r="C4" s="5"/>
      <c r="D4" s="5"/>
      <c r="E4" s="5" t="str">
        <f>IFERROR(__xludf.DUMMYFUNCTION("""COMPUTED_VALUE"""),"Out 13")</f>
        <v>Out 13</v>
      </c>
      <c r="F4" s="5" t="str">
        <f>IFERROR(__xludf.DUMMYFUNCTION("""COMPUTED_VALUE"""),"T")</f>
        <v>T</v>
      </c>
      <c r="G4" s="5" t="str">
        <f>IFERROR(__xludf.DUMMYFUNCTION("""COMPUTED_VALUE"""),"In 13")</f>
        <v>In 13</v>
      </c>
      <c r="H4" s="5" t="str">
        <f>IFERROR(__xludf.DUMMYFUNCTION("""COMPUTED_VALUE"""),"D.7")</f>
        <v>D.7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IFERROR(__xludf.DUMMYFUNCTION("""COMPUTED_VALUE"""),"SDI In")</f>
        <v>SDI In</v>
      </c>
      <c r="L4" s="5" t="str">
        <f>IFERROR(__xludf.DUMMYFUNCTION("""COMPUTED_VALUE"""),"Source 13")</f>
        <v>Source 13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IFERROR(__xludf.DUMMYFUNCTION("""COMPUTED_VALUE"""),"C.4")</f>
        <v>C.4</v>
      </c>
      <c r="B5" s="5" t="str">
        <f>IFERROR(__xludf.DUMMYFUNCTION("""COMPUTED_VALUE"""),"Blackmagic Multiview 16")</f>
        <v>Blackmagic Multiview 16</v>
      </c>
      <c r="C5" s="5"/>
      <c r="D5" s="5"/>
      <c r="E5" s="5" t="str">
        <f>IFERROR(__xludf.DUMMYFUNCTION("""COMPUTED_VALUE"""),"Out 14")</f>
        <v>Out 14</v>
      </c>
      <c r="F5" s="5" t="str">
        <f>IFERROR(__xludf.DUMMYFUNCTION("""COMPUTED_VALUE"""),"T")</f>
        <v>T</v>
      </c>
      <c r="G5" s="5" t="str">
        <f>IFERROR(__xludf.DUMMYFUNCTION("""COMPUTED_VALUE"""),"In 14")</f>
        <v>In 14</v>
      </c>
      <c r="H5" s="5" t="str">
        <f>IFERROR(__xludf.DUMMYFUNCTION("""COMPUTED_VALUE"""),"D.7")</f>
        <v>D.7</v>
      </c>
      <c r="I5" s="5" t="str">
        <f>IFERROR(__xludf.DUMMYFUNCTION("""COMPUTED_VALUE"""),"openGear X")</f>
        <v>openGear X</v>
      </c>
      <c r="J5" s="5">
        <f>IFERROR(__xludf.DUMMYFUNCTION("""COMPUTED_VALUE"""),5.0)</f>
        <v>5</v>
      </c>
      <c r="K5" s="5" t="str">
        <f>IFERROR(__xludf.DUMMYFUNCTION("""COMPUTED_VALUE"""),"SDI In")</f>
        <v>SDI In</v>
      </c>
      <c r="L5" s="5" t="str">
        <f>IFERROR(__xludf.DUMMYFUNCTION("""COMPUTED_VALUE"""),"Source 14")</f>
        <v>Source 14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IFERROR(__xludf.DUMMYFUNCTION("""COMPUTED_VALUE"""),"C.4")</f>
        <v>C.4</v>
      </c>
      <c r="B6" s="5" t="str">
        <f>IFERROR(__xludf.DUMMYFUNCTION("""COMPUTED_VALUE"""),"Blackmagic Multiview 16")</f>
        <v>Blackmagic Multiview 16</v>
      </c>
      <c r="C6" s="5"/>
      <c r="D6" s="5"/>
      <c r="E6" s="5" t="str">
        <f>IFERROR(__xludf.DUMMYFUNCTION("""COMPUTED_VALUE"""),"Out 15")</f>
        <v>Out 15</v>
      </c>
      <c r="F6" s="5" t="str">
        <f>IFERROR(__xludf.DUMMYFUNCTION("""COMPUTED_VALUE"""),"T")</f>
        <v>T</v>
      </c>
      <c r="G6" s="5" t="str">
        <f>IFERROR(__xludf.DUMMYFUNCTION("""COMPUTED_VALUE"""),"In 15")</f>
        <v>In 15</v>
      </c>
      <c r="H6" s="5" t="str">
        <f>IFERROR(__xludf.DUMMYFUNCTION("""COMPUTED_VALUE"""),"D.7")</f>
        <v>D.7</v>
      </c>
      <c r="I6" s="5" t="str">
        <f>IFERROR(__xludf.DUMMYFUNCTION("""COMPUTED_VALUE"""),"openGear X")</f>
        <v>openGear X</v>
      </c>
      <c r="J6" s="5">
        <f>IFERROR(__xludf.DUMMYFUNCTION("""COMPUTED_VALUE"""),6.0)</f>
        <v>6</v>
      </c>
      <c r="K6" s="5" t="str">
        <f>IFERROR(__xludf.DUMMYFUNCTION("""COMPUTED_VALUE"""),"SDI In")</f>
        <v>SDI In</v>
      </c>
      <c r="L6" s="5" t="str">
        <f>IFERROR(__xludf.DUMMYFUNCTION("""COMPUTED_VALUE"""),"Source 15")</f>
        <v>Source 15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IFERROR(__xludf.DUMMYFUNCTION("""COMPUTED_VALUE"""),"C.4")</f>
        <v>C.4</v>
      </c>
      <c r="B7" s="5" t="str">
        <f>IFERROR(__xludf.DUMMYFUNCTION("""COMPUTED_VALUE"""),"Blackmagic Multiview 16")</f>
        <v>Blackmagic Multiview 16</v>
      </c>
      <c r="C7" s="5"/>
      <c r="D7" s="5"/>
      <c r="E7" s="5" t="str">
        <f>IFERROR(__xludf.DUMMYFUNCTION("""COMPUTED_VALUE"""),"Out 16")</f>
        <v>Out 16</v>
      </c>
      <c r="F7" s="5" t="str">
        <f>IFERROR(__xludf.DUMMYFUNCTION("""COMPUTED_VALUE"""),"T")</f>
        <v>T</v>
      </c>
      <c r="G7" s="5" t="str">
        <f>IFERROR(__xludf.DUMMYFUNCTION("""COMPUTED_VALUE"""),"In 16")</f>
        <v>In 16</v>
      </c>
      <c r="H7" s="5" t="str">
        <f>IFERROR(__xludf.DUMMYFUNCTION("""COMPUTED_VALUE"""),"D.7")</f>
        <v>D.7</v>
      </c>
      <c r="I7" s="5" t="str">
        <f>IFERROR(__xludf.DUMMYFUNCTION("""COMPUTED_VALUE"""),"openGear X")</f>
        <v>openGear X</v>
      </c>
      <c r="J7" s="5">
        <f>IFERROR(__xludf.DUMMYFUNCTION("""COMPUTED_VALUE"""),7.0)</f>
        <v>7</v>
      </c>
      <c r="K7" s="5" t="str">
        <f>IFERROR(__xludf.DUMMYFUNCTION("""COMPUTED_VALUE"""),"SDI In")</f>
        <v>SDI In</v>
      </c>
      <c r="L7" s="5" t="str">
        <f>IFERROR(__xludf.DUMMYFUNCTION("""COMPUTED_VALUE"""),"Source 16")</f>
        <v>Source 16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IFERROR(__xludf.DUMMYFUNCTION("""COMPUTED_VALUE"""),"D.BACK.1")</f>
        <v>D.BACK.1</v>
      </c>
      <c r="B8" s="5" t="str">
        <f>IFERROR(__xludf.DUMMYFUNCTION("""COMPUTED_VALUE"""),"Raspberry PI 1")</f>
        <v>Raspberry PI 1</v>
      </c>
      <c r="C8" s="5"/>
      <c r="D8" s="5"/>
      <c r="E8" s="5" t="str">
        <f>IFERROR(__xludf.DUMMYFUNCTION("""COMPUTED_VALUE"""),"HDMI Out")</f>
        <v>HDMI Out</v>
      </c>
      <c r="F8" s="5"/>
      <c r="G8" s="5"/>
      <c r="H8" s="5" t="str">
        <f>IFERROR(__xludf.DUMMYFUNCTION("""COMPUTED_VALUE"""),"D.7")</f>
        <v>D.7</v>
      </c>
      <c r="I8" s="5" t="str">
        <f>IFERROR(__xludf.DUMMYFUNCTION("""COMPUTED_VALUE"""),"openGear X")</f>
        <v>openGear X</v>
      </c>
      <c r="J8" s="5">
        <f>IFERROR(__xludf.DUMMYFUNCTION("""COMPUTED_VALUE"""),1.0)</f>
        <v>1</v>
      </c>
      <c r="K8" s="5" t="str">
        <f>IFERROR(__xludf.DUMMYFUNCTION("""COMPUTED_VALUE"""),"HDMI In")</f>
        <v>HDMI In</v>
      </c>
      <c r="L8" s="5"/>
      <c r="M8" s="5" t="str">
        <f>IFERROR(__xludf.DUMMYFUNCTION("""COMPUTED_VALUE"""),"SRT La Casa del Streaming")</f>
        <v>SRT La Casa del Streaming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IFERROR(__xludf.DUMMYFUNCTION("""COMPUTED_VALUE"""),"D.BACK.2")</f>
        <v>D.BACK.2</v>
      </c>
      <c r="B9" s="5" t="str">
        <f>IFERROR(__xludf.DUMMYFUNCTION("""COMPUTED_VALUE"""),"Raspberry PI 2")</f>
        <v>Raspberry PI 2</v>
      </c>
      <c r="C9" s="5"/>
      <c r="D9" s="5"/>
      <c r="E9" s="5" t="str">
        <f>IFERROR(__xludf.DUMMYFUNCTION("""COMPUTED_VALUE"""),"HDMI Out")</f>
        <v>HDMI Out</v>
      </c>
      <c r="F9" s="5"/>
      <c r="G9" s="5"/>
      <c r="H9" s="5" t="str">
        <f>IFERROR(__xludf.DUMMYFUNCTION("""COMPUTED_VALUE"""),"D.7")</f>
        <v>D.7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IFERROR(__xludf.DUMMYFUNCTION("""COMPUTED_VALUE"""),"HDMI In")</f>
        <v>HDMI In</v>
      </c>
      <c r="L9" s="5"/>
      <c r="M9" s="5" t="str">
        <f>IFERROR(__xludf.DUMMYFUNCTION("""COMPUTED_VALUE"""),"SRT Mochila LiveU Posadas")</f>
        <v>SRT Mochila LiveU Posadas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IFERROR(__xludf.DUMMYFUNCTION("""COMPUTED_VALUE"""),"N/C")</f>
        <v>N/C</v>
      </c>
      <c r="B10" s="5"/>
      <c r="C10" s="5"/>
      <c r="D10" s="5"/>
      <c r="E10" s="5"/>
      <c r="F10" s="5"/>
      <c r="G10" s="5"/>
      <c r="H10" s="5" t="str">
        <f>IFERROR(__xludf.DUMMYFUNCTION("""COMPUTED_VALUE"""),"D.7")</f>
        <v>D.7</v>
      </c>
      <c r="I10" s="5" t="str">
        <f>IFERROR(__xludf.DUMMYFUNCTION("""COMPUTED_VALUE"""),"openGear X")</f>
        <v>openGear X</v>
      </c>
      <c r="J10" s="5">
        <f>IFERROR(__xludf.DUMMYFUNCTION("""COMPUTED_VALUE"""),3.0)</f>
        <v>3</v>
      </c>
      <c r="K10" s="5" t="str">
        <f>IFERROR(__xludf.DUMMYFUNCTION("""COMPUTED_VALUE"""),"HDMI In")</f>
        <v>HDMI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