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<sst xmlns="http://schemas.openxmlformats.org/spreadsheetml/2006/main" count="1894" uniqueCount="539">
  <si>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</si>
  <si>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</si>
  <si>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</si>
  <si>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</si>
  <si>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</si>
  <si>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</si>
  <si>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</si>
  <si>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</si>
  <si>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</si>
  <si>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</si>
  <si>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</si>
  <si>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</si>
  <si>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</si>
  <si>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</si>
  <si>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</si>
  <si>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</si>
  <si>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</si>
  <si>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</si>
  <si>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</si>
  <si>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</si>
  <si>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</si>
  <si>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</si>
  <si>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</si>
  <si>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</si>
  <si>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</si>
  <si>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</si>
  <si>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</si>
  <si>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</si>
  <si>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</si>
  <si>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</si>
  <si>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</si>
  <si>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</si>
  <si>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</si>
  <si>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</si>
  <si>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</si>
  <si>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</si>
  <si>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</si>
  <si>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</si>
  <si>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</si>
  <si>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</si>
  <si>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</si>
  <si>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</si>
  <si>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</si>
  <si>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</si>
  <si>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</si>
  <si>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</si>
  <si>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</si>
  <si>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</si>
  <si>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</si>
  <si>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</si>
  <si>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</si>
  <si>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</si>
  <si>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</si>
  <si>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</si>
  <si>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</si>
  <si>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</si>
  <si>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</si>
  <si>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</si>
  <si>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</si>
  <si>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</si>
  <si>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</si>
  <si>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</si>
  <si>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</si>
  <si>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</si>
  <si>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</si>
  <si>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</si>
  <si>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</si>
  <si>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</si>
  <si>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</si>
  <si>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</si>
  <si>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</si>
  <si>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</si>
  <si>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</si>
  <si>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</si>
  <si>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</si>
  <si>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</si>
  <si>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</si>
  <si>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</si>
  <si>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</si>
  <si>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</si>
  <si>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</si>
  <si>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</si>
  <si>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</si>
  <si>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</si>
  <si>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</si>
  <si>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</si>
  <si>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</si>
  <si>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</si>
  <si>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</si>
  <si>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</si>
  <si>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</si>
  <si>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</si>
  <si>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</si>
  <si>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</si>
  <si>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</si>
  <si>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</si>
  <si>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</si>
  <si>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</si>
  <si>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</si>
  <si>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</si>
  <si>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</si>
  <si>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</si>
  <si>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</si>
  <si>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</si>
  <si>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</si>
  <si>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</si>
  <si>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</si>
  <si>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</si>
  <si>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</si>
  <si>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</si>
  <si>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</si>
  <si>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</si>
  <si>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</si>
  <si>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</si>
  <si>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</si>
  <si>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</si>
  <si>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</si>
  <si>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</si>
  <si>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</si>
  <si>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</si>
  <si>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</si>
  <si>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</si>
  <si>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</si>
  <si>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</si>
  <si>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</si>
  <si>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</si>
  <si>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</si>
  <si>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</si>
  <si>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</si>
  <si>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</si>
  <si>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</si>
  <si>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</si>
  <si>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</si>
  <si>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</si>
  <si>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</si>
  <si>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</si>
  <si>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</si>
  <si>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</si>
  <si>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</si>
  <si>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</si>
  <si>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</si>
  <si>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</si>
  <si>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</si>
  <si>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</si>
  <si>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</si>
  <si>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</si>
  <si>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</si>
  <si>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</si>
  <si>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</si>
  <si>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</si>
  <si>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</si>
  <si>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</si>
  <si>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</si>
  <si>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</si>
  <si>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</si>
  <si>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</si>
  <si>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</si>
  <si>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</si>
  <si>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</si>
  <si>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</si>
  <si>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</si>
  <si>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</si>
  <si>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</si>
  <si>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</si>
  <si>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</si>
  <si>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</si>
  <si>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</si>
  <si>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</si>
  <si>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</si>
  <si>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</si>
  <si>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</si>
  <si>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</si>
  <si>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</si>
  <si>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</si>
  <si>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</si>
  <si>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</si>
  <si>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</si>
  <si>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</si>
  <si>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</si>
  <si>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</si>
  <si>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</si>
  <si>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</si>
  <si>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</si>
  <si>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</si>
  <si>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</si>
  <si>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</si>
  <si>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</si>
  <si>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</si>
  <si>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</si>
  <si>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</si>
  <si>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</si>
  <si>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</si>
  <si>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</si>
  <si>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</si>
  <si>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</si>
  <si>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</si>
  <si>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</si>
  <si>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</si>
  <si>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</si>
  <si>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</si>
  <si>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</si>
  <si>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</si>
  <si>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</si>
  <si>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</si>
  <si>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</si>
  <si>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</si>
  <si>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</si>
  <si>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</si>
  <si>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</si>
  <si>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</si>
  <si>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</si>
  <si>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</si>
  <si>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</si>
  <si>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</si>
  <si>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</si>
  <si>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</si>
  <si>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</si>
  <si>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</si>
  <si>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</si>
  <si>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</si>
  <si>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</si>
  <si>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</si>
  <si>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</si>
  <si>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</si>
  <si>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</si>
  <si>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</si>
  <si>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</si>
  <si>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</si>
  <si>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</si>
  <si>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</si>
  <si>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</si>
  <si>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</si>
  <si>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</si>
  <si>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</si>
  <si>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</si>
  <si>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</si>
  <si>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</si>
  <si>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</si>
  <si>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</si>
  <si>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</si>
  <si>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</si>
  <si>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</si>
  <si>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</si>
  <si>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</si>
  <si>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</si>
  <si>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</si>
  <si>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</si>
  <si>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</si>
  <si>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</si>
  <si>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</si>
  <si>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</si>
  <si>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</si>
  <si>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</si>
  <si>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</si>
  <si>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</si>
  <si>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</si>
  <si>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</si>
  <si>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</si>
  <si>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</si>
  <si>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</si>
  <si>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</si>
  <si>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</si>
  <si>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</si>
  <si>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</si>
  <si>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</si>
  <si>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</si>
  <si>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</si>
  <si>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</si>
  <si>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</si>
  <si>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</si>
  <si>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</si>
  <si>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</si>
  <si>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</si>
  <si>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</si>
  <si>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</si>
  <si>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</si>
  <si>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</si>
  <si>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</si>
  <si>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</si>
  <si>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</si>
  <si>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</si>
  <si>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</si>
  <si>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</si>
  <si>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</si>
  <si>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</si>
  <si>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</si>
  <si>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</si>
  <si>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</si>
  <si>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</si>
  <si>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</si>
  <si>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</si>
  <si>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</si>
  <si>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</si>
  <si>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</si>
  <si>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</si>
  <si>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</si>
  <si>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</si>
  <si>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</si>
  <si>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</si>
  <si>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</si>
  <si>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</si>
  <si>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</si>
  <si>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</si>
  <si>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</si>
  <si>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</si>
  <si>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</si>
  <si>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</si>
  <si>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</si>
  <si>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</si>
  <si>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</si>
  <si>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</si>
  <si>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</si>
  <si>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</si>
  <si>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</si>
  <si>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</si>
  <si>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</si>
  <si>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</si>
  <si>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</si>
  <si>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</si>
  <si>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</si>
  <si>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</si>
  <si>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</si>
  <si>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</si>
  <si>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</si>
  <si>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</si>
  <si>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</si>
  <si>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</si>
  <si>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</si>
  <si>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</si>
  <si>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</si>
  <si>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</si>
  <si>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</si>
  <si>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</si>
  <si>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</si>
  <si>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</si>
  <si>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</si>
  <si>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</si>
  <si>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</si>
  <si>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</si>
  <si>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</si>
  <si>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</si>
  <si>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</si>
  <si>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</si>
  <si>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</si>
  <si>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</si>
  <si>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</si>
  <si>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</si>
  <si>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</si>
  <si>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</si>
  <si>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</si>
  <si>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</si>
  <si>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</si>
  <si>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</si>
  <si>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</si>
  <si>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</si>
  <si>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</si>
  <si>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</si>
  <si>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</si>
  <si>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</si>
  <si>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</si>
  <si>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</si>
  <si>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</si>
  <si>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</si>
  <si>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</si>
  <si>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</si>
  <si>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</si>
  <si>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</si>
  <si>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</si>
  <si>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</si>
  <si>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Emb / De-emb</t>
  </si>
  <si>
    <t>A1</t>
  </si>
  <si>
    <t>A2</t>
  </si>
  <si>
    <t>L.1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</si>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</sst>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6" t="s">
        <v>70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6" t="s">
        <v>75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74</v>
      </c>
      <c r="M20" s="6" t="s">
        <v>78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74</v>
      </c>
      <c r="M21" s="6" t="s">
        <v>80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74</v>
      </c>
      <c r="M22" s="6" t="s">
        <v>83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74</v>
      </c>
      <c r="M23" s="6" t="s">
        <v>85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87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/>
      <c r="N30" s="6" t="s">
        <v>100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73</v>
      </c>
      <c r="L31" s="6" t="s">
        <v>103</v>
      </c>
      <c r="M31" s="6" t="s">
        <v>104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/>
      <c r="L32" s="6" t="s">
        <v>107</v>
      </c>
      <c r="M32" s="6" t="s">
        <v>108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5"/>
      <c r="M33" s="6" t="s">
        <v>111</v>
      </c>
      <c r="N33" s="6" t="s">
        <v>112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138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140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142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146</v>
      </c>
      <c r="M50" s="6" t="s">
        <v>117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153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74</v>
      </c>
      <c r="M57" s="6" t="s">
        <v>161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163</v>
      </c>
      <c r="M58" s="6" t="s">
        <v>164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5"/>
      <c r="M59" s="6" t="s">
        <v>166</v>
      </c>
      <c r="N59" s="6" t="s">
        <v>167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169</v>
      </c>
      <c r="M60" s="6" t="s">
        <v>170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172</v>
      </c>
      <c r="M61" s="6" t="s">
        <v>173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/>
      <c r="L62" s="6" t="s">
        <v>176</v>
      </c>
      <c r="M62" s="6" t="s">
        <v>177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/>
      <c r="L63" s="6" t="s">
        <v>179</v>
      </c>
      <c r="M63" s="6" t="s">
        <v>180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?????</v>
      </c>
      <c r="J64" s="5"/>
      <c r="K64" s="6"/>
      <c r="L64" s="5"/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107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73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73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73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73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91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196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91</v>
      </c>
      <c r="B71" s="7" t="str">
        <f>IF(A71="","",VLOOKUP(A71,DB!A:B,2,0))</f>
        <v>FOR A HVS-390HS</v>
      </c>
      <c r="C71" s="7"/>
      <c r="D71" s="7"/>
      <c r="E71" s="7" t="s">
        <v>197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198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199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200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201</v>
      </c>
      <c r="B73" s="9" t="str">
        <f>IF(A73="","",VLOOKUP(A73,DB!A:B,2,0))</f>
        <v>Telairity BE-IRD 5503</v>
      </c>
      <c r="C73" s="9"/>
      <c r="D73" s="9"/>
      <c r="E73" s="9" t="s">
        <v>202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203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89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204</v>
      </c>
      <c r="B75" s="6" t="str">
        <f>IF(A75="","",VLOOKUP(A75,DB!A:B,2,0))</f>
        <v>openGear X</v>
      </c>
      <c r="C75" s="6">
        <v>2.0</v>
      </c>
      <c r="D75" s="6" t="s">
        <v>205</v>
      </c>
      <c r="E75" s="6" t="s">
        <v>206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207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204</v>
      </c>
      <c r="B76" s="6" t="str">
        <f>IF(A76="","",VLOOKUP(A76,DB!A:B,2,0))</f>
        <v>openGear X</v>
      </c>
      <c r="C76" s="6">
        <v>5.0</v>
      </c>
      <c r="D76" s="6" t="s">
        <v>205</v>
      </c>
      <c r="E76" s="6" t="s">
        <v>206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208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209</v>
      </c>
      <c r="B77" s="6" t="str">
        <f>IF(A77="","",VLOOKUP(A77,DB!A:B,2,0))</f>
        <v>BM OF to SDI</v>
      </c>
      <c r="C77" s="5"/>
      <c r="D77" s="5"/>
      <c r="E77" s="6" t="s">
        <v>206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204</v>
      </c>
      <c r="B78" s="6" t="str">
        <f>IF(A78="","",VLOOKUP(A78,DB!A:B,2,0))</f>
        <v>openGear X</v>
      </c>
      <c r="C78" s="6">
        <v>6.0</v>
      </c>
      <c r="D78" s="6" t="s">
        <v>205</v>
      </c>
      <c r="E78" s="6" t="s">
        <v>206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211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204</v>
      </c>
      <c r="B79" s="6" t="str">
        <f>IF(A79="","",VLOOKUP(A79,DB!A:B,2,0))</f>
        <v>openGear X</v>
      </c>
      <c r="C79" s="6">
        <v>4.0</v>
      </c>
      <c r="D79" s="6" t="s">
        <v>205</v>
      </c>
      <c r="E79" s="6" t="s">
        <v>206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212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89</v>
      </c>
      <c r="N80" s="6" t="s">
        <v>213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204</v>
      </c>
      <c r="B81" s="6" t="str">
        <f>IF(A81="","",VLOOKUP(A81,DB!A:B,2,0))</f>
        <v>openGear X</v>
      </c>
      <c r="C81" s="6">
        <v>3.0</v>
      </c>
      <c r="D81" s="6" t="s">
        <v>205</v>
      </c>
      <c r="E81" s="6" t="s">
        <v>206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215</v>
      </c>
      <c r="B82" s="6" t="str">
        <f>IF(A82="","",VLOOKUP(A82,DB!A:B,2,0))</f>
        <v>Telairity BE-IRD 5501</v>
      </c>
      <c r="C82" s="5"/>
      <c r="D82" s="5"/>
      <c r="E82" s="6" t="s">
        <v>199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216</v>
      </c>
      <c r="M82" s="6" t="s">
        <v>217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218</v>
      </c>
      <c r="B83" s="6" t="str">
        <f>IF(A83="","",VLOOKUP(A83,DB!A:B,2,0))</f>
        <v>Wellav UMH160R</v>
      </c>
      <c r="C83" s="5"/>
      <c r="D83" s="5"/>
      <c r="E83" s="6" t="s">
        <v>199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219</v>
      </c>
      <c r="M83" s="6" t="s">
        <v>220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221</v>
      </c>
      <c r="B84" s="6" t="str">
        <f>IF(A84="","",VLOOKUP(A84,DB!A:B,2,0))</f>
        <v>Wellav UMH160R</v>
      </c>
      <c r="C84" s="5"/>
      <c r="D84" s="5"/>
      <c r="E84" s="6" t="s">
        <v>199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222</v>
      </c>
      <c r="M84" s="6" t="s">
        <v>223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224</v>
      </c>
      <c r="B85" s="6" t="str">
        <f>IF(A85="","",VLOOKUP(A85,DB!A:B,2,0))</f>
        <v>AJA FS2</v>
      </c>
      <c r="C85" s="5"/>
      <c r="D85" s="5"/>
      <c r="E85" s="6" t="s">
        <v>199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225</v>
      </c>
      <c r="M85" s="6" t="s">
        <v>226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227</v>
      </c>
      <c r="B86" s="6" t="str">
        <f>IF(A86="","",VLOOKUP(A86,DB!A:B,2,0))</f>
        <v>CRD1000D</v>
      </c>
      <c r="C86" s="5"/>
      <c r="D86" s="5"/>
      <c r="E86" s="6" t="s">
        <v>228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229</v>
      </c>
      <c r="M86" s="6" t="s">
        <v>230</v>
      </c>
      <c r="N86" s="5"/>
      <c r="O86" s="6" t="s">
        <v>231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232</v>
      </c>
      <c r="M87" s="6" t="s">
        <v>233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234</v>
      </c>
      <c r="B88" s="6" t="str">
        <f>IF(A88="","",VLOOKUP(A88,DB!A:B,2,0))</f>
        <v>Videocasetera</v>
      </c>
      <c r="C88" s="5"/>
      <c r="D88" s="5"/>
      <c r="E88" s="6" t="s">
        <v>235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236</v>
      </c>
      <c r="M88" s="6" t="s">
        <v>237</v>
      </c>
      <c r="N88" s="5"/>
      <c r="O88" s="6" t="s">
        <v>238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239</v>
      </c>
      <c r="M89" s="6" t="s">
        <v>89</v>
      </c>
      <c r="N89" s="6" t="s">
        <v>240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5"/>
      <c r="N90" s="6" t="s">
        <v>213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243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243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243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73</v>
      </c>
      <c r="E94" s="6" t="s">
        <v>250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251</v>
      </c>
      <c r="M94" s="6" t="s">
        <v>252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253</v>
      </c>
      <c r="B95" s="6" t="str">
        <f>IF(A95="","",VLOOKUP(A95,DB!A:B,2,0))</f>
        <v>Blackmagic Multiview 4</v>
      </c>
      <c r="C95" s="5"/>
      <c r="D95" s="5"/>
      <c r="E95" s="6" t="s">
        <v>206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254</v>
      </c>
      <c r="M95" s="6" t="s">
        <v>255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206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256</v>
      </c>
      <c r="M96" s="6" t="s">
        <v>257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258</v>
      </c>
      <c r="M97" s="6" t="s">
        <v>89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259</v>
      </c>
      <c r="B98" s="6" t="str">
        <f>IF(A98="","",VLOOKUP(A98,DB!A:B,2,0))</f>
        <v>Apple TV</v>
      </c>
      <c r="C98" s="5"/>
      <c r="D98" s="5"/>
      <c r="E98" s="6" t="s">
        <v>260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261</v>
      </c>
      <c r="M98" s="6" t="s">
        <v>262</v>
      </c>
      <c r="N98" s="5"/>
      <c r="O98" s="6" t="s">
        <v>263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264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243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265</v>
      </c>
      <c r="M99" s="6" t="s">
        <v>266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264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243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267</v>
      </c>
      <c r="M100" s="6" t="s">
        <v>268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264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243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269</v>
      </c>
      <c r="M101" s="6" t="s">
        <v>270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264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243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271</v>
      </c>
      <c r="M102" s="6" t="s">
        <v>272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264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243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273</v>
      </c>
      <c r="M103" s="6" t="s">
        <v>274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264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243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275</v>
      </c>
      <c r="M104" s="6" t="s">
        <v>276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264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243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277</v>
      </c>
      <c r="M105" s="6" t="s">
        <v>278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279</v>
      </c>
      <c r="B106" s="6" t="str">
        <f>IF(A106="","",VLOOKUP(A106,DB!A:B,2,0))</f>
        <v>Sony HXCU-100 Cam 1</v>
      </c>
      <c r="C106" s="5"/>
      <c r="D106" s="5"/>
      <c r="E106" s="6" t="s">
        <v>199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280</v>
      </c>
      <c r="M106" s="6" t="s">
        <v>281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282</v>
      </c>
      <c r="B107" s="6" t="str">
        <f>IF(A107="","",VLOOKUP(A107,DB!A:B,2,0))</f>
        <v>Sony HXCU-100 Cam 2</v>
      </c>
      <c r="C107" s="5"/>
      <c r="D107" s="5"/>
      <c r="E107" s="6" t="s">
        <v>199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283</v>
      </c>
      <c r="M107" s="6" t="s">
        <v>284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285</v>
      </c>
      <c r="B108" s="6" t="str">
        <f>IF(A108="","",VLOOKUP(A108,DB!A:B,2,0))</f>
        <v>Sony HXCU-100 Cam 3</v>
      </c>
      <c r="C108" s="5"/>
      <c r="D108" s="5"/>
      <c r="E108" s="6" t="s">
        <v>199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286</v>
      </c>
      <c r="M108" s="6" t="s">
        <v>287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288</v>
      </c>
      <c r="B109" s="6" t="str">
        <f>IF(A109="","",VLOOKUP(A109,DB!A:B,2,0))</f>
        <v>Sony HXCU-100 Cam 4</v>
      </c>
      <c r="C109" s="5"/>
      <c r="D109" s="5"/>
      <c r="E109" s="6" t="s">
        <v>199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289</v>
      </c>
      <c r="M109" s="6" t="s">
        <v>290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291</v>
      </c>
      <c r="M110" s="6" t="s">
        <v>89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292</v>
      </c>
      <c r="M111" s="6" t="s">
        <v>89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293</v>
      </c>
      <c r="M112" s="6" t="s">
        <v>89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294</v>
      </c>
      <c r="M113" s="6" t="s">
        <v>89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295</v>
      </c>
      <c r="M114" s="6" t="s">
        <v>89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296</v>
      </c>
      <c r="M115" s="6" t="s">
        <v>89</v>
      </c>
      <c r="N115" s="6" t="s">
        <v>297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298</v>
      </c>
      <c r="M116" s="6" t="s">
        <v>89</v>
      </c>
      <c r="N116" s="6" t="s">
        <v>297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299</v>
      </c>
      <c r="M117" s="6" t="s">
        <v>89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73</v>
      </c>
      <c r="E118" s="6" t="s">
        <v>189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73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199</v>
      </c>
      <c r="F122" s="5"/>
      <c r="G122" s="5"/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164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166</v>
      </c>
      <c r="N123" s="6" t="s">
        <v>167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5"/>
      <c r="G124" s="5"/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5"/>
      <c r="G125" s="5"/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206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73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73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243</v>
      </c>
      <c r="G132" s="6" t="s">
        <v>18</v>
      </c>
      <c r="H132" s="6" t="s">
        <v>89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243</v>
      </c>
      <c r="G133" s="6" t="s">
        <v>45</v>
      </c>
      <c r="H133" s="6" t="s">
        <v>89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243</v>
      </c>
      <c r="G134" s="6" t="s">
        <v>49</v>
      </c>
      <c r="H134" s="6" t="s">
        <v>89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243</v>
      </c>
      <c r="G135" s="6" t="s">
        <v>52</v>
      </c>
      <c r="H135" s="6" t="s">
        <v>89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243</v>
      </c>
      <c r="G136" s="6" t="s">
        <v>55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107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243</v>
      </c>
      <c r="G137" s="6" t="s">
        <v>58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107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243</v>
      </c>
      <c r="G138" s="6" t="s">
        <v>61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107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243</v>
      </c>
      <c r="G139" s="6" t="s">
        <v>64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107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243</v>
      </c>
      <c r="G140" s="6" t="s">
        <v>21</v>
      </c>
      <c r="H140" s="6" t="s">
        <v>89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243</v>
      </c>
      <c r="G141" s="6" t="s">
        <v>24</v>
      </c>
      <c r="H141" s="6" t="s">
        <v>89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243</v>
      </c>
      <c r="G142" s="6" t="s">
        <v>27</v>
      </c>
      <c r="H142" s="6" t="s">
        <v>89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243</v>
      </c>
      <c r="G143" s="6" t="s">
        <v>30</v>
      </c>
      <c r="H143" s="6" t="s">
        <v>89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243</v>
      </c>
      <c r="G144" s="6" t="s">
        <v>33</v>
      </c>
      <c r="H144" s="6" t="s">
        <v>89</v>
      </c>
      <c r="I144" s="5" t="str">
        <f>IF(H144="","",VLOOKUP(H144,DB!A:B,2,0))</f>
        <v/>
      </c>
      <c r="J144" s="6"/>
      <c r="K144" s="6"/>
      <c r="L144" s="6"/>
      <c r="M144" s="6" t="s">
        <v>214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243</v>
      </c>
      <c r="G145" s="6" t="s">
        <v>36</v>
      </c>
      <c r="H145" s="6" t="s">
        <v>89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243</v>
      </c>
      <c r="G146" s="6" t="s">
        <v>39</v>
      </c>
      <c r="H146" s="6" t="s">
        <v>89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243</v>
      </c>
      <c r="G147" s="6" t="s">
        <v>42</v>
      </c>
      <c r="H147" s="6" t="s">
        <v>89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243</v>
      </c>
      <c r="G148" s="6" t="s">
        <v>18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243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243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243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243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243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243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243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243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243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264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243</v>
      </c>
      <c r="G159" s="6" t="s">
        <v>18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264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243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264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243</v>
      </c>
      <c r="G161" s="6" t="s">
        <v>24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264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243</v>
      </c>
      <c r="G162" s="6" t="s">
        <v>27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264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243</v>
      </c>
      <c r="G163" s="6" t="s">
        <v>30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264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243</v>
      </c>
      <c r="G164" s="6" t="s">
        <v>33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264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243</v>
      </c>
      <c r="G165" s="6" t="s">
        <v>36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264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243</v>
      </c>
      <c r="G166" s="6" t="s">
        <v>39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264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243</v>
      </c>
      <c r="G167" s="6" t="s">
        <v>64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243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243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243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243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243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243</v>
      </c>
      <c r="G173" s="6" t="s">
        <v>33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243</v>
      </c>
      <c r="G174" s="6" t="s">
        <v>36</v>
      </c>
      <c r="H174" s="6" t="s">
        <v>89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243</v>
      </c>
      <c r="G175" s="6" t="s">
        <v>39</v>
      </c>
      <c r="H175" s="6" t="s">
        <v>89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243</v>
      </c>
      <c r="G176" s="6" t="s">
        <v>42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243</v>
      </c>
      <c r="G177" s="6" t="s">
        <v>45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243</v>
      </c>
      <c r="G178" s="6" t="s">
        <v>49</v>
      </c>
      <c r="H178" s="6" t="s">
        <v>347</v>
      </c>
      <c r="I178" s="5" t="str">
        <f>IF(H178="","",VLOOKUP(H178,DB!A:B,2,0))</f>
        <v>VIDEObit 3G-LINK-TD</v>
      </c>
      <c r="J178" s="5"/>
      <c r="K178" s="6"/>
      <c r="L178" s="6" t="s">
        <v>163</v>
      </c>
      <c r="M178" s="5"/>
      <c r="N178" s="5"/>
      <c r="O178" s="6" t="s">
        <v>125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243</v>
      </c>
      <c r="G179" s="6" t="s">
        <v>52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243</v>
      </c>
      <c r="G180" s="6" t="s">
        <v>55</v>
      </c>
      <c r="H180" s="6" t="s">
        <v>348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243</v>
      </c>
      <c r="G181" s="6" t="s">
        <v>58</v>
      </c>
      <c r="H181" s="6" t="s">
        <v>349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243</v>
      </c>
      <c r="G182" s="6" t="s">
        <v>61</v>
      </c>
      <c r="H182" s="6" t="s">
        <v>350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243</v>
      </c>
      <c r="G183" s="6" t="s">
        <v>64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202</v>
      </c>
      <c r="F184" s="6" t="s">
        <v>243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6" t="s">
        <v>74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224</v>
      </c>
      <c r="B185" s="6" t="str">
        <f>IF(A185="","",VLOOKUP(A185,DB!A:B,2,0))</f>
        <v>AJA FS2</v>
      </c>
      <c r="C185" s="5"/>
      <c r="D185" s="5"/>
      <c r="E185" s="6" t="s">
        <v>202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206</v>
      </c>
      <c r="F186" s="6" t="s">
        <v>243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351</v>
      </c>
      <c r="F187" s="6" t="s">
        <v>243</v>
      </c>
      <c r="G187" s="6" t="s">
        <v>107</v>
      </c>
      <c r="H187" s="6" t="s">
        <v>352</v>
      </c>
      <c r="I187" s="5" t="str">
        <f>IF(H187="","",VLOOKUP(H187,DB!A:B,2,0))</f>
        <v>Yamaha QL5</v>
      </c>
      <c r="J187" s="5"/>
      <c r="K187" s="6"/>
      <c r="L187" s="6" t="s">
        <v>353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354</v>
      </c>
      <c r="F188" s="6" t="s">
        <v>243</v>
      </c>
      <c r="G188" s="6" t="s">
        <v>107</v>
      </c>
      <c r="H188" s="6" t="s">
        <v>352</v>
      </c>
      <c r="I188" s="5" t="str">
        <f>IF(H188="","",VLOOKUP(H188,DB!A:B,2,0))</f>
        <v>Yamaha QL5</v>
      </c>
      <c r="J188" s="5"/>
      <c r="K188" s="6"/>
      <c r="L188" s="6" t="s">
        <v>355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206</v>
      </c>
      <c r="F189" s="6" t="s">
        <v>243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351</v>
      </c>
      <c r="F190" s="6" t="s">
        <v>243</v>
      </c>
      <c r="G190" s="6" t="s">
        <v>107</v>
      </c>
      <c r="H190" s="6" t="s">
        <v>352</v>
      </c>
      <c r="I190" s="5" t="str">
        <f>IF(H190="","",VLOOKUP(H190,DB!A:B,2,0))</f>
        <v>Yamaha QL5</v>
      </c>
      <c r="J190" s="5"/>
      <c r="K190" s="6"/>
      <c r="L190" s="6" t="s">
        <v>356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354</v>
      </c>
      <c r="F191" s="6" t="s">
        <v>243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/>
      <c r="L191" s="6" t="s">
        <v>89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206</v>
      </c>
      <c r="F192" s="6" t="s">
        <v>243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351</v>
      </c>
      <c r="F193" s="6" t="s">
        <v>243</v>
      </c>
      <c r="G193" s="6" t="s">
        <v>107</v>
      </c>
      <c r="H193" s="6" t="s">
        <v>352</v>
      </c>
      <c r="I193" s="5" t="str">
        <f>IF(H193="","",VLOOKUP(H193,DB!A:B,2,0))</f>
        <v>Yamaha QL5</v>
      </c>
      <c r="J193" s="5"/>
      <c r="K193" s="6"/>
      <c r="L193" s="6" t="s">
        <v>357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354</v>
      </c>
      <c r="F194" s="6" t="s">
        <v>243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/>
      <c r="L194" s="6" t="s">
        <v>89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206</v>
      </c>
      <c r="F195" s="6" t="s">
        <v>243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351</v>
      </c>
      <c r="F196" s="6" t="s">
        <v>243</v>
      </c>
      <c r="G196" s="6" t="s">
        <v>107</v>
      </c>
      <c r="H196" s="6" t="s">
        <v>352</v>
      </c>
      <c r="I196" s="5" t="str">
        <f>IF(H196="","",VLOOKUP(H196,DB!A:B,2,0))</f>
        <v>Yamaha QL5</v>
      </c>
      <c r="J196" s="5"/>
      <c r="K196" s="6"/>
      <c r="L196" s="6" t="s">
        <v>358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354</v>
      </c>
      <c r="F197" s="6" t="s">
        <v>243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/>
      <c r="L197" s="6" t="s">
        <v>89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186</v>
      </c>
      <c r="E198" s="6" t="s">
        <v>206</v>
      </c>
      <c r="F198" s="6" t="s">
        <v>243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/>
      <c r="L198" s="6" t="s">
        <v>89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351</v>
      </c>
      <c r="F199" s="6" t="s">
        <v>243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/>
      <c r="L199" s="6" t="s">
        <v>89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354</v>
      </c>
      <c r="F200" s="6" t="s">
        <v>243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/>
      <c r="L200" s="6" t="s">
        <v>89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145</v>
      </c>
      <c r="E201" s="6" t="s">
        <v>359</v>
      </c>
      <c r="F201" s="6" t="s">
        <v>243</v>
      </c>
      <c r="G201" s="6" t="s">
        <v>146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145</v>
      </c>
      <c r="E202" s="6" t="s">
        <v>361</v>
      </c>
      <c r="F202" s="6" t="s">
        <v>243</v>
      </c>
      <c r="G202" s="6" t="s">
        <v>146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144</v>
      </c>
      <c r="B203" s="6" t="str">
        <f>IF(A203="","",VLOOKUP(A203,DB!A:B,2,0))</f>
        <v>openGear X</v>
      </c>
      <c r="C203" s="6">
        <v>9.0</v>
      </c>
      <c r="D203" s="6" t="s">
        <v>145</v>
      </c>
      <c r="E203" s="6" t="s">
        <v>362</v>
      </c>
      <c r="F203" s="6" t="s">
        <v>243</v>
      </c>
      <c r="G203" s="6" t="s">
        <v>146</v>
      </c>
      <c r="H203" s="6" t="s">
        <v>89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144</v>
      </c>
      <c r="B204" s="6" t="str">
        <f>IF(A204="","",VLOOKUP(A204,DB!A:B,2,0))</f>
        <v>openGear X</v>
      </c>
      <c r="C204" s="6">
        <v>9.0</v>
      </c>
      <c r="D204" s="6" t="s">
        <v>145</v>
      </c>
      <c r="E204" s="6" t="s">
        <v>363</v>
      </c>
      <c r="F204" s="6" t="s">
        <v>243</v>
      </c>
      <c r="G204" s="6" t="s">
        <v>146</v>
      </c>
      <c r="H204" s="6" t="s">
        <v>89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144</v>
      </c>
      <c r="B205" s="6" t="str">
        <f>IF(A205="","",VLOOKUP(A205,DB!A:B,2,0))</f>
        <v>openGear X</v>
      </c>
      <c r="C205" s="6">
        <v>9.0</v>
      </c>
      <c r="D205" s="6" t="s">
        <v>145</v>
      </c>
      <c r="E205" s="6" t="s">
        <v>318</v>
      </c>
      <c r="F205" s="6" t="s">
        <v>243</v>
      </c>
      <c r="G205" s="6" t="s">
        <v>319</v>
      </c>
      <c r="H205" s="6" t="s">
        <v>89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144</v>
      </c>
      <c r="B206" s="6" t="str">
        <f>IF(A206="","",VLOOKUP(A206,DB!A:B,2,0))</f>
        <v>openGear X</v>
      </c>
      <c r="C206" s="6">
        <v>9.0</v>
      </c>
      <c r="D206" s="6" t="s">
        <v>145</v>
      </c>
      <c r="E206" s="6" t="s">
        <v>364</v>
      </c>
      <c r="F206" s="6" t="s">
        <v>243</v>
      </c>
      <c r="G206" s="6" t="s">
        <v>319</v>
      </c>
      <c r="H206" s="6" t="s">
        <v>89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144</v>
      </c>
      <c r="B207" s="6" t="str">
        <f>IF(A207="","",VLOOKUP(A207,DB!A:B,2,0))</f>
        <v>openGear X</v>
      </c>
      <c r="C207" s="6">
        <v>9.0</v>
      </c>
      <c r="D207" s="6" t="s">
        <v>145</v>
      </c>
      <c r="E207" s="6" t="s">
        <v>365</v>
      </c>
      <c r="F207" s="6" t="s">
        <v>243</v>
      </c>
      <c r="G207" s="6" t="s">
        <v>319</v>
      </c>
      <c r="H207" s="6" t="s">
        <v>89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144</v>
      </c>
      <c r="B208" s="6" t="str">
        <f>IF(A208="","",VLOOKUP(A208,DB!A:B,2,0))</f>
        <v>openGear X</v>
      </c>
      <c r="C208" s="6">
        <v>9.0</v>
      </c>
      <c r="D208" s="6" t="s">
        <v>145</v>
      </c>
      <c r="E208" s="6" t="s">
        <v>366</v>
      </c>
      <c r="F208" s="6" t="s">
        <v>243</v>
      </c>
      <c r="G208" s="6" t="s">
        <v>319</v>
      </c>
      <c r="H208" s="6" t="s">
        <v>89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367</v>
      </c>
      <c r="B209" s="6" t="str">
        <f>IF(A209="","",VLOOKUP(A209,DB!A:B,2,0))</f>
        <v>Cisco D9865</v>
      </c>
      <c r="C209" s="5"/>
      <c r="D209" s="5"/>
      <c r="E209" s="6" t="s">
        <v>228</v>
      </c>
      <c r="F209" s="5"/>
      <c r="G209" s="5"/>
      <c r="H209" s="6" t="s">
        <v>224</v>
      </c>
      <c r="I209" s="5" t="str">
        <f>IF(H209="","",VLOOKUP(H209,DB!A:B,2,0))</f>
        <v>AJA FS2</v>
      </c>
      <c r="J209" s="5"/>
      <c r="K209" s="6"/>
      <c r="L209" s="6" t="s">
        <v>368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1.0</v>
      </c>
      <c r="D210" s="6" t="s">
        <v>369</v>
      </c>
      <c r="E210" s="6" t="s">
        <v>206</v>
      </c>
      <c r="F210" s="5"/>
      <c r="G210" s="6"/>
      <c r="H210" s="6" t="s">
        <v>182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1.0</v>
      </c>
      <c r="D211" s="6" t="s">
        <v>369</v>
      </c>
      <c r="E211" s="6" t="s">
        <v>370</v>
      </c>
      <c r="F211" s="5"/>
      <c r="G211" s="6"/>
      <c r="H211" s="6" t="s">
        <v>182</v>
      </c>
      <c r="I211" s="5" t="str">
        <f>IF(H211="","",VLOOKUP(H211,DB!A:B,2,0))</f>
        <v>?????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1.0</v>
      </c>
      <c r="D212" s="6" t="s">
        <v>369</v>
      </c>
      <c r="E212" s="6" t="s">
        <v>371</v>
      </c>
      <c r="F212" s="5"/>
      <c r="G212" s="6"/>
      <c r="H212" s="6" t="s">
        <v>182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2.0</v>
      </c>
      <c r="D213" s="6" t="s">
        <v>369</v>
      </c>
      <c r="E213" s="6" t="s">
        <v>206</v>
      </c>
      <c r="F213" s="5"/>
      <c r="G213" s="6"/>
      <c r="H213" s="6" t="s">
        <v>182</v>
      </c>
      <c r="I213" s="5" t="str">
        <f>IF(H213="","",VLOOKUP(H213,DB!A:B,2,0))</f>
        <v>?????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2.0</v>
      </c>
      <c r="D214" s="6" t="s">
        <v>369</v>
      </c>
      <c r="E214" s="6" t="s">
        <v>370</v>
      </c>
      <c r="F214" s="5"/>
      <c r="G214" s="6"/>
      <c r="H214" s="6" t="s">
        <v>182</v>
      </c>
      <c r="I214" s="5" t="str">
        <f>IF(H214="","",VLOOKUP(H214,DB!A:B,2,0))</f>
        <v>?????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2.0</v>
      </c>
      <c r="D215" s="6" t="s">
        <v>369</v>
      </c>
      <c r="E215" s="6" t="s">
        <v>371</v>
      </c>
      <c r="F215" s="5"/>
      <c r="G215" s="6"/>
      <c r="H215" s="6" t="s">
        <v>182</v>
      </c>
      <c r="I215" s="5" t="str">
        <f>IF(H215="","",VLOOKUP(H215,DB!A:B,2,0))</f>
        <v>?????</v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3.0</v>
      </c>
      <c r="D216" s="6" t="s">
        <v>369</v>
      </c>
      <c r="E216" s="6" t="s">
        <v>370</v>
      </c>
      <c r="F216" s="5"/>
      <c r="G216" s="6"/>
      <c r="H216" s="6" t="s">
        <v>182</v>
      </c>
      <c r="I216" s="5" t="str">
        <f>IF(H216="","",VLOOKUP(H216,DB!A:B,2,0))</f>
        <v>?????</v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5.0</v>
      </c>
      <c r="D217" s="6" t="s">
        <v>186</v>
      </c>
      <c r="E217" s="6" t="s">
        <v>206</v>
      </c>
      <c r="F217" s="6" t="s">
        <v>243</v>
      </c>
      <c r="G217" s="6" t="s">
        <v>107</v>
      </c>
      <c r="H217" s="6" t="s">
        <v>224</v>
      </c>
      <c r="I217" s="5" t="str">
        <f>IF(H217="","",VLOOKUP(H217,DB!A:B,2,0))</f>
        <v>AJA FS2</v>
      </c>
      <c r="J217" s="5"/>
      <c r="K217" s="6"/>
      <c r="L217" s="6" t="s">
        <v>163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5.0</v>
      </c>
      <c r="D218" s="6" t="s">
        <v>369</v>
      </c>
      <c r="E218" s="6" t="s">
        <v>371</v>
      </c>
      <c r="F218" s="6" t="s">
        <v>243</v>
      </c>
      <c r="G218" s="6" t="s">
        <v>107</v>
      </c>
      <c r="H218" s="6" t="s">
        <v>182</v>
      </c>
      <c r="I218" s="5" t="str">
        <f>IF(H218="","",VLOOKUP(H218,DB!A:B,2,0))</f>
        <v>?????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185</v>
      </c>
      <c r="B219" s="6" t="str">
        <f>IF(A219="","",VLOOKUP(A219,DB!A:B,2,0))</f>
        <v>openGear X</v>
      </c>
      <c r="C219" s="6">
        <v>6.0</v>
      </c>
      <c r="D219" s="6" t="s">
        <v>317</v>
      </c>
      <c r="E219" s="6" t="s">
        <v>364</v>
      </c>
      <c r="F219" s="6" t="s">
        <v>243</v>
      </c>
      <c r="G219" s="6" t="s">
        <v>319</v>
      </c>
      <c r="H219" s="6" t="s">
        <v>372</v>
      </c>
      <c r="I219" s="5" t="str">
        <f>IF(H219="","",VLOOKUP(H219,DB!A:B,2,0))</f>
        <v>VIDEOTRON</v>
      </c>
      <c r="J219" s="5"/>
      <c r="K219" s="6"/>
      <c r="L219" s="6" t="s">
        <v>163</v>
      </c>
      <c r="M219" s="5"/>
      <c r="N219" s="6" t="s">
        <v>182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185</v>
      </c>
      <c r="B220" s="6" t="str">
        <f>IF(A220="","",VLOOKUP(A220,DB!A:B,2,0))</f>
        <v>openGear X</v>
      </c>
      <c r="C220" s="6">
        <v>6.0</v>
      </c>
      <c r="D220" s="6" t="s">
        <v>317</v>
      </c>
      <c r="E220" s="6" t="s">
        <v>373</v>
      </c>
      <c r="F220" s="6" t="s">
        <v>243</v>
      </c>
      <c r="G220" s="6" t="s">
        <v>319</v>
      </c>
      <c r="H220" s="6" t="s">
        <v>89</v>
      </c>
      <c r="I220" s="5" t="str">
        <f>IF(H220="","",VLOOKUP(H220,DB!A:B,2,0))</f>
        <v/>
      </c>
      <c r="J220" s="5"/>
      <c r="K220" s="6"/>
      <c r="L220" s="6"/>
      <c r="M220" s="5"/>
      <c r="N220" s="6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185</v>
      </c>
      <c r="B221" s="6" t="str">
        <f>IF(A221="","",VLOOKUP(A221,DB!A:B,2,0))</f>
        <v>openGear X</v>
      </c>
      <c r="C221" s="6">
        <v>6.0</v>
      </c>
      <c r="D221" s="6" t="s">
        <v>317</v>
      </c>
      <c r="E221" s="6" t="s">
        <v>359</v>
      </c>
      <c r="F221" s="6" t="s">
        <v>243</v>
      </c>
      <c r="G221" s="6" t="s">
        <v>319</v>
      </c>
      <c r="H221" s="6" t="s">
        <v>89</v>
      </c>
      <c r="I221" s="5" t="str">
        <f>IF(H221="","",VLOOKUP(H221,DB!A:B,2,0))</f>
        <v/>
      </c>
      <c r="J221" s="5"/>
      <c r="K221" s="6"/>
      <c r="L221" s="6"/>
      <c r="M221" s="5"/>
      <c r="N221" s="6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185</v>
      </c>
      <c r="B222" s="6" t="str">
        <f>IF(A222="","",VLOOKUP(A222,DB!A:B,2,0))</f>
        <v>openGear X</v>
      </c>
      <c r="C222" s="6">
        <v>6.0</v>
      </c>
      <c r="D222" s="6" t="s">
        <v>317</v>
      </c>
      <c r="E222" s="6" t="s">
        <v>361</v>
      </c>
      <c r="F222" s="6" t="s">
        <v>243</v>
      </c>
      <c r="G222" s="6" t="s">
        <v>319</v>
      </c>
      <c r="H222" s="6" t="s">
        <v>89</v>
      </c>
      <c r="I222" s="5" t="str">
        <f>IF(H222="","",VLOOKUP(H222,DB!A:B,2,0))</f>
        <v/>
      </c>
      <c r="J222" s="5"/>
      <c r="K222" s="6"/>
      <c r="L222" s="6"/>
      <c r="M222" s="5"/>
      <c r="N222" s="6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185</v>
      </c>
      <c r="B223" s="6" t="str">
        <f>IF(A223="","",VLOOKUP(A223,DB!A:B,2,0))</f>
        <v>openGear X</v>
      </c>
      <c r="C223" s="6">
        <v>6.0</v>
      </c>
      <c r="D223" s="6" t="s">
        <v>317</v>
      </c>
      <c r="E223" s="6" t="s">
        <v>365</v>
      </c>
      <c r="F223" s="6" t="s">
        <v>243</v>
      </c>
      <c r="G223" s="6" t="s">
        <v>319</v>
      </c>
      <c r="H223" s="6" t="s">
        <v>89</v>
      </c>
      <c r="I223" s="5" t="str">
        <f>IF(H223="","",VLOOKUP(H223,DB!A:B,2,0))</f>
        <v/>
      </c>
      <c r="J223" s="5"/>
      <c r="K223" s="6"/>
      <c r="L223" s="6"/>
      <c r="M223" s="5"/>
      <c r="N223" s="6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185</v>
      </c>
      <c r="B224" s="6" t="str">
        <f>IF(A224="","",VLOOKUP(A224,DB!A:B,2,0))</f>
        <v>openGear X</v>
      </c>
      <c r="C224" s="6">
        <v>6.0</v>
      </c>
      <c r="D224" s="6" t="s">
        <v>317</v>
      </c>
      <c r="E224" s="6" t="s">
        <v>362</v>
      </c>
      <c r="F224" s="6" t="s">
        <v>243</v>
      </c>
      <c r="G224" s="6" t="s">
        <v>319</v>
      </c>
      <c r="H224" s="6" t="s">
        <v>89</v>
      </c>
      <c r="I224" s="5" t="str">
        <f>IF(H224="","",VLOOKUP(H224,DB!A:B,2,0))</f>
        <v/>
      </c>
      <c r="J224" s="5"/>
      <c r="K224" s="6"/>
      <c r="L224" s="6"/>
      <c r="M224" s="5"/>
      <c r="N224" s="6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185</v>
      </c>
      <c r="B225" s="6" t="str">
        <f>IF(A225="","",VLOOKUP(A225,DB!A:B,2,0))</f>
        <v>openGear X</v>
      </c>
      <c r="C225" s="6">
        <v>6.0</v>
      </c>
      <c r="D225" s="6" t="s">
        <v>317</v>
      </c>
      <c r="E225" s="6" t="s">
        <v>366</v>
      </c>
      <c r="F225" s="6" t="s">
        <v>243</v>
      </c>
      <c r="G225" s="6" t="s">
        <v>319</v>
      </c>
      <c r="H225" s="6" t="s">
        <v>89</v>
      </c>
      <c r="I225" s="5" t="str">
        <f>IF(H225="","",VLOOKUP(H225,DB!A:B,2,0))</f>
        <v/>
      </c>
      <c r="J225" s="5"/>
      <c r="K225" s="6"/>
      <c r="L225" s="6"/>
      <c r="M225" s="5"/>
      <c r="N225" s="6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185</v>
      </c>
      <c r="B226" s="6" t="str">
        <f>IF(A226="","",VLOOKUP(A226,DB!A:B,2,0))</f>
        <v>openGear X</v>
      </c>
      <c r="C226" s="6">
        <v>6.0</v>
      </c>
      <c r="D226" s="6" t="s">
        <v>317</v>
      </c>
      <c r="E226" s="6" t="s">
        <v>363</v>
      </c>
      <c r="F226" s="6" t="s">
        <v>243</v>
      </c>
      <c r="G226" s="6" t="s">
        <v>319</v>
      </c>
      <c r="H226" s="6" t="s">
        <v>89</v>
      </c>
      <c r="I226" s="5" t="str">
        <f>IF(H226="","",VLOOKUP(H226,DB!A:B,2,0))</f>
        <v/>
      </c>
      <c r="J226" s="5"/>
      <c r="K226" s="6"/>
      <c r="L226" s="6"/>
      <c r="M226" s="5"/>
      <c r="N226" s="6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374</v>
      </c>
      <c r="B227" s="6" t="str">
        <f>IF(A227="","",VLOOKUP(A227,DB!A:B,2,0))</f>
        <v>Raspberry PI 1</v>
      </c>
      <c r="C227" s="5"/>
      <c r="D227" s="6"/>
      <c r="E227" s="6" t="s">
        <v>260</v>
      </c>
      <c r="F227" s="5"/>
      <c r="G227" s="5"/>
      <c r="H227" s="6" t="s">
        <v>144</v>
      </c>
      <c r="I227" s="5" t="str">
        <f>IF(H227="","",VLOOKUP(H227,DB!A:B,2,0))</f>
        <v>openGear X</v>
      </c>
      <c r="J227" s="6">
        <v>1.0</v>
      </c>
      <c r="K227" s="6" t="s">
        <v>242</v>
      </c>
      <c r="L227" s="6" t="s">
        <v>244</v>
      </c>
      <c r="M227" s="5"/>
      <c r="N227" s="6" t="s">
        <v>375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376</v>
      </c>
      <c r="B228" s="6" t="str">
        <f>IF(A228="","",VLOOKUP(A228,DB!A:B,2,0))</f>
        <v>Raspberry PI 2</v>
      </c>
      <c r="C228" s="5"/>
      <c r="D228" s="6"/>
      <c r="E228" s="6" t="s">
        <v>260</v>
      </c>
      <c r="F228" s="5"/>
      <c r="G228" s="5"/>
      <c r="H228" s="6" t="s">
        <v>144</v>
      </c>
      <c r="I228" s="5" t="str">
        <f>IF(H228="","",VLOOKUP(H228,DB!A:B,2,0))</f>
        <v>openGear X</v>
      </c>
      <c r="J228" s="6">
        <v>2.0</v>
      </c>
      <c r="K228" s="6" t="s">
        <v>242</v>
      </c>
      <c r="L228" s="6" t="s">
        <v>244</v>
      </c>
      <c r="M228" s="5"/>
      <c r="N228" s="6" t="s">
        <v>377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378</v>
      </c>
      <c r="B229" s="6" t="str">
        <f>IF(A229="","",VLOOKUP(A229,DB!A:B,2,0))</f>
        <v>Deco Direccion</v>
      </c>
      <c r="C229" s="5"/>
      <c r="D229" s="5"/>
      <c r="E229" s="6" t="s">
        <v>260</v>
      </c>
      <c r="F229" s="5"/>
      <c r="G229" s="5"/>
      <c r="H229" s="6" t="s">
        <v>264</v>
      </c>
      <c r="I229" s="5" t="str">
        <f>IF(H229="","",VLOOKUP(H229,DB!A:B,2,0))</f>
        <v>Patch Panel</v>
      </c>
      <c r="J229" s="5"/>
      <c r="K229" s="6"/>
      <c r="L229" s="6" t="s">
        <v>42</v>
      </c>
      <c r="M229" s="5"/>
      <c r="N229" s="5"/>
      <c r="O229" s="6" t="s">
        <v>263</v>
      </c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379</v>
      </c>
      <c r="B230" s="6" t="str">
        <f>IF(A230="","",VLOOKUP(A230,DB!A:B,2,0))</f>
        <v>PC Videollamada</v>
      </c>
      <c r="C230" s="6">
        <v>1.0</v>
      </c>
      <c r="D230" s="6" t="s">
        <v>73</v>
      </c>
      <c r="E230" s="6" t="s">
        <v>380</v>
      </c>
      <c r="F230" s="5"/>
      <c r="G230" s="5"/>
      <c r="H230" s="6" t="s">
        <v>264</v>
      </c>
      <c r="I230" s="5" t="str">
        <f>IF(H230="","",VLOOKUP(H230,DB!A:B,2,0))</f>
        <v>Patch Panel</v>
      </c>
      <c r="J230" s="5"/>
      <c r="K230" s="6"/>
      <c r="L230" s="6" t="s">
        <v>58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279</v>
      </c>
      <c r="B231" s="6" t="str">
        <f>IF(A231="","",VLOOKUP(A231,DB!A:B,2,0))</f>
        <v>Sony HXCU-100 Cam 1</v>
      </c>
      <c r="C231" s="5"/>
      <c r="D231" s="5"/>
      <c r="E231" s="6" t="s">
        <v>202</v>
      </c>
      <c r="F231" s="5"/>
      <c r="G231" s="5"/>
      <c r="H231" s="6" t="s">
        <v>253</v>
      </c>
      <c r="I231" s="5" t="str">
        <f>IF(H231="","",VLOOKUP(H231,DB!A:B,2,0))</f>
        <v>Blackmagic Multiview 4</v>
      </c>
      <c r="J231" s="5"/>
      <c r="K231" s="6"/>
      <c r="L231" s="6" t="s">
        <v>18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279</v>
      </c>
      <c r="B232" s="6" t="str">
        <f>IF(A232="","",VLOOKUP(A232,DB!A:B,2,0))</f>
        <v>Sony HXCU-100 Cam 1</v>
      </c>
      <c r="C232" s="5"/>
      <c r="D232" s="5"/>
      <c r="E232" s="6" t="s">
        <v>310</v>
      </c>
      <c r="F232" s="5"/>
      <c r="G232" s="5"/>
      <c r="H232" s="6" t="s">
        <v>91</v>
      </c>
      <c r="I232" s="5" t="str">
        <f>IF(H232="","",VLOOKUP(H232,DB!A:B,2,0))</f>
        <v>FOR A HVS-390HS</v>
      </c>
      <c r="J232" s="5"/>
      <c r="K232" s="6"/>
      <c r="L232" s="6" t="s">
        <v>18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282</v>
      </c>
      <c r="B233" s="6" t="str">
        <f>IF(A233="","",VLOOKUP(A233,DB!A:B,2,0))</f>
        <v>Sony HXCU-100 Cam 2</v>
      </c>
      <c r="C233" s="5"/>
      <c r="D233" s="5"/>
      <c r="E233" s="6" t="s">
        <v>202</v>
      </c>
      <c r="F233" s="5"/>
      <c r="G233" s="5"/>
      <c r="H233" s="6" t="s">
        <v>253</v>
      </c>
      <c r="I233" s="5" t="str">
        <f>IF(H233="","",VLOOKUP(H233,DB!A:B,2,0))</f>
        <v>Blackmagic Multiview 4</v>
      </c>
      <c r="J233" s="5"/>
      <c r="K233" s="6"/>
      <c r="L233" s="6" t="s">
        <v>21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282</v>
      </c>
      <c r="B234" s="6" t="str">
        <f>IF(A234="","",VLOOKUP(A234,DB!A:B,2,0))</f>
        <v>Sony HXCU-100 Cam 2</v>
      </c>
      <c r="C234" s="5"/>
      <c r="D234" s="5"/>
      <c r="E234" s="6" t="s">
        <v>310</v>
      </c>
      <c r="F234" s="5"/>
      <c r="G234" s="5"/>
      <c r="H234" s="6" t="s">
        <v>91</v>
      </c>
      <c r="I234" s="5" t="str">
        <f>IF(H234="","",VLOOKUP(H234,DB!A:B,2,0))</f>
        <v>FOR A HVS-390HS</v>
      </c>
      <c r="J234" s="5"/>
      <c r="K234" s="6"/>
      <c r="L234" s="6" t="s">
        <v>21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285</v>
      </c>
      <c r="B235" s="6" t="str">
        <f>IF(A235="","",VLOOKUP(A235,DB!A:B,2,0))</f>
        <v>Sony HXCU-100 Cam 3</v>
      </c>
      <c r="C235" s="5"/>
      <c r="D235" s="5"/>
      <c r="E235" s="6" t="s">
        <v>202</v>
      </c>
      <c r="F235" s="5"/>
      <c r="G235" s="5"/>
      <c r="H235" s="6" t="s">
        <v>253</v>
      </c>
      <c r="I235" s="5" t="str">
        <f>IF(H235="","",VLOOKUP(H235,DB!A:B,2,0))</f>
        <v>Blackmagic Multiview 4</v>
      </c>
      <c r="J235" s="5"/>
      <c r="K235" s="6"/>
      <c r="L235" s="6" t="s">
        <v>24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285</v>
      </c>
      <c r="B236" s="6" t="str">
        <f>IF(A236="","",VLOOKUP(A236,DB!A:B,2,0))</f>
        <v>Sony HXCU-100 Cam 3</v>
      </c>
      <c r="C236" s="5"/>
      <c r="D236" s="5"/>
      <c r="E236" s="6" t="s">
        <v>310</v>
      </c>
      <c r="F236" s="5"/>
      <c r="G236" s="5"/>
      <c r="H236" s="6" t="s">
        <v>91</v>
      </c>
      <c r="I236" s="5" t="str">
        <f>IF(H236="","",VLOOKUP(H236,DB!A:B,2,0))</f>
        <v>FOR A HVS-390HS</v>
      </c>
      <c r="J236" s="5"/>
      <c r="K236" s="6"/>
      <c r="L236" s="6" t="s">
        <v>24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288</v>
      </c>
      <c r="B237" s="6" t="str">
        <f>IF(A237="","",VLOOKUP(A237,DB!A:B,2,0))</f>
        <v>Sony HXCU-100 Cam 4</v>
      </c>
      <c r="C237" s="5"/>
      <c r="D237" s="5"/>
      <c r="E237" s="6" t="s">
        <v>202</v>
      </c>
      <c r="F237" s="5"/>
      <c r="G237" s="5"/>
      <c r="H237" s="6" t="s">
        <v>253</v>
      </c>
      <c r="I237" s="5" t="str">
        <f>IF(H237="","",VLOOKUP(H237,DB!A:B,2,0))</f>
        <v>Blackmagic Multiview 4</v>
      </c>
      <c r="J237" s="5"/>
      <c r="K237" s="6"/>
      <c r="L237" s="6" t="s">
        <v>27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288</v>
      </c>
      <c r="B238" s="6" t="str">
        <f>IF(A238="","",VLOOKUP(A238,DB!A:B,2,0))</f>
        <v>Sony HXCU-100 Cam 4</v>
      </c>
      <c r="C238" s="5"/>
      <c r="D238" s="5"/>
      <c r="E238" s="6" t="s">
        <v>310</v>
      </c>
      <c r="F238" s="5"/>
      <c r="G238" s="5"/>
      <c r="H238" s="6" t="s">
        <v>91</v>
      </c>
      <c r="I238" s="5" t="str">
        <f>IF(H238="","",VLOOKUP(H238,DB!A:B,2,0))</f>
        <v>FOR A HVS-390HS</v>
      </c>
      <c r="J238" s="5"/>
      <c r="K238" s="6"/>
      <c r="L238" s="6" t="s">
        <v>27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91</v>
      </c>
      <c r="B239" s="6" t="str">
        <f>IF(A239="","",VLOOKUP(A239,DB!A:B,2,0))</f>
        <v>FOR A HVS-390HS</v>
      </c>
      <c r="C239" s="5"/>
      <c r="D239" s="5"/>
      <c r="E239" s="6" t="s">
        <v>381</v>
      </c>
      <c r="F239" s="5"/>
      <c r="G239" s="5"/>
      <c r="H239" s="6" t="s">
        <v>382</v>
      </c>
      <c r="I239" s="5" t="str">
        <f>IF(H239="","",VLOOKUP(H239,DB!A:B,2,0))</f>
        <v>Monitor Director 2</v>
      </c>
      <c r="J239" s="5"/>
      <c r="K239" s="6"/>
      <c r="L239" s="6" t="s">
        <v>244</v>
      </c>
      <c r="M239" s="5"/>
      <c r="N239" s="5"/>
      <c r="O239" s="6" t="s">
        <v>343</v>
      </c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91</v>
      </c>
      <c r="B240" s="6" t="str">
        <f>IF(A240="","",VLOOKUP(A240,DB!A:B,2,0))</f>
        <v>FOR A HVS-390HS</v>
      </c>
      <c r="C240" s="5"/>
      <c r="D240" s="5"/>
      <c r="E240" s="6" t="s">
        <v>383</v>
      </c>
      <c r="F240" s="5"/>
      <c r="G240" s="5"/>
      <c r="H240" s="6" t="s">
        <v>384</v>
      </c>
      <c r="I240" s="5" t="str">
        <f>IF(H240="","",VLOOKUP(H240,DB!A:B,2,0))</f>
        <v>PC Pantalla</v>
      </c>
      <c r="J240" s="5"/>
      <c r="K240" s="6"/>
      <c r="L240" s="6" t="s">
        <v>244</v>
      </c>
      <c r="M240" s="5"/>
      <c r="N240" s="5"/>
      <c r="O240" s="6" t="s">
        <v>385</v>
      </c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91</v>
      </c>
      <c r="B241" s="6" t="str">
        <f>IF(A241="","",VLOOKUP(A241,DB!A:B,2,0))</f>
        <v>FOR A HVS-390HS</v>
      </c>
      <c r="C241" s="5"/>
      <c r="D241" s="5"/>
      <c r="E241" s="6" t="s">
        <v>20</v>
      </c>
      <c r="F241" s="5"/>
      <c r="G241" s="5"/>
      <c r="H241" s="6" t="s">
        <v>386</v>
      </c>
      <c r="I241" s="5" t="str">
        <f>IF(H241="","",VLOOKUP(H241,DB!A:B,2,0))</f>
        <v>AJA HD5DA</v>
      </c>
      <c r="J241" s="5"/>
      <c r="K241" s="6"/>
      <c r="L241" s="6" t="s">
        <v>107</v>
      </c>
      <c r="M241" s="5"/>
      <c r="N241" s="5"/>
      <c r="O241" s="6" t="s">
        <v>387</v>
      </c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386</v>
      </c>
      <c r="B242" s="6" t="str">
        <f>IF(A242="","",VLOOKUP(A242,DB!A:B,2,0))</f>
        <v>AJA HD5DA</v>
      </c>
      <c r="C242" s="5"/>
      <c r="D242" s="5"/>
      <c r="E242" s="6" t="s">
        <v>199</v>
      </c>
      <c r="F242" s="6" t="s">
        <v>243</v>
      </c>
      <c r="G242" s="6" t="s">
        <v>107</v>
      </c>
      <c r="H242" s="6" t="s">
        <v>279</v>
      </c>
      <c r="I242" s="5" t="str">
        <f>IF(H242="","",VLOOKUP(H242,DB!A:B,2,0))</f>
        <v>Sony HXCU-100 Cam 1</v>
      </c>
      <c r="J242" s="5"/>
      <c r="K242" s="6"/>
      <c r="L242" s="6" t="s">
        <v>388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386</v>
      </c>
      <c r="B243" s="6" t="str">
        <f>IF(A243="","",VLOOKUP(A243,DB!A:B,2,0))</f>
        <v>AJA HD5DA</v>
      </c>
      <c r="C243" s="5"/>
      <c r="D243" s="5"/>
      <c r="E243" s="6" t="s">
        <v>202</v>
      </c>
      <c r="F243" s="6" t="s">
        <v>243</v>
      </c>
      <c r="G243" s="6" t="s">
        <v>107</v>
      </c>
      <c r="H243" s="6" t="s">
        <v>282</v>
      </c>
      <c r="I243" s="5" t="str">
        <f>IF(H243="","",VLOOKUP(H243,DB!A:B,2,0))</f>
        <v>Sony HXCU-100 Cam 2</v>
      </c>
      <c r="J243" s="5"/>
      <c r="K243" s="6"/>
      <c r="L243" s="6" t="s">
        <v>388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386</v>
      </c>
      <c r="B244" s="6" t="str">
        <f>IF(A244="","",VLOOKUP(A244,DB!A:B,2,0))</f>
        <v>AJA HD5DA</v>
      </c>
      <c r="C244" s="5"/>
      <c r="D244" s="5"/>
      <c r="E244" s="6" t="s">
        <v>310</v>
      </c>
      <c r="F244" s="6" t="s">
        <v>243</v>
      </c>
      <c r="G244" s="6" t="s">
        <v>107</v>
      </c>
      <c r="H244" s="6" t="s">
        <v>285</v>
      </c>
      <c r="I244" s="5" t="str">
        <f>IF(H244="","",VLOOKUP(H244,DB!A:B,2,0))</f>
        <v>Sony HXCU-100 Cam 3</v>
      </c>
      <c r="J244" s="5"/>
      <c r="K244" s="6"/>
      <c r="L244" s="6" t="s">
        <v>388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386</v>
      </c>
      <c r="B245" s="6" t="str">
        <f>IF(A245="","",VLOOKUP(A245,DB!A:B,2,0))</f>
        <v>AJA HD5DA</v>
      </c>
      <c r="C245" s="5"/>
      <c r="D245" s="5"/>
      <c r="E245" s="6" t="s">
        <v>313</v>
      </c>
      <c r="F245" s="6" t="s">
        <v>243</v>
      </c>
      <c r="G245" s="6" t="s">
        <v>107</v>
      </c>
      <c r="H245" s="6" t="s">
        <v>288</v>
      </c>
      <c r="I245" s="5" t="str">
        <f>IF(H245="","",VLOOKUP(H245,DB!A:B,2,0))</f>
        <v>Sony HXCU-100 Cam 4</v>
      </c>
      <c r="J245" s="5"/>
      <c r="K245" s="6"/>
      <c r="L245" s="6" t="s">
        <v>388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389</v>
      </c>
      <c r="B246" s="6" t="str">
        <f>IF(A246="","",VLOOKUP(A246,DB!A:B,2,0))</f>
        <v>Patch Estudio</v>
      </c>
      <c r="C246" s="5"/>
      <c r="D246" s="5"/>
      <c r="E246" s="6" t="s">
        <v>390</v>
      </c>
      <c r="F246" s="5"/>
      <c r="G246" s="5"/>
      <c r="H246" s="6" t="s">
        <v>264</v>
      </c>
      <c r="I246" s="5" t="str">
        <f>IF(H246="","",VLOOKUP(H246,DB!A:B,2,0))</f>
        <v>Patch Panel</v>
      </c>
      <c r="J246" s="5"/>
      <c r="K246" s="6"/>
      <c r="L246" s="6" t="s">
        <v>61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264</v>
      </c>
      <c r="I247" s="5" t="str">
        <f>IF(H247="","",VLOOKUP(H247,DB!A:B,2,0))</f>
        <v>Patch Panel</v>
      </c>
      <c r="J247" s="5"/>
      <c r="K247" s="6"/>
      <c r="L247" s="6" t="s">
        <v>18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264</v>
      </c>
      <c r="I248" s="5" t="str">
        <f>IF(H248="","",VLOOKUP(H248,DB!A:B,2,0))</f>
        <v>Patch Panel</v>
      </c>
      <c r="J248" s="5"/>
      <c r="K248" s="6"/>
      <c r="L248" s="6" t="s">
        <v>21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89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264</v>
      </c>
      <c r="I249" s="5" t="str">
        <f>IF(H249="","",VLOOKUP(H249,DB!A:B,2,0))</f>
        <v>Patch Panel</v>
      </c>
      <c r="J249" s="5"/>
      <c r="K249" s="6"/>
      <c r="L249" s="6" t="s">
        <v>24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89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264</v>
      </c>
      <c r="I250" s="5" t="str">
        <f>IF(H250="","",VLOOKUP(H250,DB!A:B,2,0))</f>
        <v>Patch Panel</v>
      </c>
      <c r="J250" s="5"/>
      <c r="K250" s="6"/>
      <c r="L250" s="6" t="s">
        <v>27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89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264</v>
      </c>
      <c r="I251" s="5" t="str">
        <f>IF(H251="","",VLOOKUP(H251,DB!A:B,2,0))</f>
        <v>Patch Panel</v>
      </c>
      <c r="J251" s="5"/>
      <c r="K251" s="6"/>
      <c r="L251" s="6" t="s">
        <v>30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89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264</v>
      </c>
      <c r="I252" s="5" t="str">
        <f>IF(H252="","",VLOOKUP(H252,DB!A:B,2,0))</f>
        <v>Patch Panel</v>
      </c>
      <c r="J252" s="5"/>
      <c r="K252" s="6"/>
      <c r="L252" s="6" t="s">
        <v>33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89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264</v>
      </c>
      <c r="I253" s="5" t="str">
        <f>IF(H253="","",VLOOKUP(H253,DB!A:B,2,0))</f>
        <v>Patch Panel</v>
      </c>
      <c r="J253" s="5"/>
      <c r="K253" s="6"/>
      <c r="L253" s="6" t="s">
        <v>36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89</v>
      </c>
      <c r="B254" s="6" t="str">
        <f>IF(A254="","",VLOOKUP(A254,DB!A:B,2,0))</f>
        <v/>
      </c>
      <c r="C254" s="5"/>
      <c r="D254" s="5"/>
      <c r="E254" s="5"/>
      <c r="F254" s="5"/>
      <c r="G254" s="5"/>
      <c r="H254" s="6" t="s">
        <v>264</v>
      </c>
      <c r="I254" s="5" t="str">
        <f>IF(H254="","",VLOOKUP(H254,DB!A:B,2,0))</f>
        <v>Patch Panel</v>
      </c>
      <c r="J254" s="5"/>
      <c r="K254" s="6"/>
      <c r="L254" s="6" t="s">
        <v>39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89</v>
      </c>
      <c r="B255" s="6" t="str">
        <f>IF(A255="","",VLOOKUP(A255,DB!A:B,2,0))</f>
        <v/>
      </c>
      <c r="C255" s="5"/>
      <c r="D255" s="5"/>
      <c r="E255" s="5"/>
      <c r="F255" s="5"/>
      <c r="G255" s="5"/>
      <c r="H255" s="6" t="s">
        <v>264</v>
      </c>
      <c r="I255" s="5" t="str">
        <f>IF(H255="","",VLOOKUP(H255,DB!A:B,2,0))</f>
        <v>Patch Panel</v>
      </c>
      <c r="J255" s="5"/>
      <c r="K255" s="6"/>
      <c r="L255" s="6" t="s">
        <v>45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89</v>
      </c>
      <c r="B256" s="6" t="str">
        <f>IF(A256="","",VLOOKUP(A256,DB!A:B,2,0))</f>
        <v/>
      </c>
      <c r="C256" s="5"/>
      <c r="D256" s="5"/>
      <c r="E256" s="5"/>
      <c r="F256" s="5"/>
      <c r="G256" s="5"/>
      <c r="H256" s="6" t="s">
        <v>264</v>
      </c>
      <c r="I256" s="5" t="str">
        <f>IF(H256="","",VLOOKUP(H256,DB!A:B,2,0))</f>
        <v>Patch Panel</v>
      </c>
      <c r="J256" s="5"/>
      <c r="K256" s="6"/>
      <c r="L256" s="6" t="s">
        <v>49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89</v>
      </c>
      <c r="B257" s="6" t="str">
        <f>IF(A257="","",VLOOKUP(A257,DB!A:B,2,0))</f>
        <v/>
      </c>
      <c r="C257" s="5"/>
      <c r="D257" s="5"/>
      <c r="E257" s="5"/>
      <c r="F257" s="5"/>
      <c r="G257" s="5"/>
      <c r="H257" s="6" t="s">
        <v>264</v>
      </c>
      <c r="I257" s="5" t="str">
        <f>IF(H257="","",VLOOKUP(H257,DB!A:B,2,0))</f>
        <v>Patch Panel</v>
      </c>
      <c r="J257" s="5"/>
      <c r="K257" s="6"/>
      <c r="L257" s="6" t="s">
        <v>52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89</v>
      </c>
      <c r="B258" s="6" t="str">
        <f>IF(A258="","",VLOOKUP(A258,DB!A:B,2,0))</f>
        <v/>
      </c>
      <c r="C258" s="5"/>
      <c r="D258" s="5"/>
      <c r="E258" s="5"/>
      <c r="F258" s="5"/>
      <c r="G258" s="5"/>
      <c r="H258" s="6" t="s">
        <v>264</v>
      </c>
      <c r="I258" s="5" t="str">
        <f>IF(H258="","",VLOOKUP(H258,DB!A:B,2,0))</f>
        <v>Patch Panel</v>
      </c>
      <c r="J258" s="5"/>
      <c r="K258" s="6"/>
      <c r="L258" s="6" t="s">
        <v>55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89</v>
      </c>
      <c r="B259" s="6" t="str">
        <f>IF(A259="","",VLOOKUP(A259,DB!A:B,2,0))</f>
        <v/>
      </c>
      <c r="C259" s="5"/>
      <c r="D259" s="5"/>
      <c r="E259" s="5"/>
      <c r="F259" s="5"/>
      <c r="G259" s="5"/>
      <c r="H259" s="6" t="s">
        <v>264</v>
      </c>
      <c r="I259" s="5" t="str">
        <f>IF(H259="","",VLOOKUP(H259,DB!A:B,2,0))</f>
        <v>Patch Panel</v>
      </c>
      <c r="J259" s="5"/>
      <c r="K259" s="6"/>
      <c r="L259" s="6" t="s">
        <v>64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89</v>
      </c>
      <c r="B260" s="6" t="str">
        <f>IF(A260="","",VLOOKUP(A260,DB!A:B,2,0))</f>
        <v/>
      </c>
      <c r="C260" s="5"/>
      <c r="D260" s="5"/>
      <c r="E260" s="5"/>
      <c r="F260" s="5"/>
      <c r="G260" s="5"/>
      <c r="H260" s="6" t="s">
        <v>17</v>
      </c>
      <c r="I260" s="5" t="str">
        <f>IF(H260="","",VLOOKUP(H260,DB!A:B,2,0))</f>
        <v>Blackmagic 12 x 12</v>
      </c>
      <c r="J260" s="5"/>
      <c r="K260" s="6"/>
      <c r="L260" s="6" t="s">
        <v>49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89</v>
      </c>
      <c r="B261" s="6" t="str">
        <f>IF(A261="","",VLOOKUP(A261,DB!A:B,2,0))</f>
        <v/>
      </c>
      <c r="C261" s="5"/>
      <c r="D261" s="5"/>
      <c r="E261" s="5"/>
      <c r="F261" s="5"/>
      <c r="G261" s="5"/>
      <c r="H261" s="6" t="s">
        <v>17</v>
      </c>
      <c r="I261" s="5" t="str">
        <f>IF(H261="","",VLOOKUP(H261,DB!A:B,2,0))</f>
        <v>Blackmagic 12 x 12</v>
      </c>
      <c r="J261" s="5"/>
      <c r="K261" s="6"/>
      <c r="L261" s="6" t="s">
        <v>52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89</v>
      </c>
      <c r="B262" s="6" t="str">
        <f>IF(A262="","",VLOOKUP(A262,DB!A:B,2,0))</f>
        <v/>
      </c>
      <c r="C262" s="5"/>
      <c r="D262" s="6"/>
      <c r="E262" s="6"/>
      <c r="F262" s="5"/>
      <c r="G262" s="5"/>
      <c r="H262" s="6" t="s">
        <v>144</v>
      </c>
      <c r="I262" s="5" t="str">
        <f>IF(H262="","",VLOOKUP(H262,DB!A:B,2,0))</f>
        <v>openGear X</v>
      </c>
      <c r="J262" s="6">
        <v>3.0</v>
      </c>
      <c r="K262" s="6" t="s">
        <v>242</v>
      </c>
      <c r="L262" s="6" t="s">
        <v>244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224</v>
      </c>
      <c r="B263" s="6" t="str">
        <f>IF(A263="","",VLOOKUP(A263,DB!A:B,2,0))</f>
        <v>AJA FS2</v>
      </c>
      <c r="C263" s="5"/>
      <c r="D263" s="6"/>
      <c r="E263" s="6" t="s">
        <v>391</v>
      </c>
      <c r="F263" s="5"/>
      <c r="G263" s="5"/>
      <c r="H263" s="6" t="s">
        <v>392</v>
      </c>
      <c r="I263" s="5" t="str">
        <f>IF(H263="","",VLOOKUP(H263,DB!A:B,2,0))</f>
        <v>Digiwave DSC-131</v>
      </c>
      <c r="J263" s="6"/>
      <c r="K263" s="6"/>
      <c r="L263" s="6" t="s">
        <v>393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392</v>
      </c>
      <c r="B264" s="6" t="str">
        <f>IF(A264="","",VLOOKUP(A264,DB!A:B,2,0))</f>
        <v>Digiwave DSC-131</v>
      </c>
      <c r="C264" s="5"/>
      <c r="D264" s="6"/>
      <c r="E264" s="6" t="s">
        <v>394</v>
      </c>
      <c r="F264" s="5"/>
      <c r="G264" s="5"/>
      <c r="H264" s="6" t="s">
        <v>395</v>
      </c>
      <c r="I264" s="5" t="str">
        <f>IF(H264="","",VLOOKUP(H264,DB!A:B,2,0))</f>
        <v>vidicraft vst2110</v>
      </c>
      <c r="J264" s="6"/>
      <c r="K264" s="6"/>
      <c r="L264" s="6" t="s">
        <v>396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397</v>
      </c>
      <c r="B265" s="6" t="str">
        <f>IF(A265="","",VLOOKUP(A265,DB!A:B,2,0))</f>
        <v>tc electronic Finalizer</v>
      </c>
      <c r="C265" s="5"/>
      <c r="D265" s="6"/>
      <c r="E265" s="6" t="s">
        <v>398</v>
      </c>
      <c r="F265" s="5"/>
      <c r="G265" s="5"/>
      <c r="H265" s="6" t="s">
        <v>224</v>
      </c>
      <c r="I265" s="5" t="str">
        <f>IF(H265="","",VLOOKUP(H265,DB!A:B,2,0))</f>
        <v>AJA FS2</v>
      </c>
      <c r="J265" s="6"/>
      <c r="K265" s="6"/>
      <c r="L265" s="6" t="s">
        <v>399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397</v>
      </c>
      <c r="B266" s="6" t="str">
        <f>IF(A266="","",VLOOKUP(A266,DB!A:B,2,0))</f>
        <v>tc electronic Finalizer</v>
      </c>
      <c r="C266" s="5"/>
      <c r="D266" s="6"/>
      <c r="E266" s="6" t="s">
        <v>400</v>
      </c>
      <c r="F266" s="5"/>
      <c r="G266" s="5"/>
      <c r="H266" s="6" t="s">
        <v>89</v>
      </c>
      <c r="I266" s="5" t="str">
        <f>IF(H266="","",VLOOKUP(H266,DB!A:B,2,0))</f>
        <v/>
      </c>
      <c r="J266" s="6"/>
      <c r="K266" s="6"/>
      <c r="L266" s="6"/>
      <c r="M266" s="5"/>
      <c r="N266" s="6" t="s">
        <v>240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397</v>
      </c>
      <c r="B267" s="6" t="str">
        <f>IF(A267="","",VLOOKUP(A267,DB!A:B,2,0))</f>
        <v>tc electronic Finalizer</v>
      </c>
      <c r="C267" s="5"/>
      <c r="D267" s="6"/>
      <c r="E267" s="6" t="s">
        <v>401</v>
      </c>
      <c r="F267" s="5"/>
      <c r="G267" s="5"/>
      <c r="H267" s="6" t="s">
        <v>89</v>
      </c>
      <c r="I267" s="5" t="str">
        <f>IF(H267="","",VLOOKUP(H267,DB!A:B,2,0))</f>
        <v/>
      </c>
      <c r="J267" s="6"/>
      <c r="K267" s="6"/>
      <c r="L267" s="6"/>
      <c r="M267" s="5"/>
      <c r="N267" s="6" t="s">
        <v>240</v>
      </c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402</v>
      </c>
      <c r="B268" s="6" t="str">
        <f>IF(A268="","",VLOOKUP(A268,DB!A:B,2,0))</f>
        <v>Videotron DV100-EQ</v>
      </c>
      <c r="C268" s="5"/>
      <c r="D268" s="6"/>
      <c r="E268" s="6" t="s">
        <v>16</v>
      </c>
      <c r="F268" s="6" t="s">
        <v>243</v>
      </c>
      <c r="G268" s="6" t="s">
        <v>18</v>
      </c>
      <c r="H268" s="6" t="s">
        <v>188</v>
      </c>
      <c r="I268" s="5" t="str">
        <f>IF(H268="","",VLOOKUP(H268,DB!A:B,2,0))</f>
        <v>Player A</v>
      </c>
      <c r="J268" s="6">
        <v>1.0</v>
      </c>
      <c r="K268" s="6" t="s">
        <v>73</v>
      </c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402</v>
      </c>
      <c r="B269" s="6" t="str">
        <f>IF(A269="","",VLOOKUP(A269,DB!A:B,2,0))</f>
        <v>Videotron DV100-EQ</v>
      </c>
      <c r="C269" s="5"/>
      <c r="D269" s="6"/>
      <c r="E269" s="6" t="s">
        <v>20</v>
      </c>
      <c r="F269" s="6" t="s">
        <v>243</v>
      </c>
      <c r="G269" s="6" t="s">
        <v>18</v>
      </c>
      <c r="H269" s="6" t="s">
        <v>188</v>
      </c>
      <c r="I269" s="5" t="str">
        <f>IF(H269="","",VLOOKUP(H269,DB!A:B,2,0))</f>
        <v>Player A</v>
      </c>
      <c r="J269" s="6">
        <v>2.0</v>
      </c>
      <c r="K269" s="6" t="s">
        <v>73</v>
      </c>
      <c r="L269" s="6" t="s">
        <v>403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402</v>
      </c>
      <c r="B270" s="6" t="str">
        <f>IF(A270="","",VLOOKUP(A270,DB!A:B,2,0))</f>
        <v>Videotron DV100-EQ</v>
      </c>
      <c r="C270" s="5"/>
      <c r="D270" s="6"/>
      <c r="E270" s="6" t="s">
        <v>23</v>
      </c>
      <c r="F270" s="6" t="s">
        <v>243</v>
      </c>
      <c r="G270" s="6" t="s">
        <v>18</v>
      </c>
      <c r="H270" s="6" t="s">
        <v>191</v>
      </c>
      <c r="I270" s="5" t="str">
        <f>IF(H270="","",VLOOKUP(H270,DB!A:B,2,0))</f>
        <v>Player B</v>
      </c>
      <c r="J270" s="6">
        <v>1.0</v>
      </c>
      <c r="K270" s="6" t="s">
        <v>73</v>
      </c>
      <c r="L270" s="6" t="s">
        <v>403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402</v>
      </c>
      <c r="B271" s="6" t="str">
        <f>IF(A271="","",VLOOKUP(A271,DB!A:B,2,0))</f>
        <v>Videotron DV100-EQ</v>
      </c>
      <c r="C271" s="5"/>
      <c r="D271" s="6"/>
      <c r="E271" s="6" t="s">
        <v>26</v>
      </c>
      <c r="F271" s="6" t="s">
        <v>243</v>
      </c>
      <c r="G271" s="6" t="s">
        <v>18</v>
      </c>
      <c r="H271" s="6" t="s">
        <v>191</v>
      </c>
      <c r="I271" s="5" t="str">
        <f>IF(H271="","",VLOOKUP(H271,DB!A:B,2,0))</f>
        <v>Player B</v>
      </c>
      <c r="J271" s="6">
        <v>2.0</v>
      </c>
      <c r="K271" s="6" t="s">
        <v>73</v>
      </c>
      <c r="L271" s="6" t="s">
        <v>403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402</v>
      </c>
      <c r="B272" s="6" t="str">
        <f>IF(A272="","",VLOOKUP(A272,DB!A:B,2,0))</f>
        <v>Videotron DV100-EQ</v>
      </c>
      <c r="C272" s="5"/>
      <c r="D272" s="6"/>
      <c r="E272" s="6" t="s">
        <v>29</v>
      </c>
      <c r="F272" s="6" t="s">
        <v>243</v>
      </c>
      <c r="G272" s="6" t="s">
        <v>18</v>
      </c>
      <c r="H272" s="6" t="s">
        <v>193</v>
      </c>
      <c r="I272" s="5" t="str">
        <f>IF(H272="","",VLOOKUP(H272,DB!A:B,2,0))</f>
        <v>Player C</v>
      </c>
      <c r="J272" s="6">
        <v>1.0</v>
      </c>
      <c r="K272" s="6" t="s">
        <v>73</v>
      </c>
      <c r="L272" s="6" t="s">
        <v>403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402</v>
      </c>
      <c r="B273" s="6" t="str">
        <f>IF(A273="","",VLOOKUP(A273,DB!A:B,2,0))</f>
        <v>Videotron DV100-EQ</v>
      </c>
      <c r="C273" s="5"/>
      <c r="D273" s="6"/>
      <c r="E273" s="6" t="s">
        <v>32</v>
      </c>
      <c r="F273" s="6" t="s">
        <v>243</v>
      </c>
      <c r="G273" s="6" t="s">
        <v>18</v>
      </c>
      <c r="H273" s="6" t="s">
        <v>193</v>
      </c>
      <c r="I273" s="5" t="str">
        <f>IF(H273="","",VLOOKUP(H273,DB!A:B,2,0))</f>
        <v>Player C</v>
      </c>
      <c r="J273" s="6">
        <v>2.0</v>
      </c>
      <c r="K273" s="6" t="s">
        <v>73</v>
      </c>
      <c r="L273" s="6" t="s">
        <v>403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402</v>
      </c>
      <c r="B274" s="6" t="str">
        <f>IF(A274="","",VLOOKUP(A274,DB!A:B,2,0))</f>
        <v>Videotron DV100-EQ</v>
      </c>
      <c r="C274" s="5"/>
      <c r="D274" s="6"/>
      <c r="E274" s="6" t="s">
        <v>35</v>
      </c>
      <c r="F274" s="6" t="s">
        <v>243</v>
      </c>
      <c r="G274" s="6" t="s">
        <v>18</v>
      </c>
      <c r="H274" s="6" t="s">
        <v>89</v>
      </c>
      <c r="I274" s="5" t="str">
        <f>IF(H274="","",VLOOKUP(H274,DB!A:B,2,0))</f>
        <v/>
      </c>
      <c r="J274" s="6"/>
      <c r="K274" s="6"/>
      <c r="L274" s="6"/>
      <c r="M274" s="5"/>
      <c r="N274" s="6" t="s">
        <v>404</v>
      </c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402</v>
      </c>
      <c r="B275" s="6" t="str">
        <f>IF(A275="","",VLOOKUP(A275,DB!A:B,2,0))</f>
        <v>Videotron DV100-EQ</v>
      </c>
      <c r="C275" s="5"/>
      <c r="D275" s="6"/>
      <c r="E275" s="6" t="s">
        <v>38</v>
      </c>
      <c r="F275" s="6" t="s">
        <v>243</v>
      </c>
      <c r="G275" s="6" t="s">
        <v>18</v>
      </c>
      <c r="H275" s="6" t="s">
        <v>89</v>
      </c>
      <c r="I275" s="5" t="str">
        <f>IF(H275="","",VLOOKUP(H275,DB!A:B,2,0))</f>
        <v/>
      </c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188</v>
      </c>
      <c r="B276" s="6" t="str">
        <f>IF(A276="","",VLOOKUP(A276,DB!A:B,2,0))</f>
        <v>Player A</v>
      </c>
      <c r="C276" s="6">
        <v>2.0</v>
      </c>
      <c r="D276" s="6" t="s">
        <v>73</v>
      </c>
      <c r="E276" s="6" t="s">
        <v>405</v>
      </c>
      <c r="F276" s="5"/>
      <c r="G276" s="5"/>
      <c r="H276" s="6" t="s">
        <v>352</v>
      </c>
      <c r="I276" s="5" t="str">
        <f>IF(H276="","",VLOOKUP(H276,DB!A:B,2,0))</f>
        <v>Yamaha QL5</v>
      </c>
      <c r="J276" s="6"/>
      <c r="K276" s="6"/>
      <c r="L276" s="6" t="s">
        <v>406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182</v>
      </c>
      <c r="B277" s="6" t="str">
        <f>IF(A277="","",VLOOKUP(A277,DB!A:B,2,0))</f>
        <v>?????</v>
      </c>
      <c r="C277" s="5"/>
      <c r="D277" s="6"/>
      <c r="E277" s="6"/>
      <c r="F277" s="5"/>
      <c r="G277" s="5"/>
      <c r="H277" s="6" t="s">
        <v>204</v>
      </c>
      <c r="I277" s="5" t="str">
        <f>IF(H277="","",VLOOKUP(H277,DB!A:B,2,0))</f>
        <v>openGear X</v>
      </c>
      <c r="J277" s="6">
        <v>1.0</v>
      </c>
      <c r="K277" s="6" t="s">
        <v>317</v>
      </c>
      <c r="L277" s="6" t="s">
        <v>319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204</v>
      </c>
      <c r="B278" s="6" t="str">
        <f>IF(A278="","",VLOOKUP(A278,DB!A:B,2,0))</f>
        <v>openGear X</v>
      </c>
      <c r="C278" s="6">
        <v>1.0</v>
      </c>
      <c r="D278" s="6" t="s">
        <v>317</v>
      </c>
      <c r="E278" s="6" t="s">
        <v>407</v>
      </c>
      <c r="F278" s="6" t="s">
        <v>243</v>
      </c>
      <c r="G278" s="6" t="s">
        <v>319</v>
      </c>
      <c r="H278" s="6" t="s">
        <v>204</v>
      </c>
      <c r="I278" s="5" t="str">
        <f>IF(H278="","",VLOOKUP(H278,DB!A:B,2,0))</f>
        <v>openGear X</v>
      </c>
      <c r="J278" s="6" t="s">
        <v>182</v>
      </c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204</v>
      </c>
      <c r="B279" s="6" t="str">
        <f>IF(A279="","",VLOOKUP(A279,DB!A:B,2,0))</f>
        <v>openGear X</v>
      </c>
      <c r="C279" s="6">
        <v>1.0</v>
      </c>
      <c r="D279" s="6" t="s">
        <v>317</v>
      </c>
      <c r="E279" s="6" t="s">
        <v>408</v>
      </c>
      <c r="F279" s="6" t="s">
        <v>243</v>
      </c>
      <c r="G279" s="6" t="s">
        <v>319</v>
      </c>
      <c r="H279" s="6" t="s">
        <v>204</v>
      </c>
      <c r="I279" s="5" t="str">
        <f>IF(H279="","",VLOOKUP(H279,DB!A:B,2,0))</f>
        <v>openGear X</v>
      </c>
      <c r="J279" s="6" t="s">
        <v>182</v>
      </c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204</v>
      </c>
      <c r="B280" s="6" t="str">
        <f>IF(A280="","",VLOOKUP(A280,DB!A:B,2,0))</f>
        <v>openGear X</v>
      </c>
      <c r="C280" s="6">
        <v>1.0</v>
      </c>
      <c r="D280" s="6" t="s">
        <v>317</v>
      </c>
      <c r="E280" s="6" t="s">
        <v>409</v>
      </c>
      <c r="F280" s="6" t="s">
        <v>243</v>
      </c>
      <c r="G280" s="6" t="s">
        <v>319</v>
      </c>
      <c r="H280" s="6" t="s">
        <v>204</v>
      </c>
      <c r="I280" s="5" t="str">
        <f>IF(H280="","",VLOOKUP(H280,DB!A:B,2,0))</f>
        <v>openGear X</v>
      </c>
      <c r="J280" s="6" t="s">
        <v>182</v>
      </c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204</v>
      </c>
      <c r="B281" s="6" t="str">
        <f>IF(A281="","",VLOOKUP(A281,DB!A:B,2,0))</f>
        <v>openGear X</v>
      </c>
      <c r="C281" s="6">
        <v>1.0</v>
      </c>
      <c r="D281" s="6" t="s">
        <v>317</v>
      </c>
      <c r="E281" s="6" t="s">
        <v>410</v>
      </c>
      <c r="F281" s="6" t="s">
        <v>243</v>
      </c>
      <c r="G281" s="6" t="s">
        <v>319</v>
      </c>
      <c r="H281" s="6" t="s">
        <v>204</v>
      </c>
      <c r="I281" s="5" t="str">
        <f>IF(H281="","",VLOOKUP(H281,DB!A:B,2,0))</f>
        <v>openGear X</v>
      </c>
      <c r="J281" s="6">
        <v>3.0</v>
      </c>
      <c r="K281" s="14" t="s">
        <v>205</v>
      </c>
      <c r="L281" s="6" t="s">
        <v>107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204</v>
      </c>
      <c r="B282" s="6" t="str">
        <f>IF(A282="","",VLOOKUP(A282,DB!A:B,2,0))</f>
        <v>openGear X</v>
      </c>
      <c r="C282" s="6">
        <v>1.0</v>
      </c>
      <c r="D282" s="6" t="s">
        <v>317</v>
      </c>
      <c r="E282" s="6" t="s">
        <v>411</v>
      </c>
      <c r="F282" s="6" t="s">
        <v>243</v>
      </c>
      <c r="G282" s="6" t="s">
        <v>319</v>
      </c>
      <c r="H282" s="6" t="s">
        <v>204</v>
      </c>
      <c r="I282" s="5" t="str">
        <f>IF(H282="","",VLOOKUP(H282,DB!A:B,2,0))</f>
        <v>openGear X</v>
      </c>
      <c r="J282" s="6">
        <v>2.0</v>
      </c>
      <c r="K282" s="14" t="s">
        <v>205</v>
      </c>
      <c r="L282" s="6" t="s">
        <v>107</v>
      </c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204</v>
      </c>
      <c r="B283" s="6" t="str">
        <f>IF(A283="","",VLOOKUP(A283,DB!A:B,2,0))</f>
        <v>openGear X</v>
      </c>
      <c r="C283" s="6">
        <v>1.0</v>
      </c>
      <c r="D283" s="6" t="s">
        <v>317</v>
      </c>
      <c r="E283" s="6" t="s">
        <v>412</v>
      </c>
      <c r="F283" s="6" t="s">
        <v>243</v>
      </c>
      <c r="G283" s="6" t="s">
        <v>319</v>
      </c>
      <c r="H283" s="6" t="s">
        <v>204</v>
      </c>
      <c r="I283" s="5" t="str">
        <f>IF(H283="","",VLOOKUP(H283,DB!A:B,2,0))</f>
        <v>openGear X</v>
      </c>
      <c r="J283" s="6">
        <v>5.0</v>
      </c>
      <c r="K283" s="14" t="s">
        <v>205</v>
      </c>
      <c r="L283" s="6" t="s">
        <v>107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204</v>
      </c>
      <c r="B284" s="6" t="str">
        <f>IF(A284="","",VLOOKUP(A284,DB!A:B,2,0))</f>
        <v>openGear X</v>
      </c>
      <c r="C284" s="6">
        <v>1.0</v>
      </c>
      <c r="D284" s="6" t="s">
        <v>317</v>
      </c>
      <c r="E284" s="6" t="s">
        <v>413</v>
      </c>
      <c r="F284" s="6" t="s">
        <v>243</v>
      </c>
      <c r="G284" s="6" t="s">
        <v>319</v>
      </c>
      <c r="H284" s="6" t="s">
        <v>182</v>
      </c>
      <c r="I284" s="5" t="str">
        <f>IF(H284="","",VLOOKUP(H284,DB!A:B,2,0))</f>
        <v>?????</v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204</v>
      </c>
      <c r="B285" s="6" t="str">
        <f>IF(A285="","",VLOOKUP(A285,DB!A:B,2,0))</f>
        <v>openGear X</v>
      </c>
      <c r="C285" s="6">
        <v>1.0</v>
      </c>
      <c r="D285" s="6" t="s">
        <v>317</v>
      </c>
      <c r="E285" s="6" t="s">
        <v>414</v>
      </c>
      <c r="F285" s="6" t="s">
        <v>243</v>
      </c>
      <c r="G285" s="6" t="s">
        <v>319</v>
      </c>
      <c r="H285" s="6" t="s">
        <v>347</v>
      </c>
      <c r="I285" s="5" t="str">
        <f>IF(H285="","",VLOOKUP(H285,DB!A:B,2,0))</f>
        <v>VIDEObit 3G-LINK-TD</v>
      </c>
      <c r="J285" s="6"/>
      <c r="K285" s="6"/>
      <c r="L285" s="6" t="s">
        <v>68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204</v>
      </c>
      <c r="B286" s="6" t="str">
        <f>IF(A286="","",VLOOKUP(A286,DB!A:B,2,0))</f>
        <v>openGear X</v>
      </c>
      <c r="C286" s="6">
        <v>1.0</v>
      </c>
      <c r="D286" s="6" t="s">
        <v>317</v>
      </c>
      <c r="E286" s="6" t="s">
        <v>415</v>
      </c>
      <c r="F286" s="6" t="s">
        <v>243</v>
      </c>
      <c r="G286" s="6" t="s">
        <v>319</v>
      </c>
      <c r="H286" s="6" t="s">
        <v>89</v>
      </c>
      <c r="I286" s="5" t="str">
        <f>IF(H286="","",VLOOKUP(H286,DB!A:B,2,0))</f>
        <v/>
      </c>
      <c r="J286" s="6"/>
      <c r="K286" s="6"/>
      <c r="L286" s="6"/>
      <c r="M286" s="5"/>
      <c r="N286" s="6" t="s">
        <v>213</v>
      </c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416</v>
      </c>
      <c r="B287" s="6" t="str">
        <f>IF(A287="","",VLOOKUP(A287,DB!A:B,2,0))</f>
        <v>Leader Sync Generator</v>
      </c>
      <c r="C287" s="5"/>
      <c r="D287" s="6"/>
      <c r="E287" s="6" t="s">
        <v>417</v>
      </c>
      <c r="F287" s="5"/>
      <c r="G287" s="5"/>
      <c r="H287" s="6" t="s">
        <v>144</v>
      </c>
      <c r="I287" s="5" t="str">
        <f>IF(H287="","",VLOOKUP(H287,DB!A:B,2,0))</f>
        <v>openGear X</v>
      </c>
      <c r="J287" s="6">
        <v>0.0</v>
      </c>
      <c r="K287" s="6" t="s">
        <v>418</v>
      </c>
      <c r="L287" s="6" t="s">
        <v>403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416</v>
      </c>
      <c r="B288" s="6" t="str">
        <f>IF(A288="","",VLOOKUP(A288,DB!A:B,2,0))</f>
        <v>Leader Sync Generator</v>
      </c>
      <c r="C288" s="5"/>
      <c r="D288" s="6"/>
      <c r="E288" s="6" t="s">
        <v>419</v>
      </c>
      <c r="F288" s="5"/>
      <c r="G288" s="5"/>
      <c r="H288" s="6" t="s">
        <v>15</v>
      </c>
      <c r="I288" s="5" t="str">
        <f>IF(H288="","",VLOOKUP(H288,DB!A:B,2,0))</f>
        <v>AJA KUMO 6464</v>
      </c>
      <c r="J288" s="6"/>
      <c r="K288" s="6"/>
      <c r="L288" s="6" t="s">
        <v>403</v>
      </c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416</v>
      </c>
      <c r="B289" s="6" t="str">
        <f>IF(A289="","",VLOOKUP(A289,DB!A:B,2,0))</f>
        <v>Leader Sync Generator</v>
      </c>
      <c r="C289" s="5"/>
      <c r="D289" s="6"/>
      <c r="E289" s="6" t="s">
        <v>420</v>
      </c>
      <c r="F289" s="5"/>
      <c r="G289" s="5"/>
      <c r="H289" s="6" t="s">
        <v>421</v>
      </c>
      <c r="I289" s="5" t="str">
        <f>IF(H289="","",VLOOKUP(H289,DB!A:B,2,0))</f>
        <v>Miranda Densite3</v>
      </c>
      <c r="J289" s="6">
        <v>7.0</v>
      </c>
      <c r="K289" s="6" t="s">
        <v>422</v>
      </c>
      <c r="L289" s="6" t="s">
        <v>396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416</v>
      </c>
      <c r="B290" s="6" t="str">
        <f>IF(A290="","",VLOOKUP(A290,DB!A:B,2,0))</f>
        <v>Leader Sync Generator</v>
      </c>
      <c r="C290" s="5"/>
      <c r="D290" s="6"/>
      <c r="E290" s="6" t="s">
        <v>423</v>
      </c>
      <c r="F290" s="5"/>
      <c r="G290" s="5"/>
      <c r="H290" s="6" t="s">
        <v>89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416</v>
      </c>
      <c r="B291" s="6" t="str">
        <f>IF(A291="","",VLOOKUP(A291,DB!A:B,2,0))</f>
        <v>Leader Sync Generator</v>
      </c>
      <c r="C291" s="5"/>
      <c r="D291" s="6"/>
      <c r="E291" s="6" t="s">
        <v>424</v>
      </c>
      <c r="F291" s="5"/>
      <c r="G291" s="5"/>
      <c r="H291" s="6" t="s">
        <v>89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416</v>
      </c>
      <c r="B292" s="6" t="str">
        <f>IF(A292="","",VLOOKUP(A292,DB!A:B,2,0))</f>
        <v>Leader Sync Generator</v>
      </c>
      <c r="C292" s="5"/>
      <c r="D292" s="6"/>
      <c r="E292" s="6" t="s">
        <v>425</v>
      </c>
      <c r="F292" s="5"/>
      <c r="G292" s="5"/>
      <c r="H292" s="6" t="s">
        <v>89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421</v>
      </c>
      <c r="B293" s="6" t="str">
        <f>IF(A293="","",VLOOKUP(A293,DB!A:B,2,0))</f>
        <v>Miranda Densite3</v>
      </c>
      <c r="C293" s="6">
        <v>7.0</v>
      </c>
      <c r="D293" s="6" t="s">
        <v>422</v>
      </c>
      <c r="E293" s="6" t="s">
        <v>426</v>
      </c>
      <c r="F293" s="6" t="s">
        <v>243</v>
      </c>
      <c r="G293" s="6" t="s">
        <v>396</v>
      </c>
      <c r="H293" s="6" t="s">
        <v>392</v>
      </c>
      <c r="I293" s="5" t="str">
        <f>IF(H293="","",VLOOKUP(H293,DB!A:B,2,0))</f>
        <v>Digiwave DSC-131</v>
      </c>
      <c r="J293" s="6"/>
      <c r="K293" s="6"/>
      <c r="L293" s="6" t="s">
        <v>403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421</v>
      </c>
      <c r="B294" s="6" t="str">
        <f>IF(A294="","",VLOOKUP(A294,DB!A:B,2,0))</f>
        <v>Miranda Densite3</v>
      </c>
      <c r="C294" s="6">
        <v>7.0</v>
      </c>
      <c r="D294" s="6" t="s">
        <v>422</v>
      </c>
      <c r="E294" s="6" t="s">
        <v>427</v>
      </c>
      <c r="F294" s="6" t="s">
        <v>243</v>
      </c>
      <c r="G294" s="6" t="s">
        <v>396</v>
      </c>
      <c r="H294" s="6" t="s">
        <v>402</v>
      </c>
      <c r="I294" s="5" t="str">
        <f>IF(H294="","",VLOOKUP(H294,DB!A:B,2,0))</f>
        <v>Videotron DV100-EQ</v>
      </c>
      <c r="J294" s="6"/>
      <c r="K294" s="6"/>
      <c r="L294" s="6" t="s">
        <v>18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421</v>
      </c>
      <c r="B295" s="6" t="str">
        <f>IF(A295="","",VLOOKUP(A295,DB!A:B,2,0))</f>
        <v>Miranda Densite3</v>
      </c>
      <c r="C295" s="6">
        <v>7.0</v>
      </c>
      <c r="D295" s="6" t="s">
        <v>422</v>
      </c>
      <c r="E295" s="6" t="s">
        <v>428</v>
      </c>
      <c r="F295" s="6" t="s">
        <v>243</v>
      </c>
      <c r="G295" s="6" t="s">
        <v>396</v>
      </c>
      <c r="H295" s="6" t="s">
        <v>279</v>
      </c>
      <c r="I295" s="5" t="str">
        <f>IF(H295="","",VLOOKUP(H295,DB!A:B,2,0))</f>
        <v>Sony HXCU-100 Cam 1</v>
      </c>
      <c r="J295" s="6"/>
      <c r="K295" s="6"/>
      <c r="L295" s="6" t="s">
        <v>403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421</v>
      </c>
      <c r="B296" s="6" t="str">
        <f>IF(A296="","",VLOOKUP(A296,DB!A:B,2,0))</f>
        <v>Miranda Densite3</v>
      </c>
      <c r="C296" s="6">
        <v>7.0</v>
      </c>
      <c r="D296" s="6" t="s">
        <v>422</v>
      </c>
      <c r="E296" s="6" t="s">
        <v>429</v>
      </c>
      <c r="F296" s="6" t="s">
        <v>243</v>
      </c>
      <c r="G296" s="6" t="s">
        <v>396</v>
      </c>
      <c r="H296" s="6" t="s">
        <v>204</v>
      </c>
      <c r="I296" s="5" t="str">
        <f>IF(H296="","",VLOOKUP(H296,DB!A:B,2,0))</f>
        <v>openGear X</v>
      </c>
      <c r="J296" s="6">
        <v>0.0</v>
      </c>
      <c r="K296" s="6" t="s">
        <v>418</v>
      </c>
      <c r="L296" s="6" t="s">
        <v>403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421</v>
      </c>
      <c r="B297" s="6" t="str">
        <f>IF(A297="","",VLOOKUP(A297,DB!A:B,2,0))</f>
        <v>Miranda Densite3</v>
      </c>
      <c r="C297" s="6">
        <v>7.0</v>
      </c>
      <c r="D297" s="6" t="s">
        <v>422</v>
      </c>
      <c r="E297" s="6" t="s">
        <v>430</v>
      </c>
      <c r="F297" s="6" t="s">
        <v>243</v>
      </c>
      <c r="G297" s="6" t="s">
        <v>396</v>
      </c>
      <c r="H297" s="6" t="s">
        <v>89</v>
      </c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421</v>
      </c>
      <c r="B298" s="6" t="str">
        <f>IF(A298="","",VLOOKUP(A298,DB!A:B,2,0))</f>
        <v>Miranda Densite3</v>
      </c>
      <c r="C298" s="6">
        <v>7.0</v>
      </c>
      <c r="D298" s="6" t="s">
        <v>422</v>
      </c>
      <c r="E298" s="6" t="s">
        <v>431</v>
      </c>
      <c r="F298" s="6" t="s">
        <v>243</v>
      </c>
      <c r="G298" s="6" t="s">
        <v>396</v>
      </c>
      <c r="H298" s="6" t="s">
        <v>89</v>
      </c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421</v>
      </c>
      <c r="B299" s="6" t="str">
        <f>IF(A299="","",VLOOKUP(A299,DB!A:B,2,0))</f>
        <v>Miranda Densite3</v>
      </c>
      <c r="C299" s="6">
        <v>7.0</v>
      </c>
      <c r="D299" s="6" t="s">
        <v>422</v>
      </c>
      <c r="E299" s="6" t="s">
        <v>432</v>
      </c>
      <c r="F299" s="6" t="s">
        <v>243</v>
      </c>
      <c r="G299" s="6" t="s">
        <v>396</v>
      </c>
      <c r="H299" s="6" t="s">
        <v>89</v>
      </c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421</v>
      </c>
      <c r="B300" s="6" t="str">
        <f>IF(A300="","",VLOOKUP(A300,DB!A:B,2,0))</f>
        <v>Miranda Densite3</v>
      </c>
      <c r="C300" s="6">
        <v>7.0</v>
      </c>
      <c r="D300" s="6" t="s">
        <v>422</v>
      </c>
      <c r="E300" s="6" t="s">
        <v>433</v>
      </c>
      <c r="F300" s="6" t="s">
        <v>243</v>
      </c>
      <c r="G300" s="6" t="s">
        <v>396</v>
      </c>
      <c r="H300" s="6" t="s">
        <v>89</v>
      </c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421</v>
      </c>
      <c r="B301" s="6" t="str">
        <f>IF(A301="","",VLOOKUP(A301,DB!A:B,2,0))</f>
        <v>Miranda Densite3</v>
      </c>
      <c r="C301" s="6">
        <v>7.0</v>
      </c>
      <c r="D301" s="6" t="s">
        <v>422</v>
      </c>
      <c r="E301" s="6" t="s">
        <v>434</v>
      </c>
      <c r="F301" s="6" t="s">
        <v>243</v>
      </c>
      <c r="G301" s="6" t="s">
        <v>396</v>
      </c>
      <c r="H301" s="6" t="s">
        <v>89</v>
      </c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15</v>
      </c>
      <c r="B302" s="6" t="str">
        <f>IF(A302="","",VLOOKUP(A302,DB!A:B,2,0))</f>
        <v>AJA KUMO 6464</v>
      </c>
      <c r="C302" s="5"/>
      <c r="D302" s="6"/>
      <c r="E302" s="6" t="s">
        <v>435</v>
      </c>
      <c r="F302" s="6" t="s">
        <v>243</v>
      </c>
      <c r="G302" s="6" t="s">
        <v>403</v>
      </c>
      <c r="H302" s="6" t="s">
        <v>17</v>
      </c>
      <c r="I302" s="5" t="str">
        <f>IF(H302="","",VLOOKUP(H302,DB!A:B,2,0))</f>
        <v>Blackmagic 12 x 12</v>
      </c>
      <c r="J302" s="6"/>
      <c r="K302" s="6"/>
      <c r="L302" s="6" t="s">
        <v>403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279</v>
      </c>
      <c r="B303" s="6" t="str">
        <f>IF(A303="","",VLOOKUP(A303,DB!A:B,2,0))</f>
        <v>Sony HXCU-100 Cam 1</v>
      </c>
      <c r="C303" s="5"/>
      <c r="D303" s="6"/>
      <c r="E303" s="6" t="s">
        <v>435</v>
      </c>
      <c r="F303" s="6" t="s">
        <v>243</v>
      </c>
      <c r="G303" s="6" t="s">
        <v>403</v>
      </c>
      <c r="H303" s="6" t="s">
        <v>282</v>
      </c>
      <c r="I303" s="5" t="str">
        <f>IF(H303="","",VLOOKUP(H303,DB!A:B,2,0))</f>
        <v>Sony HXCU-100 Cam 2</v>
      </c>
      <c r="J303" s="6"/>
      <c r="K303" s="6"/>
      <c r="L303" s="6" t="s">
        <v>403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282</v>
      </c>
      <c r="B304" s="6" t="str">
        <f>IF(A304="","",VLOOKUP(A304,DB!A:B,2,0))</f>
        <v>Sony HXCU-100 Cam 2</v>
      </c>
      <c r="C304" s="5"/>
      <c r="D304" s="6"/>
      <c r="E304" s="6" t="s">
        <v>435</v>
      </c>
      <c r="F304" s="6" t="s">
        <v>243</v>
      </c>
      <c r="G304" s="6" t="s">
        <v>403</v>
      </c>
      <c r="H304" s="6" t="s">
        <v>285</v>
      </c>
      <c r="I304" s="5" t="str">
        <f>IF(H304="","",VLOOKUP(H304,DB!A:B,2,0))</f>
        <v>Sony HXCU-100 Cam 3</v>
      </c>
      <c r="J304" s="6"/>
      <c r="K304" s="6"/>
      <c r="L304" s="6" t="s">
        <v>403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285</v>
      </c>
      <c r="B305" s="6" t="str">
        <f>IF(A305="","",VLOOKUP(A305,DB!A:B,2,0))</f>
        <v>Sony HXCU-100 Cam 3</v>
      </c>
      <c r="C305" s="5"/>
      <c r="D305" s="6"/>
      <c r="E305" s="6" t="s">
        <v>435</v>
      </c>
      <c r="F305" s="6" t="s">
        <v>243</v>
      </c>
      <c r="G305" s="6" t="s">
        <v>403</v>
      </c>
      <c r="H305" s="6" t="s">
        <v>288</v>
      </c>
      <c r="I305" s="5" t="str">
        <f>IF(H305="","",VLOOKUP(H305,DB!A:B,2,0))</f>
        <v>Sony HXCU-100 Cam 4</v>
      </c>
      <c r="J305" s="6"/>
      <c r="K305" s="6"/>
      <c r="L305" s="6" t="s">
        <v>403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288</v>
      </c>
      <c r="B306" s="6" t="str">
        <f>IF(A306="","",VLOOKUP(A306,DB!A:B,2,0))</f>
        <v>Sony HXCU-100 Cam 4</v>
      </c>
      <c r="C306" s="5"/>
      <c r="D306" s="6"/>
      <c r="E306" s="6" t="s">
        <v>435</v>
      </c>
      <c r="F306" s="6" t="s">
        <v>243</v>
      </c>
      <c r="G306" s="6" t="s">
        <v>403</v>
      </c>
      <c r="H306" s="6" t="s">
        <v>91</v>
      </c>
      <c r="I306" s="5" t="str">
        <f>IF(H306="","",VLOOKUP(H306,DB!A:B,2,0))</f>
        <v>FOR A HVS-390HS</v>
      </c>
      <c r="J306" s="6"/>
      <c r="K306" s="6"/>
      <c r="L306" s="6" t="s">
        <v>403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89</v>
      </c>
      <c r="B307" s="6" t="str">
        <f>IF(A307="","",VLOOKUP(A307,DB!A:B,2,0))</f>
        <v/>
      </c>
      <c r="C307" s="5"/>
      <c r="D307" s="6"/>
      <c r="E307" s="6"/>
      <c r="F307" s="5"/>
      <c r="G307" s="5"/>
      <c r="H307" s="6" t="s">
        <v>144</v>
      </c>
      <c r="I307" s="5" t="str">
        <f>IF(H307="","",VLOOKUP(H307,DB!A:B,2,0))</f>
        <v>openGear X</v>
      </c>
      <c r="J307" s="6">
        <v>8.0</v>
      </c>
      <c r="K307" s="6" t="s">
        <v>329</v>
      </c>
      <c r="L307" s="6" t="s">
        <v>107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144</v>
      </c>
      <c r="B308" s="6" t="str">
        <f>IF(A308="","",VLOOKUP(A308,DB!A:B,2,0))</f>
        <v>openGear X</v>
      </c>
      <c r="C308" s="6">
        <v>0.0</v>
      </c>
      <c r="D308" s="6" t="s">
        <v>418</v>
      </c>
      <c r="E308" s="6" t="s">
        <v>435</v>
      </c>
      <c r="F308" s="6" t="s">
        <v>243</v>
      </c>
      <c r="G308" s="6" t="s">
        <v>403</v>
      </c>
      <c r="H308" s="6" t="s">
        <v>185</v>
      </c>
      <c r="I308" s="5" t="str">
        <f>IF(H308="","",VLOOKUP(H308,DB!A:B,2,0))</f>
        <v>openGear X</v>
      </c>
      <c r="J308" s="6">
        <v>0.0</v>
      </c>
      <c r="K308" s="6" t="s">
        <v>418</v>
      </c>
      <c r="L308" s="6" t="s">
        <v>403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185</v>
      </c>
      <c r="B309" s="6" t="str">
        <f>IF(A309="","",VLOOKUP(A309,DB!A:B,2,0))</f>
        <v>openGear X</v>
      </c>
      <c r="C309" s="6">
        <v>0.0</v>
      </c>
      <c r="D309" s="6" t="s">
        <v>418</v>
      </c>
      <c r="E309" s="6" t="s">
        <v>435</v>
      </c>
      <c r="F309" s="6" t="s">
        <v>243</v>
      </c>
      <c r="G309" s="6" t="s">
        <v>403</v>
      </c>
      <c r="H309" s="6" t="s">
        <v>67</v>
      </c>
      <c r="I309" s="5" t="str">
        <f>IF(H309="","",VLOOKUP(H309,DB!A:B,2,0))</f>
        <v>AJA FS4</v>
      </c>
      <c r="J309" s="6"/>
      <c r="K309" s="6"/>
      <c r="L309" s="6" t="s">
        <v>403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67</v>
      </c>
      <c r="B310" s="6" t="str">
        <f>IF(A310="","",VLOOKUP(A310,DB!A:B,2,0))</f>
        <v>AJA FS4</v>
      </c>
      <c r="C310" s="5"/>
      <c r="D310" s="6"/>
      <c r="E310" s="6" t="s">
        <v>435</v>
      </c>
      <c r="F310" s="6" t="s">
        <v>243</v>
      </c>
      <c r="G310" s="6" t="s">
        <v>403</v>
      </c>
      <c r="H310" s="6" t="s">
        <v>224</v>
      </c>
      <c r="I310" s="5" t="str">
        <f>IF(H310="","",VLOOKUP(H310,DB!A:B,2,0))</f>
        <v>AJA FS2</v>
      </c>
      <c r="J310" s="6"/>
      <c r="K310" s="6"/>
      <c r="L310" s="6" t="s">
        <v>403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175</v>
      </c>
      <c r="B311" s="6" t="str">
        <f>IF(A311="","",VLOOKUP(A311,DB!A:B,2,0))</f>
        <v>Leader LV 7770</v>
      </c>
      <c r="C311" s="5"/>
      <c r="D311" s="6"/>
      <c r="E311" s="6" t="s">
        <v>436</v>
      </c>
      <c r="F311" s="6" t="s">
        <v>243</v>
      </c>
      <c r="G311" s="6" t="s">
        <v>179</v>
      </c>
      <c r="H311" s="6" t="s">
        <v>102</v>
      </c>
      <c r="I311" s="5" t="str">
        <f>IF(H311="","",VLOOKUP(H311,DB!A:B,2,0))</f>
        <v>PC Rack</v>
      </c>
      <c r="J311" s="6">
        <v>1.0</v>
      </c>
      <c r="K311" s="6" t="s">
        <v>73</v>
      </c>
      <c r="L311" s="6" t="s">
        <v>437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89</v>
      </c>
      <c r="B312" s="6" t="str">
        <f>IF(A312="","",VLOOKUP(A312,DB!A:B,2,0))</f>
        <v/>
      </c>
      <c r="C312" s="5"/>
      <c r="D312" s="6"/>
      <c r="E312" s="6"/>
      <c r="F312" s="5"/>
      <c r="G312" s="5"/>
      <c r="H312" s="6" t="s">
        <v>144</v>
      </c>
      <c r="I312" s="5" t="str">
        <f>IF(H312="","",VLOOKUP(H312,DB!A:B,2,0))</f>
        <v>openGear X</v>
      </c>
      <c r="J312" s="6">
        <v>9.0</v>
      </c>
      <c r="K312" s="6" t="s">
        <v>145</v>
      </c>
      <c r="L312" s="6" t="s">
        <v>319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</sheetData>
  <conditionalFormatting sqref="A1:AC511">
    <cfRule type="cellIs" dxfId="0" priority="1" operator="equal">
      <formula>"N/D"</formula>
    </cfRule>
  </conditionalFormatting>
  <conditionalFormatting sqref="A1:AC511">
    <cfRule type="cellIs" dxfId="1" priority="2" operator="equal">
      <formula>"N/C"</formula>
    </cfRule>
  </conditionalFormatting>
  <conditionalFormatting sqref="A1:AC511">
    <cfRule type="expression" dxfId="2" priority="3">
      <formula>ISEVEN(ROW())</formula>
    </cfRule>
  </conditionalFormatting>
  <dataValidations>
    <dataValidation type="list" allowBlank="1" showErrorMessage="1" sqref="A2:A511 H2:H511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5" t="s">
        <v>438</v>
      </c>
      <c r="B1" s="16" t="s">
        <v>439</v>
      </c>
      <c r="C1" s="17" t="s">
        <v>440</v>
      </c>
      <c r="D1" s="18" t="s">
        <v>441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442</v>
      </c>
      <c r="B2" s="7" t="s">
        <v>443</v>
      </c>
      <c r="C2" s="19" t="s">
        <v>444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445</v>
      </c>
      <c r="C3" s="19" t="s">
        <v>446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447</v>
      </c>
      <c r="C4" s="19" t="s">
        <v>448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449</v>
      </c>
      <c r="C5" s="19" t="s">
        <v>450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451</v>
      </c>
      <c r="C6" s="20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402</v>
      </c>
      <c r="B7" s="11" t="s">
        <v>452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453</v>
      </c>
      <c r="B9" s="7" t="s">
        <v>454</v>
      </c>
      <c r="C9" s="19" t="s">
        <v>455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456</v>
      </c>
      <c r="C10" s="19" t="s">
        <v>457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458</v>
      </c>
      <c r="C11" s="19" t="s">
        <v>459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460</v>
      </c>
      <c r="C12" s="19" t="s">
        <v>461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416</v>
      </c>
      <c r="B14" s="11" t="s">
        <v>462</v>
      </c>
      <c r="C14" s="20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421</v>
      </c>
      <c r="B15" s="7" t="s">
        <v>463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464</v>
      </c>
      <c r="C16" s="19" t="s">
        <v>465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466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467</v>
      </c>
      <c r="C18" s="20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264</v>
      </c>
      <c r="B19" s="7" t="s">
        <v>468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468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374</v>
      </c>
      <c r="B22" s="11" t="s">
        <v>469</v>
      </c>
      <c r="C22" s="20" t="s">
        <v>470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376</v>
      </c>
      <c r="B23" s="11" t="s">
        <v>471</v>
      </c>
      <c r="C23" s="20" t="s">
        <v>472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473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474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475</v>
      </c>
      <c r="B27" s="7" t="s">
        <v>476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477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221</v>
      </c>
      <c r="B29" s="7" t="s">
        <v>477</v>
      </c>
      <c r="C29" s="20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227</v>
      </c>
      <c r="B30" s="7" t="s">
        <v>478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201</v>
      </c>
      <c r="B31" s="7" t="s">
        <v>479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480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367</v>
      </c>
      <c r="B33" s="7" t="s">
        <v>476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480</v>
      </c>
      <c r="C34" s="19" t="s">
        <v>481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397</v>
      </c>
      <c r="B35" s="7" t="s">
        <v>482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483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484</v>
      </c>
      <c r="C37" s="20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224</v>
      </c>
      <c r="B38" s="7" t="s">
        <v>484</v>
      </c>
      <c r="C38" s="19" t="s">
        <v>485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392</v>
      </c>
      <c r="B39" s="7" t="s">
        <v>486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395</v>
      </c>
      <c r="B40" s="7" t="s">
        <v>487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234</v>
      </c>
      <c r="B41" s="7" t="s">
        <v>488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489</v>
      </c>
      <c r="B43" s="7" t="s">
        <v>490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491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492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493</v>
      </c>
      <c r="C46" s="19" t="s">
        <v>494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495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496</v>
      </c>
      <c r="B49" s="7" t="s">
        <v>497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1" t="s">
        <v>498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1" t="s">
        <v>499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1" t="s">
        <v>500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288</v>
      </c>
      <c r="B53" s="11" t="s">
        <v>501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253</v>
      </c>
      <c r="B54" s="7" t="s">
        <v>502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503</v>
      </c>
      <c r="C55" s="20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386</v>
      </c>
      <c r="B56" s="7" t="s">
        <v>504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505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372</v>
      </c>
      <c r="B60" s="6" t="s">
        <v>506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507</v>
      </c>
      <c r="B61" s="11" t="s">
        <v>508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509</v>
      </c>
      <c r="B62" s="11" t="s">
        <v>510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347</v>
      </c>
      <c r="B63" s="11" t="s">
        <v>511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512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204</v>
      </c>
      <c r="B65" s="7" t="s">
        <v>480</v>
      </c>
      <c r="C65" s="19" t="s">
        <v>513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209</v>
      </c>
      <c r="B67" s="6" t="s">
        <v>514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515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516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259</v>
      </c>
      <c r="B71" s="7" t="s">
        <v>517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389</v>
      </c>
      <c r="B72" s="7" t="s">
        <v>518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350</v>
      </c>
      <c r="B73" s="7" t="s">
        <v>519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346</v>
      </c>
      <c r="B75" s="7" t="s">
        <v>520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521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348</v>
      </c>
      <c r="B77" s="7" t="s">
        <v>522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379</v>
      </c>
      <c r="B78" s="7" t="s">
        <v>523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524</v>
      </c>
      <c r="B79" s="7" t="s">
        <v>525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382</v>
      </c>
      <c r="B80" s="7" t="s">
        <v>526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149</v>
      </c>
      <c r="B81" s="7" t="s">
        <v>527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349</v>
      </c>
      <c r="B82" s="7" t="s">
        <v>528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384</v>
      </c>
      <c r="B83" s="7" t="s">
        <v>529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110</v>
      </c>
      <c r="B84" s="7" t="s">
        <v>530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378</v>
      </c>
      <c r="B85" s="11" t="s">
        <v>531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532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182</v>
      </c>
      <c r="B89" s="11" t="s">
        <v>533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89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345</v>
      </c>
      <c r="B93" s="6" t="s">
        <v>534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344</v>
      </c>
      <c r="B94" s="6" t="s">
        <v>535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342</v>
      </c>
      <c r="B95" s="6" t="s">
        <v>536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537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538</v>
      </c>
      <c r="B2" s="5"/>
      <c r="C2" s="6">
        <v>6.0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Conexiones!A2:O511,
    IF(A2="""", ROW(Conexiones!A2:A511)^0, ISNUMBER(SEARCH(A2, Conexiones!A2:A511))),
    IF(B2="""", ROW(Conexiones!B2:B511)^0, ISNUMBER(SEARCH(B2, Conexiones!B2:B511))),
    IF(C2="""", ROW(Conexiones!C2:C511)^0, "&amp;"ISNUMBER(SEARCH(C2, Conexiones!C2:C511))),
    IF(D2="""", ROW(Conexiones!D2:D511)^0, ISNUMBER(SEARCH(D2, Conexiones!D2:D511))),
    IF(E2="""", ROW(Conexiones!E2:E511)^0, ISNUMBER(SEARCH(E2, Conexiones!E2:E511))),
    IF(F2="""", ROW(Conexiones!F2:F511)^"&amp;"0, ISNUMBER(SEARCH(F2, Conexiones!F2:F511))),
    IF(G2="""", ROW(Conexiones!G2:G511)^0, ISNUMBER(SEARCH(G2, Conexiones!G2:G511))),
    IF(H2="""", ROW(Conexiones!H2:H511)^0, ISNUMBER(SEARCH(H2, Conexiones!H2:H511))),
    IF(B2="""", ROW(Conexiones!H2:H51"&amp;"1)^0, ISNUMBER(SEARCH(B2, Conexiones!H2:H511))),
    IF(I2="""", ROW(Conexiones!I2:I511)^0, ISNUMBER(SEARCH(I2, Conexiones!I2:I511))),
    IF(J2="""", ROW(Conexiones!J2:J511)^0, ISNUMBER(SEARCH(J2, Conexiones!J2:J511))),
    IF(L2="""", ROW(Conexiones!L2:"&amp;"L511)^0, ISNUMBER(SEARCH(L2, Conexiones!L2:L511))),
    IF(M2="""", ROW(Conexiones!M2:M511)^0, ISNUMBER(SEARCH(M2, Conexiones!M2:M511))),
    IF(N2="""", ROW(Conexiones!N2:N511)^0, ISNUMBER(SEARCH(N2, Conexiones!N2:N511))),
    IF(O2="""", ROW(Conexiones!"&amp;"O2:O511)^0, ISNUMBER(SEARCH(O2, Conexiones!O2:O511)))
  ),
  Q2,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IFERROR(__xludf.DUMMYFUNCTION("""COMPUTED_VALUE"""),6.0)</f>
        <v>6</v>
      </c>
      <c r="D3" s="5" t="str">
        <f>IFERROR(__xludf.DUMMYFUNCTION("""COMPUTED_VALUE"""),"Dist. Amp. 1x9")</f>
        <v>Dist. Amp. 1x9</v>
      </c>
      <c r="E3" s="5" t="str">
        <f>IFERROR(__xludf.DUMMYFUNCTION("""COMPUTED_VALUE"""),"J3")</f>
        <v>J3</v>
      </c>
      <c r="F3" s="5" t="str">
        <f>IFERROR(__xludf.DUMMYFUNCTION("""COMPUTED_VALUE"""),"T")</f>
        <v>T</v>
      </c>
      <c r="G3" s="5" t="str">
        <f>IFERROR(__xludf.DUMMYFUNCTION("""COMPUTED_VALUE"""),"J1 (in)")</f>
        <v>J1 (in)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62")</f>
        <v>In 62</v>
      </c>
      <c r="M3" s="5" t="str">
        <f>IFERROR(__xludf.DUMMYFUNCTION("""COMPUTED_VALUE"""),"LINEA 1X9")</f>
        <v>LINEA 1X9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IFERROR(__xludf.DUMMYFUNCTION("""COMPUTED_VALUE"""),6.0)</f>
        <v>6</v>
      </c>
      <c r="D4" s="5" t="str">
        <f>IFERROR(__xludf.DUMMYFUNCTION("""COMPUTED_VALUE"""),"Dist. Amp. 1x9")</f>
        <v>Dist. Amp. 1x9</v>
      </c>
      <c r="E4" s="5" t="str">
        <f>IFERROR(__xludf.DUMMYFUNCTION("""COMPUTED_VALUE"""),"J5")</f>
        <v>J5</v>
      </c>
      <c r="F4" s="5" t="str">
        <f>IFERROR(__xludf.DUMMYFUNCTION("""COMPUTED_VALUE"""),"T")</f>
        <v>T</v>
      </c>
      <c r="G4" s="5" t="str">
        <f>IFERROR(__xludf.DUMMYFUNCTION("""COMPUTED_VALUE"""),"J1 (in)")</f>
        <v>J1 (in)</v>
      </c>
      <c r="H4" s="5" t="str">
        <f>IFERROR(__xludf.DUMMYFUNCTION("""COMPUTED_VALUE"""),"L.1")</f>
        <v>L.1</v>
      </c>
      <c r="I4" s="5" t="str">
        <f>IFERROR(__xludf.DUMMYFUNCTION("""COMPUTED_VALUE"""),"VIDEOTRON")</f>
        <v>VIDEOTRON</v>
      </c>
      <c r="J4" s="5"/>
      <c r="K4" s="5"/>
      <c r="L4" s="5" t="str">
        <f>IFERROR(__xludf.DUMMYFUNCTION("""COMPUTED_VALUE"""),"SDI In 1")</f>
        <v>SDI In 1</v>
      </c>
      <c r="M4" s="5"/>
      <c r="N4" s="5" t="str">
        <f>IFERROR(__xludf.DUMMYFUNCTION("""COMPUTED_VALUE"""),"N/D")</f>
        <v>N/D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IFERROR(__xludf.DUMMYFUNCTION("""COMPUTED_VALUE"""),6.0)</f>
        <v>6</v>
      </c>
      <c r="D5" s="5" t="str">
        <f>IFERROR(__xludf.DUMMYFUNCTION("""COMPUTED_VALUE"""),"Dist. Amp. 1x9")</f>
        <v>Dist. Amp. 1x9</v>
      </c>
      <c r="E5" s="5" t="str">
        <f>IFERROR(__xludf.DUMMYFUNCTION("""COMPUTED_VALUE"""),"J2")</f>
        <v>J2</v>
      </c>
      <c r="F5" s="5" t="str">
        <f>IFERROR(__xludf.DUMMYFUNCTION("""COMPUTED_VALUE"""),"T")</f>
        <v>T</v>
      </c>
      <c r="G5" s="5" t="str">
        <f>IFERROR(__xludf.DUMMYFUNCTION("""COMPUTED_VALUE"""),"J1 (in)")</f>
        <v>J1 (in)</v>
      </c>
      <c r="H5" s="5" t="str">
        <f>IFERROR(__xludf.DUMMYFUNCTION("""COMPUTED_VALUE"""),"N/C")</f>
        <v>N/C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IFERROR(__xludf.DUMMYFUNCTION("""COMPUTED_VALUE"""),"D.9")</f>
        <v>D.9</v>
      </c>
      <c r="B6" s="5" t="str">
        <f>IFERROR(__xludf.DUMMYFUNCTION("""COMPUTED_VALUE"""),"openGear X")</f>
        <v>openGear X</v>
      </c>
      <c r="C6" s="5">
        <f>IFERROR(__xludf.DUMMYFUNCTION("""COMPUTED_VALUE"""),6.0)</f>
        <v>6</v>
      </c>
      <c r="D6" s="5" t="str">
        <f>IFERROR(__xludf.DUMMYFUNCTION("""COMPUTED_VALUE"""),"Dist. Amp. 1x9")</f>
        <v>Dist. Amp. 1x9</v>
      </c>
      <c r="E6" s="5" t="str">
        <f>IFERROR(__xludf.DUMMYFUNCTION("""COMPUTED_VALUE"""),"J4")</f>
        <v>J4</v>
      </c>
      <c r="F6" s="5" t="str">
        <f>IFERROR(__xludf.DUMMYFUNCTION("""COMPUTED_VALUE"""),"T")</f>
        <v>T</v>
      </c>
      <c r="G6" s="5" t="str">
        <f>IFERROR(__xludf.DUMMYFUNCTION("""COMPUTED_VALUE"""),"J1 (in)")</f>
        <v>J1 (in)</v>
      </c>
      <c r="H6" s="5" t="str">
        <f>IFERROR(__xludf.DUMMYFUNCTION("""COMPUTED_VALUE"""),"N/C")</f>
        <v>N/C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1"/>
      <c r="AG6" s="21"/>
      <c r="AH6" s="21"/>
      <c r="AI6" s="21"/>
      <c r="AJ6" s="21"/>
      <c r="AK6" s="21"/>
      <c r="AL6" s="21"/>
      <c r="AM6" s="21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IFERROR(__xludf.DUMMYFUNCTION("""COMPUTED_VALUE"""),"D.9")</f>
        <v>D.9</v>
      </c>
      <c r="B7" s="5" t="str">
        <f>IFERROR(__xludf.DUMMYFUNCTION("""COMPUTED_VALUE"""),"openGear X")</f>
        <v>openGear X</v>
      </c>
      <c r="C7" s="5">
        <f>IFERROR(__xludf.DUMMYFUNCTION("""COMPUTED_VALUE"""),6.0)</f>
        <v>6</v>
      </c>
      <c r="D7" s="5" t="str">
        <f>IFERROR(__xludf.DUMMYFUNCTION("""COMPUTED_VALUE"""),"Dist. Amp. 1x9")</f>
        <v>Dist. Amp. 1x9</v>
      </c>
      <c r="E7" s="5" t="str">
        <f>IFERROR(__xludf.DUMMYFUNCTION("""COMPUTED_VALUE"""),"J6")</f>
        <v>J6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IFERROR(__xludf.DUMMYFUNCTION("""COMPUTED_VALUE"""),"N/C")</f>
        <v>N/C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IFERROR(__xludf.DUMMYFUNCTION("""COMPUTED_VALUE"""),"D.9")</f>
        <v>D.9</v>
      </c>
      <c r="B8" s="5" t="str">
        <f>IFERROR(__xludf.DUMMYFUNCTION("""COMPUTED_VALUE"""),"openGear X")</f>
        <v>openGear X</v>
      </c>
      <c r="C8" s="5">
        <f>IFERROR(__xludf.DUMMYFUNCTION("""COMPUTED_VALUE"""),6.0)</f>
        <v>6</v>
      </c>
      <c r="D8" s="5" t="str">
        <f>IFERROR(__xludf.DUMMYFUNCTION("""COMPUTED_VALUE"""),"Dist. Amp. 1x9")</f>
        <v>Dist. Amp. 1x9</v>
      </c>
      <c r="E8" s="5" t="str">
        <f>IFERROR(__xludf.DUMMYFUNCTION("""COMPUTED_VALUE"""),"J7")</f>
        <v>J7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IFERROR(__xludf.DUMMYFUNCTION("""COMPUTED_VALUE"""),"N/C")</f>
        <v>N/C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IFERROR(__xludf.DUMMYFUNCTION("""COMPUTED_VALUE"""),"D.9")</f>
        <v>D.9</v>
      </c>
      <c r="B9" s="5" t="str">
        <f>IFERROR(__xludf.DUMMYFUNCTION("""COMPUTED_VALUE"""),"openGear X")</f>
        <v>openGear X</v>
      </c>
      <c r="C9" s="5">
        <f>IFERROR(__xludf.DUMMYFUNCTION("""COMPUTED_VALUE"""),6.0)</f>
        <v>6</v>
      </c>
      <c r="D9" s="5" t="str">
        <f>IFERROR(__xludf.DUMMYFUNCTION("""COMPUTED_VALUE"""),"Dist. Amp. 1x9")</f>
        <v>Dist. Amp. 1x9</v>
      </c>
      <c r="E9" s="5" t="str">
        <f>IFERROR(__xludf.DUMMYFUNCTION("""COMPUTED_VALUE"""),"J8")</f>
        <v>J8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IFERROR(__xludf.DUMMYFUNCTION("""COMPUTED_VALUE"""),"N/C")</f>
        <v>N/C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IFERROR(__xludf.DUMMYFUNCTION("""COMPUTED_VALUE"""),"D.9")</f>
        <v>D.9</v>
      </c>
      <c r="B10" s="5" t="str">
        <f>IFERROR(__xludf.DUMMYFUNCTION("""COMPUTED_VALUE"""),"openGear X")</f>
        <v>openGear X</v>
      </c>
      <c r="C10" s="5">
        <f>IFERROR(__xludf.DUMMYFUNCTION("""COMPUTED_VALUE"""),6.0)</f>
        <v>6</v>
      </c>
      <c r="D10" s="5" t="str">
        <f>IFERROR(__xludf.DUMMYFUNCTION("""COMPUTED_VALUE"""),"Dist. Amp. 1x9")</f>
        <v>Dist. Amp. 1x9</v>
      </c>
      <c r="E10" s="5" t="str">
        <f>IFERROR(__xludf.DUMMYFUNCTION("""COMPUTED_VALUE"""),"J9")</f>
        <v>J9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IFERROR(__xludf.DUMMYFUNCTION("""COMPUTED_VALUE"""),"N/C")</f>
        <v>N/C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IFERROR(__xludf.DUMMYFUNCTION("""COMPUTED_VALUE"""),"D.9")</f>
        <v>D.9</v>
      </c>
      <c r="B11" s="5" t="str">
        <f>IFERROR(__xludf.DUMMYFUNCTION("""COMPUTED_VALUE"""),"openGear X")</f>
        <v>openGear X</v>
      </c>
      <c r="C11" s="5">
        <f>IFERROR(__xludf.DUMMYFUNCTION("""COMPUTED_VALUE"""),6.0)</f>
        <v>6</v>
      </c>
      <c r="D11" s="5" t="str">
        <f>IFERROR(__xludf.DUMMYFUNCTION("""COMPUTED_VALUE"""),"Dist. Amp. 1x9")</f>
        <v>Dist. Amp. 1x9</v>
      </c>
      <c r="E11" s="5" t="str">
        <f>IFERROR(__xludf.DUMMYFUNCTION("""COMPUTED_VALUE"""),"J10")</f>
        <v>J10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IFERROR(__xludf.DUMMYFUNCTION("""COMPUTED_VALUE"""),"N/C")</f>
        <v>N/C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1"/>
      <c r="AG14" s="21"/>
      <c r="AH14" s="21"/>
      <c r="AI14" s="21"/>
      <c r="AJ14" s="21"/>
      <c r="AK14" s="21"/>
      <c r="AL14" s="21"/>
      <c r="AM14" s="21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