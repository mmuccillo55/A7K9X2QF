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<sst xmlns="http://schemas.openxmlformats.org/spreadsheetml/2006/main" count="1757" uniqueCount="534">
  <si>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</si>
  <si>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</si>
  <si>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</si>
  <si>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</si>
  <si>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</si>
  <si>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</si>
  <si>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</si>
  <si>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</si>
  <si>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</si>
  <si>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</si>
  <si>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</si>
  <si>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</si>
  <si>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</si>
  <si>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</si>
  <si>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</si>
  <si>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</si>
  <si>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</si>
  <si>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</si>
  <si>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</si>
  <si>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</si>
  <si>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PRUEBA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</si>
  <si>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</si>
  <si>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</si>
  <si>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</si>
  <si>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</si>
  <si>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</si>
  <si>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</si>
  <si>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</si>
  <si>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</si>
  <si>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</si>
  <si>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</si>
  <si>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</si>
  <si>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</si>
  <si>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</si>
  <si>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</si>
  <si>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</si>
  <si>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</si>
  <si>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</si>
  <si>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</si>
  <si>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</si>
  <si>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</si>
  <si>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</si>
  <si>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</si>
  <si>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</si>
  <si>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</si>
  <si>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</si>
  <si>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</si>
  <si>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</si>
  <si>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</si>
  <si>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</si>
  <si>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</si>
  <si>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</si>
  <si>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</si>
  <si>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</si>
  <si>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</si>
  <si>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</si>
  <si>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</si>
  <si>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</si>
  <si>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</si>
  <si>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</si>
  <si>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</si>
  <si>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</si>
  <si>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</si>
  <si>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</si>
  <si>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</si>
  <si>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</si>
  <si>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</si>
  <si>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</si>
  <si>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</si>
  <si>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</si>
  <si>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</si>
  <si>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</si>
  <si>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</si>
  <si>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</si>
  <si>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</si>
  <si>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</si>
  <si>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</si>
  <si>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</si>
  <si>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</si>
  <si>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</si>
  <si>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</si>
  <si>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</si>
  <si>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</si>
  <si>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</si>
  <si>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</si>
  <si>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</si>
  <si>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</si>
  <si>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</si>
  <si>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</si>
  <si>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</si>
  <si>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</si>
  <si>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</si>
  <si>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</si>
  <si>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</si>
  <si>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</si>
  <si>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</si>
  <si>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</si>
  <si>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</si>
  <si>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</si>
  <si>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</si>
  <si>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</si>
  <si>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</si>
  <si>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</si>
  <si>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</si>
  <si>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</si>
  <si>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</si>
  <si>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</si>
  <si>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</si>
  <si>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</si>
  <si>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</si>
  <si>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</si>
  <si>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</si>
  <si>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</si>
  <si>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</si>
  <si>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</si>
  <si>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</si>
  <si>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</si>
  <si>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</si>
  <si>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</si>
  <si>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</si>
  <si>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</si>
  <si>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</si>
  <si>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</si>
  <si>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</si>
  <si>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</si>
  <si>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</si>
  <si>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</si>
  <si>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</si>
  <si>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</si>
  <si>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</si>
  <si>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</si>
  <si>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</si>
  <si>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</si>
  <si>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</si>
  <si>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</si>
  <si>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</si>
  <si>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</si>
  <si>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</si>
  <si>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</si>
  <si>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</si>
  <si>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</si>
  <si>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</si>
  <si>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</si>
  <si>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</si>
  <si>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</si>
  <si>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</si>
  <si>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</si>
  <si>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</si>
  <si>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</si>
  <si>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</si>
  <si>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</si>
  <si>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</si>
  <si>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</si>
  <si>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</si>
  <si>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</si>
  <si>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</si>
  <si>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</si>
  <si>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</si>
  <si>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</si>
  <si>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</si>
  <si>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</si>
  <si>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</si>
  <si>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</si>
  <si>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</si>
  <si>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</si>
  <si>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</si>
  <si>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</si>
  <si>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</si>
  <si>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</si>
  <si>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</si>
  <si>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</si>
  <si>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</si>
  <si>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</si>
  <si>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</si>
  <si>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</si>
  <si>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</si>
  <si>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</si>
  <si>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</si>
  <si>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</si>
  <si>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</si>
  <si>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</si>
  <si>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</si>
  <si>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</si>
  <si>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L.6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</si>
  <si>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</si>
  <si>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</si>
  <si>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</si>
  <si>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</si>
  <si>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</si>
  <si>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</si>
  <si>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</si>
  <si>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</si>
  <si>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</si>
  <si>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</si>
  <si>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</si>
  <si>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</si>
  <si>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</si>
  <si>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</si>
  <si>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</si>
  <si>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</si>
  <si>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</si>
  <si>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</si>
  <si>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</si>
  <si>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</si>
  <si>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</si>
  <si>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</si>
  <si>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</si>
  <si>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</si>
  <si>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</si>
  <si>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</si>
  <si>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</si>
  <si>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</si>
  <si>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</si>
  <si>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</si>
  <si>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</si>
  <si>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</si>
  <si>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</si>
  <si>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</si>
  <si>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</si>
  <si>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</si>
  <si>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</si>
  <si>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</si>
  <si>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</si>
  <si>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</si>
  <si>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</si>
  <si>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</si>
  <si>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</si>
  <si>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</si>
  <si>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</si>
  <si>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</si>
  <si>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</si>
  <si>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</si>
  <si>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</si>
  <si>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</si>
  <si>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</si>
  <si>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</si>
  <si>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</si>
  <si>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</si>
  <si>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</si>
  <si>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</si>
  <si>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</si>
  <si>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</si>
  <si>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</si>
  <si>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</si>
  <si>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</si>
  <si>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</si>
  <si>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</si>
  <si>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</si>
  <si>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</si>
  <si>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</si>
  <si>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</si>
  <si>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</si>
  <si>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</si>
  <si>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</si>
  <si>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</si>
  <si>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</si>
  <si>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</si>
  <si>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</si>
  <si>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</si>
  <si>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</si>
  <si>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</si>
  <si>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</si>
  <si>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</si>
  <si>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</si>
  <si>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</si>
  <si>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</si>
  <si>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</si>
  <si>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</si>
  <si>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</si>
  <si>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</si>
  <si>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</si>
  <si>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</si>
  <si>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</si>
  <si>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</si>
  <si>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</si>
  <si>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</si>
  <si>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</si>
  <si>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</si>
  <si>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</si>
  <si>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</si>
  <si>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</si>
  <si>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</si>
  <si>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</si>
  <si>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</si>
  <si>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</si>
  <si>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</si>
  <si>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</si>
  <si>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</si>
  <si>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</si>
  <si>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</si>
  <si>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</si>
  <si>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</si>
  <si>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</si>
  <si>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</si>
  <si>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</si>
  <si>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</si>
  <si>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</si>
  <si>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</si>
  <si>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</si>
  <si>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</si>
  <si>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</si>
  <si>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</si>
  <si>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</si>
  <si>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</si>
  <si>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</si>
  <si>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</si>
  <si>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</si>
  <si>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</si>
  <si>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</si>
  <si>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</si>
  <si>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</si>
  <si>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</si>
  <si>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</si>
  <si>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</si>
  <si>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</si>
  <si>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</si>
  <si>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</si>
  <si>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</si>
  <si>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</si>
  <si>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</si>
  <si>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</si>
  <si>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</si>
  <si>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</si>
  <si>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</si>
  <si>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</si>
  <si>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</si>
  <si>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</si>
  <si>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</si>
  <si>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</si>
  <si>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</si>
  <si>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</si>
  <si>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</si>
  <si>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</si>
  <si>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</si>
  <si>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</si>
  <si>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</si>
  <si>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</si>
  <si>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</si>
  <si>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</si>
  <si>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</si>
  <si>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</si>
  <si>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</si>
  <si>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</si>
  <si>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</si>
  <si>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</si>
  <si>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</si>
  <si>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</si>
  <si>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</si>
  <si>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</si>
  <si>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</si>
  <si>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</si>
  <si>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</si>
  <si>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</si>
  <si>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</si>
  <si>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</si>
  <si>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</si>
  <si>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</si>
  <si>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</si>
  <si>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</si>
  <si>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</si>
  <si>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</si>
  <si>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J2</t>
  </si>
  <si>
    <t>Cable amarillo a Piso?</t>
  </si>
  <si>
    <t>J6</t>
  </si>
  <si>
    <t>D.8</t>
  </si>
  <si>
    <t>Component In</t>
  </si>
  <si>
    <t>Emb / De-emb</t>
  </si>
  <si>
    <t>A1</t>
  </si>
  <si>
    <t>A2</t>
  </si>
  <si>
    <t>J5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</si>
  <si>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</si>
  <si>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</si>
  <si>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</si>
  <si>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</si>
  <si>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</si>
  <si>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</si>
  <si>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</si>
  <si>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</si>
  <si>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</si>
  <si>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</si>
  <si>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</si>
  <si>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</si>
  <si>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</si>
  <si>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</si>
  <si>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Distro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</si>
  <si>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</si>
  <si>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</si>
  <si>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</si>
  <si>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</si>
  <si>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</si>
  <si>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</si>
  <si>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</si>
  <si>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</si>
  <si>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</si>
  <si>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</si>
  <si>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 (Audio)</t>
  </si>
  <si>
    <t>AES/EBU In (Audio)</t>
  </si>
  <si>
    <t>Balanced Out L (Audio)</t>
  </si>
  <si>
    <t>Balanced Out R (Audio)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</si>
  <si>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</si>
  <si>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</si>
  <si>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</si>
  <si>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</si>
  <si>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</si>
  <si>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</si>
  <si>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</si>
  <si>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</si>
  <si>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</si>
  <si>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</si>
  <si>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</si>
  <si>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</si>
  <si>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</si>
  <si>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</si>
  <si>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C.1</t>
  </si>
  <si>
    <t>Analog Out 1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</si>
  <si>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</si>
  <si>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</si>
  <si>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</si>
  <si>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</si>
  <si>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</si>
  <si>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</si>
  <si>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</si>
  <si>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</si>
  <si>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</si>
  <si>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</si>
  <si>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</si>
  <si>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Main</t>
  </si>
  <si>
    <t>Video Out 5</t>
  </si>
  <si>
    <t>Video Out 6</t>
  </si>
  <si>
    <t>Video Out 7</t>
  </si>
  <si>
    <t>Video Out 8</t>
  </si>
  <si>
    <t>Loop Out</t>
  </si>
  <si>
    <t>REF Out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</si>
  <si>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</si>
  <si>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</si>
  <si>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</si>
  <si>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</si>
  <si>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</si>
  <si>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</si>
  <si>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</si>
  <si>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</si>
  <si>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</si>
  <si>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</si>
  <si>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</si>
  <si>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</si>
  <si>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</si>
  <si>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</si>
  <si>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</si>
  <si>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</si>
  <si>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</si>
  <si>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</si>
  <si>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</si>
  <si>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</si>
  <si>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</si>
  <si>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</si>
  <si>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</si>
  <si>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</si>
  <si>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</si>
  <si>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</si>
  <si>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</si>
  <si>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</si>
  <si>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</si>
  <si>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</si>
  <si>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</si>
  <si>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</si>
  <si>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</si>
  <si>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</si>
  <si>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</si>
  <si>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</si>
  <si>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</si>
  <si>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</si>
  <si>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</si>
  <si>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</si>
  <si>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</si>
  <si>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</si>
  <si>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</si>
  <si>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</si>
  <si>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</si>
  <si>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</si>
  <si>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</si>
  <si>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</si>
  <si>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</si>
  <si>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</si>
  <si>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</si>
  <si>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</si>
  <si>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</si>
  <si>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</si>
  <si>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</si>
  <si>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</si>
  <si>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</si>
  <si>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</si>
  <si>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</si>
  <si>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</si>
  <si>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</si>
  <si>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</si>
  <si>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</si>
  <si>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</si>
  <si>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</si>
  <si>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</si>
  <si>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</si>
  <si>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</si>
  <si>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</si>
  <si>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</si>
  <si>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</si>
  <si>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</si>
  <si>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</si>
  <si>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</si>
  <si>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</si>
  <si>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</si>
  <si>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</si>
  <si>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</si>
  <si>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</si>
  <si>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</si>
  <si>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</si>
  <si>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</si>
  <si>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</si>
  <si>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</si>
  <si>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</si>
  <si>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</si>
  <si>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</si>
  <si>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</si>
  <si>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</si>
  <si>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</si>
  <si>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</si>
  <si>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</si>
  <si>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</si>
  <si>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</si>
  <si>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</si>
  <si>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</si>
  <si>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</si>
  <si>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</si>
  <si>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</si>
  <si>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Ordenar por Columna:</t>
  </si>
  <si>
    <t>a.6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</si>
</sst>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6" t="s">
        <v>20</v>
      </c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21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22</v>
      </c>
      <c r="M3" s="6" t="s">
        <v>23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24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25</v>
      </c>
      <c r="M4" s="6" t="s">
        <v>26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27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28</v>
      </c>
      <c r="M5" s="6" t="s">
        <v>29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30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31</v>
      </c>
      <c r="M6" s="6" t="s">
        <v>32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33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34</v>
      </c>
      <c r="M7" s="6" t="s">
        <v>35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36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37</v>
      </c>
      <c r="M8" s="6" t="s">
        <v>38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39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40</v>
      </c>
      <c r="M9" s="6" t="s">
        <v>41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42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43</v>
      </c>
      <c r="M10" s="6" t="s">
        <v>44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45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46</v>
      </c>
      <c r="M11" s="6" t="s">
        <v>47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48</v>
      </c>
      <c r="F12" s="5"/>
      <c r="G12" s="5"/>
      <c r="H12" s="6" t="s">
        <v>49</v>
      </c>
      <c r="I12" s="5" t="str">
        <f>IF(H12="","",VLOOKUP(H12,DB!A:B,2,0))</f>
        <v>Blackmagic Multiview 16</v>
      </c>
      <c r="J12" s="5"/>
      <c r="K12" s="6"/>
      <c r="L12" s="6" t="s">
        <v>50</v>
      </c>
      <c r="M12" s="6" t="s">
        <v>51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52</v>
      </c>
      <c r="F13" s="5"/>
      <c r="G13" s="5"/>
      <c r="H13" s="6" t="s">
        <v>49</v>
      </c>
      <c r="I13" s="5" t="str">
        <f>IF(H13="","",VLOOKUP(H13,DB!A:B,2,0))</f>
        <v>Blackmagic Multiview 16</v>
      </c>
      <c r="J13" s="5"/>
      <c r="K13" s="6"/>
      <c r="L13" s="6" t="s">
        <v>53</v>
      </c>
      <c r="M13" s="6" t="s">
        <v>54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55</v>
      </c>
      <c r="F14" s="5"/>
      <c r="G14" s="5"/>
      <c r="H14" s="6" t="s">
        <v>49</v>
      </c>
      <c r="I14" s="5" t="str">
        <f>IF(H14="","",VLOOKUP(H14,DB!A:B,2,0))</f>
        <v>Blackmagic Multiview 16</v>
      </c>
      <c r="J14" s="5"/>
      <c r="K14" s="6"/>
      <c r="L14" s="6" t="s">
        <v>56</v>
      </c>
      <c r="M14" s="6" t="s">
        <v>57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58</v>
      </c>
      <c r="F15" s="5"/>
      <c r="G15" s="5"/>
      <c r="H15" s="6" t="s">
        <v>49</v>
      </c>
      <c r="I15" s="5" t="str">
        <f>IF(H15="","",VLOOKUP(H15,DB!A:B,2,0))</f>
        <v>Blackmagic Multiview 16</v>
      </c>
      <c r="J15" s="5"/>
      <c r="K15" s="6"/>
      <c r="L15" s="6" t="s">
        <v>59</v>
      </c>
      <c r="M15" s="6" t="s">
        <v>60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61</v>
      </c>
      <c r="F16" s="5"/>
      <c r="G16" s="5"/>
      <c r="H16" s="6" t="s">
        <v>49</v>
      </c>
      <c r="I16" s="5" t="str">
        <f>IF(H16="","",VLOOKUP(H16,DB!A:B,2,0))</f>
        <v>Blackmagic Multiview 16</v>
      </c>
      <c r="J16" s="5"/>
      <c r="K16" s="6"/>
      <c r="L16" s="6" t="s">
        <v>62</v>
      </c>
      <c r="M16" s="6" t="s">
        <v>63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64</v>
      </c>
      <c r="F17" s="5"/>
      <c r="G17" s="5"/>
      <c r="H17" s="6" t="s">
        <v>49</v>
      </c>
      <c r="I17" s="5" t="str">
        <f>IF(H17="","",VLOOKUP(H17,DB!A:B,2,0))</f>
        <v>Blackmagic Multiview 16</v>
      </c>
      <c r="J17" s="5"/>
      <c r="K17" s="6"/>
      <c r="L17" s="6" t="s">
        <v>65</v>
      </c>
      <c r="M17" s="6" t="s">
        <v>66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67</v>
      </c>
      <c r="F18" s="5"/>
      <c r="G18" s="5"/>
      <c r="H18" s="6" t="s">
        <v>68</v>
      </c>
      <c r="I18" s="5" t="str">
        <f>IF(H18="","",VLOOKUP(H18,DB!A:B,2,0))</f>
        <v>AJA FS4</v>
      </c>
      <c r="J18" s="5"/>
      <c r="K18" s="6"/>
      <c r="L18" s="6" t="s">
        <v>69</v>
      </c>
      <c r="M18" s="6" t="s">
        <v>70</v>
      </c>
      <c r="N18" s="6" t="s">
        <v>71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72</v>
      </c>
      <c r="F19" s="5"/>
      <c r="G19" s="5"/>
      <c r="H19" s="6" t="s">
        <v>73</v>
      </c>
      <c r="I19" s="5" t="str">
        <f>IF(H19="","",VLOOKUP(H19,DB!A:B,2,0))</f>
        <v>Loop A</v>
      </c>
      <c r="J19" s="6">
        <v>2.0</v>
      </c>
      <c r="K19" s="6" t="s">
        <v>74</v>
      </c>
      <c r="L19" s="6" t="s">
        <v>75</v>
      </c>
      <c r="M19" s="6" t="s">
        <v>76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77</v>
      </c>
      <c r="F20" s="5"/>
      <c r="G20" s="5"/>
      <c r="H20" s="6" t="s">
        <v>78</v>
      </c>
      <c r="I20" s="5" t="str">
        <f>IF(H20="","",VLOOKUP(H20,DB!A:B,2,0))</f>
        <v>Loop B</v>
      </c>
      <c r="J20" s="6">
        <v>1.0</v>
      </c>
      <c r="K20" s="6" t="s">
        <v>74</v>
      </c>
      <c r="L20" s="6" t="s">
        <v>75</v>
      </c>
      <c r="M20" s="6" t="s">
        <v>79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80</v>
      </c>
      <c r="F21" s="5"/>
      <c r="G21" s="5"/>
      <c r="H21" s="6" t="s">
        <v>78</v>
      </c>
      <c r="I21" s="5" t="str">
        <f>IF(H21="","",VLOOKUP(H21,DB!A:B,2,0))</f>
        <v>Loop B</v>
      </c>
      <c r="J21" s="6">
        <v>2.0</v>
      </c>
      <c r="K21" s="6" t="s">
        <v>74</v>
      </c>
      <c r="L21" s="6" t="s">
        <v>75</v>
      </c>
      <c r="M21" s="6" t="s">
        <v>81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82</v>
      </c>
      <c r="F22" s="5"/>
      <c r="G22" s="5"/>
      <c r="H22" s="6" t="s">
        <v>83</v>
      </c>
      <c r="I22" s="5" t="str">
        <f>IF(H22="","",VLOOKUP(H22,DB!A:B,2,0))</f>
        <v>Loop C</v>
      </c>
      <c r="J22" s="6">
        <v>1.0</v>
      </c>
      <c r="K22" s="6" t="s">
        <v>74</v>
      </c>
      <c r="L22" s="6" t="s">
        <v>75</v>
      </c>
      <c r="M22" s="6" t="s">
        <v>84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85</v>
      </c>
      <c r="F23" s="5"/>
      <c r="G23" s="5"/>
      <c r="H23" s="6" t="s">
        <v>83</v>
      </c>
      <c r="I23" s="5" t="str">
        <f>IF(H23="","",VLOOKUP(H23,DB!A:B,2,0))</f>
        <v>Loop C</v>
      </c>
      <c r="J23" s="6">
        <v>2.0</v>
      </c>
      <c r="K23" s="6" t="s">
        <v>74</v>
      </c>
      <c r="L23" s="6" t="s">
        <v>75</v>
      </c>
      <c r="M23" s="6" t="s">
        <v>86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87</v>
      </c>
      <c r="F24" s="5"/>
      <c r="G24" s="5"/>
      <c r="H24" s="6" t="s">
        <v>49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88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89</v>
      </c>
      <c r="F25" s="5"/>
      <c r="G25" s="5"/>
      <c r="H25" s="6" t="s">
        <v>90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91</v>
      </c>
      <c r="F26" s="5"/>
      <c r="G26" s="5"/>
      <c r="H26" s="6" t="s">
        <v>92</v>
      </c>
      <c r="I26" s="5" t="str">
        <f>IF(H26="","",VLOOKUP(H26,DB!A:B,2,0))</f>
        <v>FOR A HVS-390HS</v>
      </c>
      <c r="J26" s="5"/>
      <c r="K26" s="6"/>
      <c r="L26" s="6" t="s">
        <v>50</v>
      </c>
      <c r="M26" s="6" t="s">
        <v>93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94</v>
      </c>
      <c r="F27" s="5"/>
      <c r="G27" s="5"/>
      <c r="H27" s="6" t="s">
        <v>92</v>
      </c>
      <c r="I27" s="5" t="str">
        <f>IF(H27="","",VLOOKUP(H27,DB!A:B,2,0))</f>
        <v>FOR A HVS-390HS</v>
      </c>
      <c r="J27" s="5"/>
      <c r="K27" s="6"/>
      <c r="L27" s="6" t="s">
        <v>53</v>
      </c>
      <c r="M27" s="6" t="s">
        <v>95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96</v>
      </c>
      <c r="F28" s="5"/>
      <c r="G28" s="5"/>
      <c r="H28" s="6" t="s">
        <v>92</v>
      </c>
      <c r="I28" s="5" t="str">
        <f>IF(H28="","",VLOOKUP(H28,DB!A:B,2,0))</f>
        <v>FOR A HVS-390HS</v>
      </c>
      <c r="J28" s="5"/>
      <c r="K28" s="6"/>
      <c r="L28" s="6" t="s">
        <v>56</v>
      </c>
      <c r="M28" s="6" t="s">
        <v>97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98</v>
      </c>
      <c r="F29" s="5"/>
      <c r="G29" s="5"/>
      <c r="H29" s="6" t="s">
        <v>92</v>
      </c>
      <c r="I29" s="5" t="str">
        <f>IF(H29="","",VLOOKUP(H29,DB!A:B,2,0))</f>
        <v>FOR A HVS-390HS</v>
      </c>
      <c r="J29" s="5"/>
      <c r="K29" s="6"/>
      <c r="L29" s="6" t="s">
        <v>59</v>
      </c>
      <c r="M29" s="6" t="s">
        <v>99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100</v>
      </c>
      <c r="F30" s="5"/>
      <c r="G30" s="5"/>
      <c r="H30" s="6" t="s">
        <v>90</v>
      </c>
      <c r="I30" s="5" t="str">
        <f>IF(H30="","",VLOOKUP(H30,DB!A:B,2,0))</f>
        <v/>
      </c>
      <c r="J30" s="6"/>
      <c r="K30" s="6"/>
      <c r="L30" s="6"/>
      <c r="M30" s="6"/>
      <c r="N30" s="6" t="s">
        <v>101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102</v>
      </c>
      <c r="F31" s="5"/>
      <c r="G31" s="5"/>
      <c r="H31" s="6" t="s">
        <v>103</v>
      </c>
      <c r="I31" s="5" t="str">
        <f>IF(H31="","",VLOOKUP(H31,DB!A:B,2,0))</f>
        <v>PC Rack</v>
      </c>
      <c r="J31" s="6">
        <v>1.0</v>
      </c>
      <c r="K31" s="6" t="s">
        <v>74</v>
      </c>
      <c r="L31" s="6" t="s">
        <v>104</v>
      </c>
      <c r="M31" s="6" t="s">
        <v>105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106</v>
      </c>
      <c r="F32" s="5"/>
      <c r="G32" s="5"/>
      <c r="H32" s="6" t="s">
        <v>107</v>
      </c>
      <c r="I32" s="5" t="str">
        <f>IF(H32="","",VLOOKUP(H32,DB!A:B,2,0))</f>
        <v>Datavideo TC-200</v>
      </c>
      <c r="J32" s="5"/>
      <c r="K32" s="6"/>
      <c r="L32" s="6" t="s">
        <v>108</v>
      </c>
      <c r="M32" s="6" t="s">
        <v>109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110</v>
      </c>
      <c r="F33" s="5"/>
      <c r="G33" s="5"/>
      <c r="H33" s="6" t="s">
        <v>111</v>
      </c>
      <c r="I33" s="5" t="str">
        <f>IF(H33="","",VLOOKUP(H33,DB!A:B,2,0))</f>
        <v>Escalador Pantalla</v>
      </c>
      <c r="J33" s="5"/>
      <c r="K33" s="5"/>
      <c r="L33" s="5"/>
      <c r="M33" s="6" t="s">
        <v>112</v>
      </c>
      <c r="N33" s="6" t="s">
        <v>113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114</v>
      </c>
      <c r="F34" s="5"/>
      <c r="G34" s="5"/>
      <c r="H34" s="6" t="s">
        <v>115</v>
      </c>
      <c r="I34" s="5" t="str">
        <f>IF(H34="","",VLOOKUP(H34,DB!A:B,2,0))</f>
        <v>Patch Panel</v>
      </c>
      <c r="J34" s="5"/>
      <c r="K34" s="6"/>
      <c r="L34" s="6" t="s">
        <v>65</v>
      </c>
      <c r="M34" s="6" t="s">
        <v>116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117</v>
      </c>
      <c r="F35" s="5"/>
      <c r="G35" s="5"/>
      <c r="H35" s="6" t="s">
        <v>115</v>
      </c>
      <c r="I35" s="5" t="str">
        <f>IF(H35="","",VLOOKUP(H35,DB!A:B,2,0))</f>
        <v>Patch Panel</v>
      </c>
      <c r="J35" s="5"/>
      <c r="K35" s="6"/>
      <c r="L35" s="6" t="s">
        <v>62</v>
      </c>
      <c r="M35" s="6" t="s">
        <v>118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119</v>
      </c>
      <c r="F36" s="5"/>
      <c r="G36" s="5"/>
      <c r="H36" s="6" t="s">
        <v>115</v>
      </c>
      <c r="I36" s="5" t="str">
        <f>IF(H36="","",VLOOKUP(H36,DB!A:B,2,0))</f>
        <v>Patch Panel</v>
      </c>
      <c r="J36" s="5"/>
      <c r="K36" s="6"/>
      <c r="L36" s="6" t="s">
        <v>59</v>
      </c>
      <c r="M36" s="6" t="s">
        <v>120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121</v>
      </c>
      <c r="F37" s="5"/>
      <c r="G37" s="5"/>
      <c r="H37" s="6" t="s">
        <v>115</v>
      </c>
      <c r="I37" s="5" t="str">
        <f>IF(H37="","",VLOOKUP(H37,DB!A:B,2,0))</f>
        <v>Patch Panel</v>
      </c>
      <c r="J37" s="5"/>
      <c r="K37" s="6"/>
      <c r="L37" s="6" t="s">
        <v>56</v>
      </c>
      <c r="M37" s="6" t="s">
        <v>122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123</v>
      </c>
      <c r="F38" s="5"/>
      <c r="G38" s="5"/>
      <c r="H38" s="6" t="s">
        <v>115</v>
      </c>
      <c r="I38" s="5" t="str">
        <f>IF(H38="","",VLOOKUP(H38,DB!A:B,2,0))</f>
        <v>Patch Panel</v>
      </c>
      <c r="J38" s="5"/>
      <c r="K38" s="6"/>
      <c r="L38" s="6" t="s">
        <v>53</v>
      </c>
      <c r="M38" s="6" t="s">
        <v>124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125</v>
      </c>
      <c r="F39" s="5"/>
      <c r="G39" s="5"/>
      <c r="H39" s="6" t="s">
        <v>115</v>
      </c>
      <c r="I39" s="5" t="str">
        <f>IF(H39="","",VLOOKUP(H39,DB!A:B,2,0))</f>
        <v>Patch Panel</v>
      </c>
      <c r="J39" s="5"/>
      <c r="K39" s="6"/>
      <c r="L39" s="6" t="s">
        <v>50</v>
      </c>
      <c r="M39" s="6" t="s">
        <v>126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127</v>
      </c>
      <c r="F40" s="5"/>
      <c r="G40" s="5"/>
      <c r="H40" s="6" t="s">
        <v>115</v>
      </c>
      <c r="I40" s="5" t="str">
        <f>IF(H40="","",VLOOKUP(H40,DB!A:B,2,0))</f>
        <v>Patch Panel</v>
      </c>
      <c r="J40" s="5"/>
      <c r="K40" s="6"/>
      <c r="L40" s="6" t="s">
        <v>46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128</v>
      </c>
      <c r="F41" s="5"/>
      <c r="G41" s="5"/>
      <c r="H41" s="6" t="s">
        <v>115</v>
      </c>
      <c r="I41" s="5" t="str">
        <f>IF(H41="","",VLOOKUP(H41,DB!A:B,2,0))</f>
        <v>Patch Panel</v>
      </c>
      <c r="J41" s="5"/>
      <c r="K41" s="6"/>
      <c r="L41" s="6" t="s">
        <v>43</v>
      </c>
      <c r="M41" s="6" t="s">
        <v>116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129</v>
      </c>
      <c r="F42" s="5"/>
      <c r="G42" s="5"/>
      <c r="H42" s="6" t="s">
        <v>115</v>
      </c>
      <c r="I42" s="5" t="str">
        <f>IF(H42="","",VLOOKUP(H42,DB!A:B,2,0))</f>
        <v>Patch Panel</v>
      </c>
      <c r="J42" s="5"/>
      <c r="K42" s="6"/>
      <c r="L42" s="6" t="s">
        <v>40</v>
      </c>
      <c r="M42" s="6" t="s">
        <v>130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131</v>
      </c>
      <c r="F43" s="5"/>
      <c r="G43" s="5"/>
      <c r="H43" s="6" t="s">
        <v>115</v>
      </c>
      <c r="I43" s="5" t="str">
        <f>IF(H43="","",VLOOKUP(H43,DB!A:B,2,0))</f>
        <v>Patch Panel</v>
      </c>
      <c r="J43" s="5"/>
      <c r="K43" s="6"/>
      <c r="L43" s="6" t="s">
        <v>37</v>
      </c>
      <c r="M43" s="6" t="s">
        <v>132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133</v>
      </c>
      <c r="F44" s="5"/>
      <c r="G44" s="5"/>
      <c r="H44" s="6" t="s">
        <v>115</v>
      </c>
      <c r="I44" s="5" t="str">
        <f>IF(H44="","",VLOOKUP(H44,DB!A:B,2,0))</f>
        <v>Patch Panel</v>
      </c>
      <c r="J44" s="5"/>
      <c r="K44" s="6"/>
      <c r="L44" s="6" t="s">
        <v>34</v>
      </c>
      <c r="M44" s="6" t="s">
        <v>134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135</v>
      </c>
      <c r="F45" s="5"/>
      <c r="G45" s="5"/>
      <c r="H45" s="6" t="s">
        <v>115</v>
      </c>
      <c r="I45" s="5" t="str">
        <f>IF(H45="","",VLOOKUP(H45,DB!A:B,2,0))</f>
        <v>Patch Panel</v>
      </c>
      <c r="J45" s="5"/>
      <c r="K45" s="6"/>
      <c r="L45" s="6" t="s">
        <v>31</v>
      </c>
      <c r="M45" s="6" t="s">
        <v>136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137</v>
      </c>
      <c r="F46" s="5"/>
      <c r="G46" s="5"/>
      <c r="H46" s="6" t="s">
        <v>115</v>
      </c>
      <c r="I46" s="5" t="str">
        <f>IF(H46="","",VLOOKUP(H46,DB!A:B,2,0))</f>
        <v>Patch Panel</v>
      </c>
      <c r="J46" s="5"/>
      <c r="K46" s="6"/>
      <c r="L46" s="6" t="s">
        <v>28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138</v>
      </c>
      <c r="F47" s="5"/>
      <c r="G47" s="5"/>
      <c r="H47" s="6" t="s">
        <v>115</v>
      </c>
      <c r="I47" s="5" t="str">
        <f>IF(H47="","",VLOOKUP(H47,DB!A:B,2,0))</f>
        <v>Patch Panel</v>
      </c>
      <c r="J47" s="5"/>
      <c r="K47" s="6"/>
      <c r="L47" s="6" t="s">
        <v>25</v>
      </c>
      <c r="M47" s="6" t="s">
        <v>139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140</v>
      </c>
      <c r="F48" s="5"/>
      <c r="G48" s="5"/>
      <c r="H48" s="6" t="s">
        <v>115</v>
      </c>
      <c r="I48" s="5" t="str">
        <f>IF(H48="","",VLOOKUP(H48,DB!A:B,2,0))</f>
        <v>Patch Panel</v>
      </c>
      <c r="J48" s="5"/>
      <c r="K48" s="6"/>
      <c r="L48" s="6" t="s">
        <v>22</v>
      </c>
      <c r="M48" s="6" t="s">
        <v>141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142</v>
      </c>
      <c r="F49" s="5"/>
      <c r="G49" s="5"/>
      <c r="H49" s="6" t="s">
        <v>115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143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144</v>
      </c>
      <c r="F50" s="5"/>
      <c r="G50" s="5"/>
      <c r="H50" s="6" t="s">
        <v>145</v>
      </c>
      <c r="I50" s="5" t="str">
        <f>IF(H50="","",VLOOKUP(H50,DB!A:B,2,0))</f>
        <v>openGear X</v>
      </c>
      <c r="J50" s="6">
        <v>9.0</v>
      </c>
      <c r="K50" s="6" t="s">
        <v>146</v>
      </c>
      <c r="L50" s="6" t="s">
        <v>147</v>
      </c>
      <c r="M50" s="6" t="s">
        <v>118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148</v>
      </c>
      <c r="F51" s="5"/>
      <c r="G51" s="5"/>
      <c r="H51" s="6" t="s">
        <v>90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149</v>
      </c>
      <c r="F52" s="5"/>
      <c r="G52" s="5"/>
      <c r="H52" s="6" t="s">
        <v>150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151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152</v>
      </c>
      <c r="F53" s="5"/>
      <c r="G53" s="5"/>
      <c r="H53" s="6" t="s">
        <v>153</v>
      </c>
      <c r="I53" s="5" t="str">
        <f>IF(H53="","",VLOOKUP(H53,DB!A:B,2,0))</f>
        <v>AJA FS2</v>
      </c>
      <c r="J53" s="5"/>
      <c r="K53" s="6"/>
      <c r="L53" s="6" t="s">
        <v>69</v>
      </c>
      <c r="M53" s="6" t="s">
        <v>154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155</v>
      </c>
      <c r="F54" s="5"/>
      <c r="G54" s="5"/>
      <c r="H54" s="6" t="s">
        <v>90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156</v>
      </c>
      <c r="F55" s="5"/>
      <c r="G55" s="5"/>
      <c r="H55" s="6" t="s">
        <v>157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158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159</v>
      </c>
      <c r="F56" s="5"/>
      <c r="G56" s="5"/>
      <c r="H56" s="6" t="s">
        <v>90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160</v>
      </c>
      <c r="F57" s="5"/>
      <c r="G57" s="5"/>
      <c r="H57" s="6" t="s">
        <v>161</v>
      </c>
      <c r="I57" s="5" t="str">
        <f>IF(H57="","",VLOOKUP(H57,DB!A:B,2,0))</f>
        <v>CGX</v>
      </c>
      <c r="J57" s="6">
        <v>1.0</v>
      </c>
      <c r="K57" s="6" t="s">
        <v>74</v>
      </c>
      <c r="L57" s="6" t="s">
        <v>75</v>
      </c>
      <c r="M57" s="6" t="s">
        <v>162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163</v>
      </c>
      <c r="F58" s="5"/>
      <c r="G58" s="5"/>
      <c r="H58" s="6" t="s">
        <v>68</v>
      </c>
      <c r="I58" s="5" t="str">
        <f>IF(H58="","",VLOOKUP(H58,DB!A:B,2,0))</f>
        <v>AJA FS4</v>
      </c>
      <c r="J58" s="5"/>
      <c r="K58" s="6"/>
      <c r="L58" s="6" t="s">
        <v>164</v>
      </c>
      <c r="M58" s="6" t="s">
        <v>165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166</v>
      </c>
      <c r="F59" s="5"/>
      <c r="G59" s="5"/>
      <c r="H59" s="6" t="s">
        <v>90</v>
      </c>
      <c r="I59" s="5" t="str">
        <f>IF(H59="","",VLOOKUP(H59,DB!A:B,2,0))</f>
        <v/>
      </c>
      <c r="J59" s="5"/>
      <c r="K59" s="5"/>
      <c r="L59" s="5"/>
      <c r="M59" s="6" t="s">
        <v>167</v>
      </c>
      <c r="N59" s="6" t="s">
        <v>168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169</v>
      </c>
      <c r="F60" s="5"/>
      <c r="G60" s="5"/>
      <c r="H60" s="6" t="s">
        <v>68</v>
      </c>
      <c r="I60" s="5" t="str">
        <f>IF(H60="","",VLOOKUP(H60,DB!A:B,2,0))</f>
        <v>AJA FS4</v>
      </c>
      <c r="J60" s="5"/>
      <c r="K60" s="6"/>
      <c r="L60" s="6" t="s">
        <v>170</v>
      </c>
      <c r="M60" s="6" t="s">
        <v>171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172</v>
      </c>
      <c r="F61" s="5"/>
      <c r="G61" s="5"/>
      <c r="H61" s="6" t="s">
        <v>68</v>
      </c>
      <c r="I61" s="5" t="str">
        <f>IF(H61="","",VLOOKUP(H61,DB!A:B,2,0))</f>
        <v>AJA FS4</v>
      </c>
      <c r="J61" s="5"/>
      <c r="K61" s="6"/>
      <c r="L61" s="6" t="s">
        <v>173</v>
      </c>
      <c r="M61" s="6" t="s">
        <v>174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175</v>
      </c>
      <c r="F62" s="5"/>
      <c r="G62" s="5"/>
      <c r="H62" s="6" t="s">
        <v>176</v>
      </c>
      <c r="I62" s="5" t="str">
        <f>IF(H62="","",VLOOKUP(H62,DB!A:B,2,0))</f>
        <v>Leader LV 7770</v>
      </c>
      <c r="J62" s="5"/>
      <c r="K62" s="6"/>
      <c r="L62" s="6" t="s">
        <v>177</v>
      </c>
      <c r="M62" s="6" t="s">
        <v>178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179</v>
      </c>
      <c r="F63" s="5"/>
      <c r="G63" s="5"/>
      <c r="H63" s="6" t="s">
        <v>176</v>
      </c>
      <c r="I63" s="5" t="str">
        <f>IF(H63="","",VLOOKUP(H63,DB!A:B,2,0))</f>
        <v>Leader LV 7770</v>
      </c>
      <c r="J63" s="5"/>
      <c r="K63" s="6"/>
      <c r="L63" s="6" t="s">
        <v>180</v>
      </c>
      <c r="M63" s="6" t="s">
        <v>181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182</v>
      </c>
      <c r="F64" s="5"/>
      <c r="G64" s="5"/>
      <c r="H64" s="6" t="s">
        <v>183</v>
      </c>
      <c r="I64" s="5" t="str">
        <f>IF(H64="","",VLOOKUP(H64,DB!A:B,2,0))</f>
        <v>openGear X</v>
      </c>
      <c r="J64" s="6" t="s">
        <v>184</v>
      </c>
      <c r="K64" s="6"/>
      <c r="L64" s="6" t="s">
        <v>108</v>
      </c>
      <c r="M64" s="6" t="s">
        <v>185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186</v>
      </c>
      <c r="F65" s="5"/>
      <c r="G65" s="5"/>
      <c r="H65" s="6" t="s">
        <v>187</v>
      </c>
      <c r="I65" s="5" t="str">
        <f>IF(H65="","",VLOOKUP(H65,DB!A:B,2,0))</f>
        <v>openGear X</v>
      </c>
      <c r="J65" s="6">
        <v>5.0</v>
      </c>
      <c r="K65" s="6" t="s">
        <v>188</v>
      </c>
      <c r="L65" s="6" t="s">
        <v>108</v>
      </c>
      <c r="M65" s="6" t="s">
        <v>189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190</v>
      </c>
      <c r="B66" s="6" t="str">
        <f>IF(A66="","",VLOOKUP(A66,DB!A:B,2,0))</f>
        <v>Player A</v>
      </c>
      <c r="C66" s="6">
        <v>1.0</v>
      </c>
      <c r="D66" s="6" t="s">
        <v>74</v>
      </c>
      <c r="E66" s="6" t="s">
        <v>191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192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193</v>
      </c>
      <c r="B67" s="6" t="str">
        <f>IF(A67="","",VLOOKUP(A67,DB!A:B,2,0))</f>
        <v>Player B</v>
      </c>
      <c r="C67" s="6">
        <v>1.0</v>
      </c>
      <c r="D67" s="6" t="s">
        <v>74</v>
      </c>
      <c r="E67" s="6" t="s">
        <v>191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22</v>
      </c>
      <c r="M67" s="6" t="s">
        <v>194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195</v>
      </c>
      <c r="B68" s="7" t="str">
        <f>IF(A68="","",VLOOKUP(A68,DB!A:B,2,0))</f>
        <v>Player C</v>
      </c>
      <c r="C68" s="8">
        <v>1.0</v>
      </c>
      <c r="D68" s="7" t="s">
        <v>74</v>
      </c>
      <c r="E68" s="7" t="s">
        <v>191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25</v>
      </c>
      <c r="M68" s="7" t="s">
        <v>196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195</v>
      </c>
      <c r="B69" s="9" t="str">
        <f>IF(A69="","",VLOOKUP(A69,DB!A:B,2,0))</f>
        <v>Player C</v>
      </c>
      <c r="C69" s="10">
        <v>2.0</v>
      </c>
      <c r="D69" s="9" t="s">
        <v>74</v>
      </c>
      <c r="E69" s="9" t="s">
        <v>191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28</v>
      </c>
      <c r="M69" s="9" t="s">
        <v>197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7" t="s">
        <v>92</v>
      </c>
      <c r="B70" s="7" t="str">
        <f>IF(A70="","",VLOOKUP(A70,DB!A:B,2,0))</f>
        <v>FOR A HVS-390HS</v>
      </c>
      <c r="C70" s="7"/>
      <c r="D70" s="7"/>
      <c r="E70" s="7" t="s">
        <v>16</v>
      </c>
      <c r="F70" s="7"/>
      <c r="G70" s="7"/>
      <c r="H70" s="7" t="s">
        <v>15</v>
      </c>
      <c r="I70" s="7" t="str">
        <f>IF(H70="","",VLOOKUP(H70,DB!A:B,2,0))</f>
        <v>AJA KUMO 6464</v>
      </c>
      <c r="J70" s="7"/>
      <c r="K70" s="7"/>
      <c r="L70" s="7" t="s">
        <v>31</v>
      </c>
      <c r="M70" s="7" t="s">
        <v>198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7" t="s">
        <v>92</v>
      </c>
      <c r="B71" s="7" t="str">
        <f>IF(A71="","",VLOOKUP(A71,DB!A:B,2,0))</f>
        <v>FOR A HVS-390HS</v>
      </c>
      <c r="C71" s="7"/>
      <c r="D71" s="7"/>
      <c r="E71" s="7" t="s">
        <v>199</v>
      </c>
      <c r="F71" s="7"/>
      <c r="G71" s="7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34</v>
      </c>
      <c r="M71" s="7" t="s">
        <v>200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153</v>
      </c>
      <c r="B72" s="7" t="str">
        <f>IF(A72="","",VLOOKUP(A72,DB!A:B,2,0))</f>
        <v>AJA FS2</v>
      </c>
      <c r="C72" s="7"/>
      <c r="D72" s="7"/>
      <c r="E72" s="11" t="s">
        <v>201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37</v>
      </c>
      <c r="M72" s="7" t="s">
        <v>202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40</v>
      </c>
      <c r="M73" s="9" t="s">
        <v>205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90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43</v>
      </c>
      <c r="M74" s="12" t="s">
        <v>90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183</v>
      </c>
      <c r="B75" s="6" t="str">
        <f>IF(A75="","",VLOOKUP(A75,DB!A:B,2,0))</f>
        <v>openGear X</v>
      </c>
      <c r="C75" s="6">
        <v>2.0</v>
      </c>
      <c r="D75" s="6" t="s">
        <v>206</v>
      </c>
      <c r="E75" s="6" t="s">
        <v>207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46</v>
      </c>
      <c r="M75" s="6" t="s">
        <v>208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183</v>
      </c>
      <c r="B76" s="6" t="str">
        <f>IF(A76="","",VLOOKUP(A76,DB!A:B,2,0))</f>
        <v>openGear X</v>
      </c>
      <c r="C76" s="6">
        <v>5.0</v>
      </c>
      <c r="D76" s="6" t="s">
        <v>206</v>
      </c>
      <c r="E76" s="6" t="s">
        <v>207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50</v>
      </c>
      <c r="M76" s="6" t="s">
        <v>209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210</v>
      </c>
      <c r="B77" s="6" t="str">
        <f>IF(A77="","",VLOOKUP(A77,DB!A:B,2,0))</f>
        <v>BM OF to SDI</v>
      </c>
      <c r="C77" s="5"/>
      <c r="D77" s="5"/>
      <c r="E77" s="6" t="s">
        <v>207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53</v>
      </c>
      <c r="M77" s="6" t="s">
        <v>211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183</v>
      </c>
      <c r="B78" s="6" t="str">
        <f>IF(A78="","",VLOOKUP(A78,DB!A:B,2,0))</f>
        <v>openGear X</v>
      </c>
      <c r="C78" s="6">
        <v>6.0</v>
      </c>
      <c r="D78" s="6" t="s">
        <v>206</v>
      </c>
      <c r="E78" s="6" t="s">
        <v>207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56</v>
      </c>
      <c r="M78" s="6" t="s">
        <v>212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183</v>
      </c>
      <c r="B79" s="6" t="str">
        <f>IF(A79="","",VLOOKUP(A79,DB!A:B,2,0))</f>
        <v>openGear X</v>
      </c>
      <c r="C79" s="6">
        <v>4.0</v>
      </c>
      <c r="D79" s="6" t="s">
        <v>206</v>
      </c>
      <c r="E79" s="6" t="s">
        <v>207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59</v>
      </c>
      <c r="M79" s="6" t="s">
        <v>213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90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62</v>
      </c>
      <c r="M80" s="6" t="s">
        <v>90</v>
      </c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183</v>
      </c>
      <c r="B81" s="6" t="str">
        <f>IF(A81="","",VLOOKUP(A81,DB!A:B,2,0))</f>
        <v>openGear X</v>
      </c>
      <c r="C81" s="6">
        <v>3.0</v>
      </c>
      <c r="D81" s="6" t="s">
        <v>206</v>
      </c>
      <c r="E81" s="6" t="s">
        <v>207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65</v>
      </c>
      <c r="M81" s="6" t="s">
        <v>215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217</v>
      </c>
      <c r="M82" s="6" t="s">
        <v>218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220</v>
      </c>
      <c r="M83" s="6" t="s">
        <v>221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223</v>
      </c>
      <c r="M84" s="6" t="s">
        <v>224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226</v>
      </c>
      <c r="M85" s="6" t="s">
        <v>227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230</v>
      </c>
      <c r="M86" s="6" t="s">
        <v>231</v>
      </c>
      <c r="N86" s="5"/>
      <c r="O86" s="6" t="s">
        <v>232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150</v>
      </c>
      <c r="B87" s="6" t="str">
        <f>IF(A87="","",VLOOKUP(A87,DB!A:B,2,0))</f>
        <v>GrassValley T2</v>
      </c>
      <c r="C87" s="5"/>
      <c r="D87" s="5"/>
      <c r="E87" s="6" t="s">
        <v>191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233</v>
      </c>
      <c r="M87" s="6" t="s">
        <v>234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237</v>
      </c>
      <c r="M88" s="6" t="s">
        <v>238</v>
      </c>
      <c r="N88" s="5"/>
      <c r="O88" s="6" t="s">
        <v>239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90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240</v>
      </c>
      <c r="M89" s="6" t="s">
        <v>90</v>
      </c>
      <c r="N89" s="6" t="s">
        <v>241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90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242</v>
      </c>
      <c r="M90" s="5"/>
      <c r="N90" s="6" t="s">
        <v>214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145</v>
      </c>
      <c r="B91" s="6" t="str">
        <f>IF(A91="","",VLOOKUP(A91,DB!A:B,2,0))</f>
        <v>openGear X</v>
      </c>
      <c r="C91" s="6">
        <v>1.0</v>
      </c>
      <c r="D91" s="6" t="s">
        <v>243</v>
      </c>
      <c r="E91" s="6" t="s">
        <v>16</v>
      </c>
      <c r="F91" s="6" t="s">
        <v>244</v>
      </c>
      <c r="G91" s="6" t="s">
        <v>245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246</v>
      </c>
      <c r="M91" s="6" t="s">
        <v>247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145</v>
      </c>
      <c r="B92" s="6" t="str">
        <f>IF(A92="","",VLOOKUP(A92,DB!A:B,2,0))</f>
        <v>openGear X</v>
      </c>
      <c r="C92" s="6">
        <v>2.0</v>
      </c>
      <c r="D92" s="6" t="s">
        <v>243</v>
      </c>
      <c r="E92" s="6" t="s">
        <v>16</v>
      </c>
      <c r="F92" s="6" t="s">
        <v>244</v>
      </c>
      <c r="G92" s="6" t="s">
        <v>245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248</v>
      </c>
      <c r="M92" s="6" t="s">
        <v>249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145</v>
      </c>
      <c r="B93" s="6" t="str">
        <f>IF(A93="","",VLOOKUP(A93,DB!A:B,2,0))</f>
        <v>openGear X</v>
      </c>
      <c r="C93" s="6">
        <v>3.0</v>
      </c>
      <c r="D93" s="6" t="s">
        <v>243</v>
      </c>
      <c r="E93" s="6" t="s">
        <v>16</v>
      </c>
      <c r="F93" s="6" t="s">
        <v>244</v>
      </c>
      <c r="G93" s="6" t="s">
        <v>245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250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103</v>
      </c>
      <c r="B94" s="6" t="str">
        <f>IF(A94="","",VLOOKUP(A94,DB!A:B,2,0))</f>
        <v>PC Rack</v>
      </c>
      <c r="C94" s="6">
        <v>1.0</v>
      </c>
      <c r="D94" s="6" t="s">
        <v>74</v>
      </c>
      <c r="E94" s="6" t="s">
        <v>251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252</v>
      </c>
      <c r="M94" s="6" t="s">
        <v>253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254</v>
      </c>
      <c r="B95" s="6" t="str">
        <f>IF(A95="","",VLOOKUP(A95,DB!A:B,2,0))</f>
        <v>Blackmagic Multiview 4</v>
      </c>
      <c r="C95" s="5"/>
      <c r="D95" s="5"/>
      <c r="E95" s="6" t="s">
        <v>207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255</v>
      </c>
      <c r="M95" s="6" t="s">
        <v>256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107</v>
      </c>
      <c r="B96" s="6" t="str">
        <f>IF(A96="","",VLOOKUP(A96,DB!A:B,2,0))</f>
        <v>Datavideo TC-200</v>
      </c>
      <c r="C96" s="5"/>
      <c r="D96" s="5"/>
      <c r="E96" s="6" t="s">
        <v>207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257</v>
      </c>
      <c r="M96" s="6" t="s">
        <v>258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90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259</v>
      </c>
      <c r="M97" s="6" t="s">
        <v>90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260</v>
      </c>
      <c r="B98" s="6" t="str">
        <f>IF(A98="","",VLOOKUP(A98,DB!A:B,2,0))</f>
        <v>Apple TV</v>
      </c>
      <c r="C98" s="5"/>
      <c r="D98" s="5"/>
      <c r="E98" s="6" t="s">
        <v>261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262</v>
      </c>
      <c r="M98" s="6" t="s">
        <v>263</v>
      </c>
      <c r="N98" s="5"/>
      <c r="O98" s="6" t="s">
        <v>264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265</v>
      </c>
      <c r="B99" s="6" t="str">
        <f>IF(A99="","",VLOOKUP(A99,DB!A:B,2,0))</f>
        <v>Patch Panel</v>
      </c>
      <c r="C99" s="5"/>
      <c r="D99" s="6"/>
      <c r="E99" s="6" t="s">
        <v>61</v>
      </c>
      <c r="F99" s="6" t="s">
        <v>244</v>
      </c>
      <c r="G99" s="6" t="s">
        <v>62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266</v>
      </c>
      <c r="M99" s="6" t="s">
        <v>267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265</v>
      </c>
      <c r="B100" s="6" t="str">
        <f>IF(A100="","",VLOOKUP(A100,DB!A:B,2,0))</f>
        <v>Patch Panel</v>
      </c>
      <c r="C100" s="5"/>
      <c r="D100" s="6"/>
      <c r="E100" s="6" t="s">
        <v>58</v>
      </c>
      <c r="F100" s="6" t="s">
        <v>244</v>
      </c>
      <c r="G100" s="6" t="s">
        <v>59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268</v>
      </c>
      <c r="M100" s="6" t="s">
        <v>269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265</v>
      </c>
      <c r="B101" s="6" t="str">
        <f>IF(A101="","",VLOOKUP(A101,DB!A:B,2,0))</f>
        <v>Patch Panel</v>
      </c>
      <c r="C101" s="5"/>
      <c r="D101" s="6"/>
      <c r="E101" s="6" t="s">
        <v>55</v>
      </c>
      <c r="F101" s="6" t="s">
        <v>244</v>
      </c>
      <c r="G101" s="6" t="s">
        <v>56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270</v>
      </c>
      <c r="M101" s="6" t="s">
        <v>271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265</v>
      </c>
      <c r="B102" s="6" t="str">
        <f>IF(A102="","",VLOOKUP(A102,DB!A:B,2,0))</f>
        <v>Patch Panel</v>
      </c>
      <c r="C102" s="5"/>
      <c r="D102" s="6"/>
      <c r="E102" s="6" t="s">
        <v>52</v>
      </c>
      <c r="F102" s="6" t="s">
        <v>244</v>
      </c>
      <c r="G102" s="6" t="s">
        <v>53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272</v>
      </c>
      <c r="M102" s="6" t="s">
        <v>273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265</v>
      </c>
      <c r="B103" s="6" t="str">
        <f>IF(A103="","",VLOOKUP(A103,DB!A:B,2,0))</f>
        <v>Patch Panel</v>
      </c>
      <c r="C103" s="5"/>
      <c r="D103" s="6"/>
      <c r="E103" s="6" t="s">
        <v>48</v>
      </c>
      <c r="F103" s="6" t="s">
        <v>244</v>
      </c>
      <c r="G103" s="6" t="s">
        <v>50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274</v>
      </c>
      <c r="M103" s="6" t="s">
        <v>275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265</v>
      </c>
      <c r="B104" s="6" t="str">
        <f>IF(A104="","",VLOOKUP(A104,DB!A:B,2,0))</f>
        <v>Patch Panel</v>
      </c>
      <c r="C104" s="5"/>
      <c r="D104" s="6"/>
      <c r="E104" s="6" t="s">
        <v>45</v>
      </c>
      <c r="F104" s="6" t="s">
        <v>244</v>
      </c>
      <c r="G104" s="6" t="s">
        <v>46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276</v>
      </c>
      <c r="M104" s="6" t="s">
        <v>277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265</v>
      </c>
      <c r="B105" s="6" t="str">
        <f>IF(A105="","",VLOOKUP(A105,DB!A:B,2,0))</f>
        <v>Patch Panel</v>
      </c>
      <c r="C105" s="5"/>
      <c r="D105" s="6"/>
      <c r="E105" s="6" t="s">
        <v>42</v>
      </c>
      <c r="F105" s="6" t="s">
        <v>244</v>
      </c>
      <c r="G105" s="6" t="s">
        <v>43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278</v>
      </c>
      <c r="M105" s="6" t="s">
        <v>279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280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281</v>
      </c>
      <c r="M106" s="6" t="s">
        <v>282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283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284</v>
      </c>
      <c r="M107" s="6" t="s">
        <v>285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286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287</v>
      </c>
      <c r="M108" s="6" t="s">
        <v>288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289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290</v>
      </c>
      <c r="M109" s="6" t="s">
        <v>291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90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292</v>
      </c>
      <c r="M110" s="6" t="s">
        <v>90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90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293</v>
      </c>
      <c r="M111" s="6" t="s">
        <v>90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90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294</v>
      </c>
      <c r="M112" s="6" t="s">
        <v>90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90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295</v>
      </c>
      <c r="M113" s="6" t="s">
        <v>90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90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296</v>
      </c>
      <c r="M114" s="6" t="s">
        <v>90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90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297</v>
      </c>
      <c r="M115" s="6" t="s">
        <v>90</v>
      </c>
      <c r="N115" s="6" t="s">
        <v>298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90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299</v>
      </c>
      <c r="M116" s="6" t="s">
        <v>90</v>
      </c>
      <c r="N116" s="6" t="s">
        <v>298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90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300</v>
      </c>
      <c r="M117" s="6" t="s">
        <v>90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103</v>
      </c>
      <c r="B118" s="6" t="str">
        <f>IF(A118="","",VLOOKUP(A118,DB!A:B,2,0))</f>
        <v>PC Rack</v>
      </c>
      <c r="C118" s="6">
        <v>1.0</v>
      </c>
      <c r="D118" s="6" t="s">
        <v>74</v>
      </c>
      <c r="E118" s="6" t="s">
        <v>191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301</v>
      </c>
      <c r="M118" s="6" t="s">
        <v>302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90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303</v>
      </c>
      <c r="M119" s="6" t="s">
        <v>304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161</v>
      </c>
      <c r="B120" s="6" t="str">
        <f>IF(A120="","",VLOOKUP(A120,DB!A:B,2,0))</f>
        <v>CGX</v>
      </c>
      <c r="C120" s="6">
        <v>1.0</v>
      </c>
      <c r="D120" s="6" t="s">
        <v>74</v>
      </c>
      <c r="E120" s="6" t="s">
        <v>305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306</v>
      </c>
      <c r="M120" s="6" t="s">
        <v>307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90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308</v>
      </c>
      <c r="M121" s="6" t="s">
        <v>90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68</v>
      </c>
      <c r="B122" s="6" t="str">
        <f>IF(A122="","",VLOOKUP(A122,DB!A:B,2,0))</f>
        <v>AJA FS4</v>
      </c>
      <c r="C122" s="5"/>
      <c r="D122" s="5"/>
      <c r="E122" s="6" t="s">
        <v>201</v>
      </c>
      <c r="F122" s="5"/>
      <c r="G122" s="5"/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309</v>
      </c>
      <c r="M122" s="6" t="s">
        <v>165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90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310</v>
      </c>
      <c r="M123" s="6" t="s">
        <v>167</v>
      </c>
      <c r="N123" s="6" t="s">
        <v>168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68</v>
      </c>
      <c r="B124" s="6" t="str">
        <f>IF(A124="","",VLOOKUP(A124,DB!A:B,2,0))</f>
        <v>AJA FS4</v>
      </c>
      <c r="C124" s="5"/>
      <c r="D124" s="5"/>
      <c r="E124" s="6" t="s">
        <v>311</v>
      </c>
      <c r="F124" s="5"/>
      <c r="G124" s="5"/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312</v>
      </c>
      <c r="M124" s="6" t="s">
        <v>313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68</v>
      </c>
      <c r="B125" s="6" t="str">
        <f>IF(A125="","",VLOOKUP(A125,DB!A:B,2,0))</f>
        <v>AJA FS4</v>
      </c>
      <c r="C125" s="5"/>
      <c r="D125" s="5"/>
      <c r="E125" s="6" t="s">
        <v>314</v>
      </c>
      <c r="F125" s="5"/>
      <c r="G125" s="5"/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315</v>
      </c>
      <c r="M125" s="6" t="s">
        <v>316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90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317</v>
      </c>
      <c r="M126" s="6" t="s">
        <v>90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187</v>
      </c>
      <c r="B127" s="6" t="str">
        <f>IF(A127="","",VLOOKUP(A127,DB!A:B,2,0))</f>
        <v>openGear X</v>
      </c>
      <c r="C127" s="6">
        <v>6.0</v>
      </c>
      <c r="D127" s="6" t="s">
        <v>318</v>
      </c>
      <c r="E127" s="6" t="s">
        <v>319</v>
      </c>
      <c r="F127" s="6" t="s">
        <v>244</v>
      </c>
      <c r="G127" s="6" t="s">
        <v>320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321</v>
      </c>
      <c r="M127" s="6" t="s">
        <v>322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49</v>
      </c>
      <c r="B128" s="6" t="str">
        <f>IF(A128="","",VLOOKUP(A128,DB!A:B,2,0))</f>
        <v>Blackmagic Multiview 16</v>
      </c>
      <c r="C128" s="5"/>
      <c r="D128" s="6"/>
      <c r="E128" s="6" t="s">
        <v>207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323</v>
      </c>
      <c r="M128" s="6" t="s">
        <v>324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48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325</v>
      </c>
      <c r="M129" s="6" t="s">
        <v>326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190</v>
      </c>
      <c r="B130" s="6" t="str">
        <f>IF(A130="","",VLOOKUP(A130,DB!A:B,2,0))</f>
        <v>Player A</v>
      </c>
      <c r="C130" s="6">
        <v>2.0</v>
      </c>
      <c r="D130" s="6" t="s">
        <v>74</v>
      </c>
      <c r="E130" s="6" t="s">
        <v>191</v>
      </c>
      <c r="F130" s="5"/>
      <c r="G130" s="5"/>
      <c r="H130" s="6" t="s">
        <v>92</v>
      </c>
      <c r="I130" s="5" t="str">
        <f>IF(H130="","",VLOOKUP(H130,DB!A:B,2,0))</f>
        <v>FOR A HVS-390HS</v>
      </c>
      <c r="J130" s="5"/>
      <c r="K130" s="6"/>
      <c r="L130" s="6" t="s">
        <v>31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193</v>
      </c>
      <c r="B131" s="6" t="str">
        <f>IF(A131="","",VLOOKUP(A131,DB!A:B,2,0))</f>
        <v>Player B</v>
      </c>
      <c r="C131" s="6">
        <v>2.0</v>
      </c>
      <c r="D131" s="6" t="s">
        <v>74</v>
      </c>
      <c r="E131" s="6" t="s">
        <v>191</v>
      </c>
      <c r="F131" s="5"/>
      <c r="G131" s="5"/>
      <c r="H131" s="6" t="s">
        <v>92</v>
      </c>
      <c r="I131" s="5" t="str">
        <f>IF(H131="","",VLOOKUP(H131,DB!A:B,2,0))</f>
        <v>FOR A HVS-390HS</v>
      </c>
      <c r="J131" s="5"/>
      <c r="K131" s="6"/>
      <c r="L131" s="6" t="s">
        <v>34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49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5"/>
      <c r="G132" s="5"/>
      <c r="H132" s="6" t="s">
        <v>90</v>
      </c>
      <c r="I132" s="5" t="str">
        <f>IF(H132="","",VLOOKUP(H132,DB!A:B,2,0))</f>
        <v/>
      </c>
      <c r="J132" s="6"/>
      <c r="K132" s="6"/>
      <c r="L132" s="6"/>
      <c r="M132" s="6" t="s">
        <v>192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49</v>
      </c>
      <c r="B133" s="6" t="str">
        <f>IF(A133="","",VLOOKUP(A133,DB!A:B,2,0))</f>
        <v>Blackmagic Multiview 16</v>
      </c>
      <c r="C133" s="5"/>
      <c r="D133" s="6"/>
      <c r="E133" s="6" t="s">
        <v>45</v>
      </c>
      <c r="F133" s="5"/>
      <c r="G133" s="5"/>
      <c r="H133" s="6" t="s">
        <v>90</v>
      </c>
      <c r="I133" s="5" t="str">
        <f>IF(H133="","",VLOOKUP(H133,DB!A:B,2,0))</f>
        <v/>
      </c>
      <c r="J133" s="6"/>
      <c r="K133" s="6"/>
      <c r="L133" s="6"/>
      <c r="M133" s="6" t="s">
        <v>327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49</v>
      </c>
      <c r="B134" s="6" t="str">
        <f>IF(A134="","",VLOOKUP(A134,DB!A:B,2,0))</f>
        <v>Blackmagic Multiview 16</v>
      </c>
      <c r="C134" s="5"/>
      <c r="D134" s="6"/>
      <c r="E134" s="6" t="s">
        <v>48</v>
      </c>
      <c r="F134" s="5"/>
      <c r="G134" s="5"/>
      <c r="H134" s="6" t="s">
        <v>90</v>
      </c>
      <c r="I134" s="5" t="str">
        <f>IF(H134="","",VLOOKUP(H134,DB!A:B,2,0))</f>
        <v/>
      </c>
      <c r="J134" s="6"/>
      <c r="K134" s="6"/>
      <c r="L134" s="6"/>
      <c r="M134" s="6" t="s">
        <v>328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49</v>
      </c>
      <c r="B135" s="6" t="str">
        <f>IF(A135="","",VLOOKUP(A135,DB!A:B,2,0))</f>
        <v>Blackmagic Multiview 16</v>
      </c>
      <c r="C135" s="5"/>
      <c r="D135" s="6"/>
      <c r="E135" s="6" t="s">
        <v>52</v>
      </c>
      <c r="F135" s="5"/>
      <c r="G135" s="5"/>
      <c r="H135" s="6" t="s">
        <v>90</v>
      </c>
      <c r="I135" s="5" t="str">
        <f>IF(H135="","",VLOOKUP(H135,DB!A:B,2,0))</f>
        <v/>
      </c>
      <c r="J135" s="6"/>
      <c r="K135" s="6"/>
      <c r="L135" s="6"/>
      <c r="M135" s="6" t="s">
        <v>329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49</v>
      </c>
      <c r="B136" s="6" t="str">
        <f>IF(A136="","",VLOOKUP(A136,DB!A:B,2,0))</f>
        <v>Blackmagic Multiview 16</v>
      </c>
      <c r="C136" s="5"/>
      <c r="D136" s="6"/>
      <c r="E136" s="6" t="s">
        <v>55</v>
      </c>
      <c r="F136" s="6" t="s">
        <v>244</v>
      </c>
      <c r="G136" s="6" t="s">
        <v>56</v>
      </c>
      <c r="H136" s="6" t="s">
        <v>145</v>
      </c>
      <c r="I136" s="5" t="str">
        <f>IF(H136="","",VLOOKUP(H136,DB!A:B,2,0))</f>
        <v>openGear X</v>
      </c>
      <c r="J136" s="6">
        <v>4.0</v>
      </c>
      <c r="K136" s="6" t="s">
        <v>330</v>
      </c>
      <c r="L136" s="6" t="s">
        <v>108</v>
      </c>
      <c r="M136" s="6" t="s">
        <v>331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49</v>
      </c>
      <c r="B137" s="6" t="str">
        <f>IF(A137="","",VLOOKUP(A137,DB!A:B,2,0))</f>
        <v>Blackmagic Multiview 16</v>
      </c>
      <c r="C137" s="5"/>
      <c r="D137" s="6"/>
      <c r="E137" s="6" t="s">
        <v>58</v>
      </c>
      <c r="F137" s="6" t="s">
        <v>244</v>
      </c>
      <c r="G137" s="6" t="s">
        <v>59</v>
      </c>
      <c r="H137" s="6" t="s">
        <v>145</v>
      </c>
      <c r="I137" s="5" t="str">
        <f>IF(H137="","",VLOOKUP(H137,DB!A:B,2,0))</f>
        <v>openGear X</v>
      </c>
      <c r="J137" s="6">
        <v>5.0</v>
      </c>
      <c r="K137" s="6" t="s">
        <v>330</v>
      </c>
      <c r="L137" s="6" t="s">
        <v>108</v>
      </c>
      <c r="M137" s="6" t="s">
        <v>332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49</v>
      </c>
      <c r="B138" s="6" t="str">
        <f>IF(A138="","",VLOOKUP(A138,DB!A:B,2,0))</f>
        <v>Blackmagic Multiview 16</v>
      </c>
      <c r="C138" s="5"/>
      <c r="D138" s="6"/>
      <c r="E138" s="6" t="s">
        <v>61</v>
      </c>
      <c r="F138" s="6" t="s">
        <v>244</v>
      </c>
      <c r="G138" s="6" t="s">
        <v>62</v>
      </c>
      <c r="H138" s="6" t="s">
        <v>145</v>
      </c>
      <c r="I138" s="5" t="str">
        <f>IF(H138="","",VLOOKUP(H138,DB!A:B,2,0))</f>
        <v>openGear X</v>
      </c>
      <c r="J138" s="6">
        <v>6.0</v>
      </c>
      <c r="K138" s="6" t="s">
        <v>330</v>
      </c>
      <c r="L138" s="6" t="s">
        <v>108</v>
      </c>
      <c r="M138" s="6" t="s">
        <v>333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49</v>
      </c>
      <c r="B139" s="6" t="str">
        <f>IF(A139="","",VLOOKUP(A139,DB!A:B,2,0))</f>
        <v>Blackmagic Multiview 16</v>
      </c>
      <c r="C139" s="5"/>
      <c r="D139" s="6"/>
      <c r="E139" s="6" t="s">
        <v>64</v>
      </c>
      <c r="F139" s="6" t="s">
        <v>244</v>
      </c>
      <c r="G139" s="6" t="s">
        <v>65</v>
      </c>
      <c r="H139" s="6" t="s">
        <v>145</v>
      </c>
      <c r="I139" s="5" t="str">
        <f>IF(H139="","",VLOOKUP(H139,DB!A:B,2,0))</f>
        <v>openGear X</v>
      </c>
      <c r="J139" s="6">
        <v>7.0</v>
      </c>
      <c r="K139" s="6" t="s">
        <v>330</v>
      </c>
      <c r="L139" s="6" t="s">
        <v>108</v>
      </c>
      <c r="M139" s="6" t="s">
        <v>334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49</v>
      </c>
      <c r="B140" s="6" t="str">
        <f>IF(A140="","",VLOOKUP(A140,DB!A:B,2,0))</f>
        <v>Blackmagic Multiview 16</v>
      </c>
      <c r="C140" s="5"/>
      <c r="D140" s="6"/>
      <c r="E140" s="6" t="s">
        <v>21</v>
      </c>
      <c r="F140" s="5"/>
      <c r="G140" s="5"/>
      <c r="H140" s="6" t="s">
        <v>90</v>
      </c>
      <c r="I140" s="5" t="str">
        <f>IF(H140="","",VLOOKUP(H140,DB!A:B,2,0))</f>
        <v/>
      </c>
      <c r="J140" s="6"/>
      <c r="K140" s="6"/>
      <c r="L140" s="6"/>
      <c r="M140" s="6" t="s">
        <v>335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49</v>
      </c>
      <c r="B141" s="6" t="str">
        <f>IF(A141="","",VLOOKUP(A141,DB!A:B,2,0))</f>
        <v>Blackmagic Multiview 16</v>
      </c>
      <c r="C141" s="5"/>
      <c r="D141" s="6"/>
      <c r="E141" s="6" t="s">
        <v>24</v>
      </c>
      <c r="F141" s="5"/>
      <c r="G141" s="5"/>
      <c r="H141" s="6" t="s">
        <v>90</v>
      </c>
      <c r="I141" s="5" t="str">
        <f>IF(H141="","",VLOOKUP(H141,DB!A:B,2,0))</f>
        <v/>
      </c>
      <c r="J141" s="6"/>
      <c r="K141" s="6"/>
      <c r="L141" s="6"/>
      <c r="M141" s="6" t="s">
        <v>336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49</v>
      </c>
      <c r="B142" s="6" t="str">
        <f>IF(A142="","",VLOOKUP(A142,DB!A:B,2,0))</f>
        <v>Blackmagic Multiview 16</v>
      </c>
      <c r="C142" s="5"/>
      <c r="D142" s="6"/>
      <c r="E142" s="6" t="s">
        <v>27</v>
      </c>
      <c r="F142" s="5"/>
      <c r="G142" s="5"/>
      <c r="H142" s="6" t="s">
        <v>90</v>
      </c>
      <c r="I142" s="5" t="str">
        <f>IF(H142="","",VLOOKUP(H142,DB!A:B,2,0))</f>
        <v/>
      </c>
      <c r="J142" s="6"/>
      <c r="K142" s="6"/>
      <c r="L142" s="6"/>
      <c r="M142" s="6" t="s">
        <v>337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49</v>
      </c>
      <c r="B143" s="6" t="str">
        <f>IF(A143="","",VLOOKUP(A143,DB!A:B,2,0))</f>
        <v>Blackmagic Multiview 16</v>
      </c>
      <c r="C143" s="5"/>
      <c r="D143" s="6"/>
      <c r="E143" s="6" t="s">
        <v>30</v>
      </c>
      <c r="F143" s="5"/>
      <c r="G143" s="5"/>
      <c r="H143" s="6" t="s">
        <v>90</v>
      </c>
      <c r="I143" s="5" t="str">
        <f>IF(H143="","",VLOOKUP(H143,DB!A:B,2,0))</f>
        <v/>
      </c>
      <c r="J143" s="6"/>
      <c r="K143" s="6"/>
      <c r="L143" s="6"/>
      <c r="M143" s="6" t="s">
        <v>338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49</v>
      </c>
      <c r="B144" s="6" t="str">
        <f>IF(A144="","",VLOOKUP(A144,DB!A:B,2,0))</f>
        <v>Blackmagic Multiview 16</v>
      </c>
      <c r="C144" s="5"/>
      <c r="D144" s="6"/>
      <c r="E144" s="6" t="s">
        <v>33</v>
      </c>
      <c r="F144" s="5"/>
      <c r="G144" s="5"/>
      <c r="H144" s="6" t="s">
        <v>90</v>
      </c>
      <c r="I144" s="5" t="str">
        <f>IF(H144="","",VLOOKUP(H144,DB!A:B,2,0))</f>
        <v/>
      </c>
      <c r="J144" s="6"/>
      <c r="K144" s="6"/>
      <c r="L144" s="6"/>
      <c r="M144" s="6" t="s">
        <v>215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49</v>
      </c>
      <c r="B145" s="6" t="str">
        <f>IF(A145="","",VLOOKUP(A145,DB!A:B,2,0))</f>
        <v>Blackmagic Multiview 16</v>
      </c>
      <c r="C145" s="5"/>
      <c r="D145" s="6"/>
      <c r="E145" s="6" t="s">
        <v>36</v>
      </c>
      <c r="F145" s="5"/>
      <c r="G145" s="5"/>
      <c r="H145" s="6" t="s">
        <v>90</v>
      </c>
      <c r="I145" s="5" t="str">
        <f>IF(H145="","",VLOOKUP(H145,DB!A:B,2,0))</f>
        <v/>
      </c>
      <c r="J145" s="6"/>
      <c r="K145" s="6"/>
      <c r="L145" s="6"/>
      <c r="M145" s="6" t="s">
        <v>339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49</v>
      </c>
      <c r="B146" s="6" t="str">
        <f>IF(A146="","",VLOOKUP(A146,DB!A:B,2,0))</f>
        <v>Blackmagic Multiview 16</v>
      </c>
      <c r="C146" s="5"/>
      <c r="D146" s="6"/>
      <c r="E146" s="6" t="s">
        <v>39</v>
      </c>
      <c r="F146" s="5"/>
      <c r="G146" s="5"/>
      <c r="H146" s="6" t="s">
        <v>90</v>
      </c>
      <c r="I146" s="5" t="str">
        <f>IF(H146="","",VLOOKUP(H146,DB!A:B,2,0))</f>
        <v/>
      </c>
      <c r="J146" s="6"/>
      <c r="K146" s="6"/>
      <c r="L146" s="6"/>
      <c r="M146" s="6" t="s">
        <v>340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49</v>
      </c>
      <c r="B147" s="6" t="str">
        <f>IF(A147="","",VLOOKUP(A147,DB!A:B,2,0))</f>
        <v>Blackmagic Multiview 16</v>
      </c>
      <c r="C147" s="5"/>
      <c r="D147" s="6"/>
      <c r="E147" s="6" t="s">
        <v>42</v>
      </c>
      <c r="F147" s="5"/>
      <c r="G147" s="5"/>
      <c r="H147" s="6" t="s">
        <v>90</v>
      </c>
      <c r="I147" s="5" t="str">
        <f>IF(H147="","",VLOOKUP(H147,DB!A:B,2,0))</f>
        <v/>
      </c>
      <c r="J147" s="6"/>
      <c r="K147" s="6"/>
      <c r="L147" s="6"/>
      <c r="M147" s="6" t="s">
        <v>341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244</v>
      </c>
      <c r="G148" s="6" t="s">
        <v>18</v>
      </c>
      <c r="H148" s="6" t="s">
        <v>90</v>
      </c>
      <c r="I148" s="5" t="str">
        <f>IF(H148="","",VLOOKUP(H148,DB!A:B,2,0))</f>
        <v/>
      </c>
      <c r="J148" s="5"/>
      <c r="K148" s="5"/>
      <c r="L148" s="5"/>
      <c r="M148" s="5"/>
      <c r="N148" s="6" t="s">
        <v>342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21</v>
      </c>
      <c r="F149" s="6" t="s">
        <v>244</v>
      </c>
      <c r="G149" s="6" t="s">
        <v>22</v>
      </c>
      <c r="H149" s="6" t="s">
        <v>49</v>
      </c>
      <c r="I149" s="5" t="str">
        <f>IF(H149="","",VLOOKUP(H149,DB!A:B,2,0))</f>
        <v>Blackmagic Multiview 16</v>
      </c>
      <c r="J149" s="5"/>
      <c r="K149" s="6"/>
      <c r="L149" s="6" t="s">
        <v>22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24</v>
      </c>
      <c r="F150" s="6" t="s">
        <v>244</v>
      </c>
      <c r="G150" s="6" t="s">
        <v>25</v>
      </c>
      <c r="H150" s="6" t="s">
        <v>49</v>
      </c>
      <c r="I150" s="5" t="str">
        <f>IF(H150="","",VLOOKUP(H150,DB!A:B,2,0))</f>
        <v>Blackmagic Multiview 16</v>
      </c>
      <c r="J150" s="5"/>
      <c r="K150" s="6"/>
      <c r="L150" s="6" t="s">
        <v>25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27</v>
      </c>
      <c r="F151" s="6" t="s">
        <v>244</v>
      </c>
      <c r="G151" s="6" t="s">
        <v>28</v>
      </c>
      <c r="H151" s="6" t="s">
        <v>49</v>
      </c>
      <c r="I151" s="5" t="str">
        <f>IF(H151="","",VLOOKUP(H151,DB!A:B,2,0))</f>
        <v>Blackmagic Multiview 16</v>
      </c>
      <c r="J151" s="5"/>
      <c r="K151" s="6"/>
      <c r="L151" s="6" t="s">
        <v>28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30</v>
      </c>
      <c r="F152" s="6" t="s">
        <v>244</v>
      </c>
      <c r="G152" s="6" t="s">
        <v>31</v>
      </c>
      <c r="H152" s="6" t="s">
        <v>49</v>
      </c>
      <c r="I152" s="5" t="str">
        <f>IF(H152="","",VLOOKUP(H152,DB!A:B,2,0))</f>
        <v>Blackmagic Multiview 16</v>
      </c>
      <c r="J152" s="5"/>
      <c r="K152" s="6"/>
      <c r="L152" s="6" t="s">
        <v>31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33</v>
      </c>
      <c r="F153" s="6" t="s">
        <v>244</v>
      </c>
      <c r="G153" s="6" t="s">
        <v>34</v>
      </c>
      <c r="H153" s="6" t="s">
        <v>49</v>
      </c>
      <c r="I153" s="5" t="str">
        <f>IF(H153="","",VLOOKUP(H153,DB!A:B,2,0))</f>
        <v>Blackmagic Multiview 16</v>
      </c>
      <c r="J153" s="5"/>
      <c r="K153" s="6"/>
      <c r="L153" s="6" t="s">
        <v>34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36</v>
      </c>
      <c r="F154" s="6" t="s">
        <v>244</v>
      </c>
      <c r="G154" s="6" t="s">
        <v>37</v>
      </c>
      <c r="H154" s="6" t="s">
        <v>49</v>
      </c>
      <c r="I154" s="5" t="str">
        <f>IF(H154="","",VLOOKUP(H154,DB!A:B,2,0))</f>
        <v>Blackmagic Multiview 16</v>
      </c>
      <c r="J154" s="5"/>
      <c r="K154" s="6"/>
      <c r="L154" s="6" t="s">
        <v>37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39</v>
      </c>
      <c r="F155" s="6" t="s">
        <v>244</v>
      </c>
      <c r="G155" s="6" t="s">
        <v>40</v>
      </c>
      <c r="H155" s="6" t="s">
        <v>49</v>
      </c>
      <c r="I155" s="5" t="str">
        <f>IF(H155="","",VLOOKUP(H155,DB!A:B,2,0))</f>
        <v>Blackmagic Multiview 16</v>
      </c>
      <c r="J155" s="5"/>
      <c r="K155" s="6"/>
      <c r="L155" s="6" t="s">
        <v>40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42</v>
      </c>
      <c r="F156" s="6" t="s">
        <v>244</v>
      </c>
      <c r="G156" s="6" t="s">
        <v>43</v>
      </c>
      <c r="H156" s="6" t="s">
        <v>49</v>
      </c>
      <c r="I156" s="5" t="str">
        <f>IF(H156="","",VLOOKUP(H156,DB!A:B,2,0))</f>
        <v>Blackmagic Multiview 16</v>
      </c>
      <c r="J156" s="5"/>
      <c r="K156" s="6"/>
      <c r="L156" s="6" t="s">
        <v>43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45</v>
      </c>
      <c r="F157" s="6" t="s">
        <v>244</v>
      </c>
      <c r="G157" s="6" t="s">
        <v>46</v>
      </c>
      <c r="H157" s="6" t="s">
        <v>49</v>
      </c>
      <c r="I157" s="5" t="str">
        <f>IF(H157="","",VLOOKUP(H157,DB!A:B,2,0))</f>
        <v>Blackmagic Multiview 16</v>
      </c>
      <c r="J157" s="5"/>
      <c r="K157" s="6"/>
      <c r="L157" s="6" t="s">
        <v>46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52</v>
      </c>
      <c r="F158" s="5"/>
      <c r="G158" s="5"/>
      <c r="H158" s="6" t="s">
        <v>90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265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244</v>
      </c>
      <c r="G159" s="6" t="s">
        <v>18</v>
      </c>
      <c r="H159" s="6" t="s">
        <v>90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265</v>
      </c>
      <c r="B160" s="6" t="str">
        <f>IF(A160="","",VLOOKUP(A160,DB!A:B,2,0))</f>
        <v>Patch Panel</v>
      </c>
      <c r="C160" s="5"/>
      <c r="D160" s="6"/>
      <c r="E160" s="6" t="s">
        <v>21</v>
      </c>
      <c r="F160" s="6" t="s">
        <v>244</v>
      </c>
      <c r="G160" s="6" t="s">
        <v>22</v>
      </c>
      <c r="H160" s="6" t="s">
        <v>90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265</v>
      </c>
      <c r="B161" s="6" t="str">
        <f>IF(A161="","",VLOOKUP(A161,DB!A:B,2,0))</f>
        <v>Patch Panel</v>
      </c>
      <c r="C161" s="5"/>
      <c r="D161" s="6"/>
      <c r="E161" s="6" t="s">
        <v>24</v>
      </c>
      <c r="F161" s="6" t="s">
        <v>244</v>
      </c>
      <c r="G161" s="6" t="s">
        <v>25</v>
      </c>
      <c r="H161" s="6" t="s">
        <v>90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265</v>
      </c>
      <c r="B162" s="6" t="str">
        <f>IF(A162="","",VLOOKUP(A162,DB!A:B,2,0))</f>
        <v>Patch Panel</v>
      </c>
      <c r="C162" s="5"/>
      <c r="D162" s="6"/>
      <c r="E162" s="6" t="s">
        <v>27</v>
      </c>
      <c r="F162" s="6" t="s">
        <v>244</v>
      </c>
      <c r="G162" s="6" t="s">
        <v>28</v>
      </c>
      <c r="H162" s="6" t="s">
        <v>90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265</v>
      </c>
      <c r="B163" s="6" t="str">
        <f>IF(A163="","",VLOOKUP(A163,DB!A:B,2,0))</f>
        <v>Patch Panel</v>
      </c>
      <c r="C163" s="5"/>
      <c r="D163" s="6"/>
      <c r="E163" s="6" t="s">
        <v>30</v>
      </c>
      <c r="F163" s="6" t="s">
        <v>244</v>
      </c>
      <c r="G163" s="6" t="s">
        <v>31</v>
      </c>
      <c r="H163" s="6" t="s">
        <v>90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265</v>
      </c>
      <c r="B164" s="6" t="str">
        <f>IF(A164="","",VLOOKUP(A164,DB!A:B,2,0))</f>
        <v>Patch Panel</v>
      </c>
      <c r="C164" s="5"/>
      <c r="D164" s="6"/>
      <c r="E164" s="6" t="s">
        <v>33</v>
      </c>
      <c r="F164" s="6" t="s">
        <v>244</v>
      </c>
      <c r="G164" s="6" t="s">
        <v>34</v>
      </c>
      <c r="H164" s="6" t="s">
        <v>90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265</v>
      </c>
      <c r="B165" s="6" t="str">
        <f>IF(A165="","",VLOOKUP(A165,DB!A:B,2,0))</f>
        <v>Patch Panel</v>
      </c>
      <c r="C165" s="5"/>
      <c r="D165" s="6"/>
      <c r="E165" s="6" t="s">
        <v>36</v>
      </c>
      <c r="F165" s="6" t="s">
        <v>244</v>
      </c>
      <c r="G165" s="6" t="s">
        <v>37</v>
      </c>
      <c r="H165" s="6" t="s">
        <v>90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265</v>
      </c>
      <c r="B166" s="6" t="str">
        <f>IF(A166="","",VLOOKUP(A166,DB!A:B,2,0))</f>
        <v>Patch Panel</v>
      </c>
      <c r="C166" s="5"/>
      <c r="D166" s="6"/>
      <c r="E166" s="6" t="s">
        <v>39</v>
      </c>
      <c r="F166" s="6" t="s">
        <v>244</v>
      </c>
      <c r="G166" s="6" t="s">
        <v>40</v>
      </c>
      <c r="H166" s="6" t="s">
        <v>90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265</v>
      </c>
      <c r="B167" s="6" t="str">
        <f>IF(A167="","",VLOOKUP(A167,DB!A:B,2,0))</f>
        <v>Patch Panel</v>
      </c>
      <c r="C167" s="5"/>
      <c r="D167" s="6"/>
      <c r="E167" s="6" t="s">
        <v>64</v>
      </c>
      <c r="F167" s="6" t="s">
        <v>244</v>
      </c>
      <c r="G167" s="6" t="s">
        <v>65</v>
      </c>
      <c r="H167" s="6" t="s">
        <v>90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115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244</v>
      </c>
      <c r="G168" s="6" t="s">
        <v>18</v>
      </c>
      <c r="H168" s="6" t="s">
        <v>343</v>
      </c>
      <c r="I168" s="5" t="str">
        <f>IF(H168="","",VLOOKUP(H168,DB!A:B,2,0))</f>
        <v>Monitor Pvw TX</v>
      </c>
      <c r="J168" s="5"/>
      <c r="K168" s="6"/>
      <c r="L168" s="6" t="s">
        <v>245</v>
      </c>
      <c r="M168" s="5"/>
      <c r="N168" s="5"/>
      <c r="O168" s="6" t="s">
        <v>344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115</v>
      </c>
      <c r="B169" s="6" t="str">
        <f>IF(A169="","",VLOOKUP(A169,DB!A:B,2,0))</f>
        <v>Patch Panel</v>
      </c>
      <c r="C169" s="5"/>
      <c r="D169" s="6"/>
      <c r="E169" s="6" t="s">
        <v>21</v>
      </c>
      <c r="F169" s="6" t="s">
        <v>244</v>
      </c>
      <c r="G169" s="6" t="s">
        <v>22</v>
      </c>
      <c r="H169" s="6" t="s">
        <v>184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115</v>
      </c>
      <c r="B170" s="6" t="str">
        <f>IF(A170="","",VLOOKUP(A170,DB!A:B,2,0))</f>
        <v>Patch Panel</v>
      </c>
      <c r="C170" s="5"/>
      <c r="D170" s="6"/>
      <c r="E170" s="6" t="s">
        <v>24</v>
      </c>
      <c r="F170" s="6" t="s">
        <v>244</v>
      </c>
      <c r="G170" s="6" t="s">
        <v>25</v>
      </c>
      <c r="H170" s="6" t="s">
        <v>345</v>
      </c>
      <c r="I170" s="5" t="str">
        <f>IF(H170="","",VLOOKUP(H170,DB!A:B,2,0))</f>
        <v>Monitor Linea TX</v>
      </c>
      <c r="J170" s="5"/>
      <c r="K170" s="6"/>
      <c r="L170" s="6" t="s">
        <v>245</v>
      </c>
      <c r="M170" s="5"/>
      <c r="N170" s="5"/>
      <c r="O170" s="6" t="s">
        <v>344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115</v>
      </c>
      <c r="B171" s="6" t="str">
        <f>IF(A171="","",VLOOKUP(A171,DB!A:B,2,0))</f>
        <v>Patch Panel</v>
      </c>
      <c r="C171" s="5"/>
      <c r="D171" s="6"/>
      <c r="E171" s="6" t="s">
        <v>27</v>
      </c>
      <c r="F171" s="6" t="s">
        <v>244</v>
      </c>
      <c r="G171" s="6" t="s">
        <v>28</v>
      </c>
      <c r="H171" s="6" t="s">
        <v>346</v>
      </c>
      <c r="I171" s="5" t="str">
        <f>IF(H171="","",VLOOKUP(H171,DB!A:B,2,0))</f>
        <v>Monitor MV TX</v>
      </c>
      <c r="J171" s="5"/>
      <c r="K171" s="6"/>
      <c r="L171" s="6" t="s">
        <v>245</v>
      </c>
      <c r="M171" s="5"/>
      <c r="N171" s="5"/>
      <c r="O171" s="6" t="s">
        <v>344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115</v>
      </c>
      <c r="B172" s="6" t="str">
        <f>IF(A172="","",VLOOKUP(A172,DB!A:B,2,0))</f>
        <v>Patch Panel</v>
      </c>
      <c r="C172" s="5"/>
      <c r="D172" s="6"/>
      <c r="E172" s="6" t="s">
        <v>30</v>
      </c>
      <c r="F172" s="6" t="s">
        <v>244</v>
      </c>
      <c r="G172" s="6" t="s">
        <v>31</v>
      </c>
      <c r="H172" s="6" t="s">
        <v>347</v>
      </c>
      <c r="I172" s="5" t="str">
        <f>IF(H172="","",VLOOKUP(H172,DB!A:B,2,0))</f>
        <v>Monitor Sonidista</v>
      </c>
      <c r="J172" s="5"/>
      <c r="K172" s="6"/>
      <c r="L172" s="6" t="s">
        <v>245</v>
      </c>
      <c r="M172" s="5"/>
      <c r="N172" s="5"/>
      <c r="O172" s="6" t="s">
        <v>344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115</v>
      </c>
      <c r="B173" s="6" t="str">
        <f>IF(A173="","",VLOOKUP(A173,DB!A:B,2,0))</f>
        <v>Patch Panel</v>
      </c>
      <c r="C173" s="5"/>
      <c r="D173" s="6"/>
      <c r="E173" s="6" t="s">
        <v>33</v>
      </c>
      <c r="F173" s="6" t="s">
        <v>244</v>
      </c>
      <c r="G173" s="6" t="s">
        <v>34</v>
      </c>
      <c r="H173" s="6" t="s">
        <v>90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115</v>
      </c>
      <c r="B174" s="6" t="str">
        <f>IF(A174="","",VLOOKUP(A174,DB!A:B,2,0))</f>
        <v>Patch Panel</v>
      </c>
      <c r="C174" s="5"/>
      <c r="D174" s="6"/>
      <c r="E174" s="6" t="s">
        <v>36</v>
      </c>
      <c r="F174" s="6" t="s">
        <v>244</v>
      </c>
      <c r="G174" s="6" t="s">
        <v>37</v>
      </c>
      <c r="H174" s="6" t="s">
        <v>90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115</v>
      </c>
      <c r="B175" s="6" t="str">
        <f>IF(A175="","",VLOOKUP(A175,DB!A:B,2,0))</f>
        <v>Patch Panel</v>
      </c>
      <c r="C175" s="5"/>
      <c r="D175" s="6"/>
      <c r="E175" s="6" t="s">
        <v>39</v>
      </c>
      <c r="F175" s="6" t="s">
        <v>244</v>
      </c>
      <c r="G175" s="6" t="s">
        <v>40</v>
      </c>
      <c r="H175" s="6" t="s">
        <v>90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115</v>
      </c>
      <c r="B176" s="6" t="str">
        <f>IF(A176="","",VLOOKUP(A176,DB!A:B,2,0))</f>
        <v>Patch Panel</v>
      </c>
      <c r="C176" s="5"/>
      <c r="D176" s="6"/>
      <c r="E176" s="6" t="s">
        <v>42</v>
      </c>
      <c r="F176" s="6" t="s">
        <v>244</v>
      </c>
      <c r="G176" s="6" t="s">
        <v>43</v>
      </c>
      <c r="H176" s="6" t="s">
        <v>90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115</v>
      </c>
      <c r="B177" s="6" t="str">
        <f>IF(A177="","",VLOOKUP(A177,DB!A:B,2,0))</f>
        <v>Patch Panel</v>
      </c>
      <c r="C177" s="5"/>
      <c r="D177" s="6"/>
      <c r="E177" s="6" t="s">
        <v>45</v>
      </c>
      <c r="F177" s="6" t="s">
        <v>244</v>
      </c>
      <c r="G177" s="6" t="s">
        <v>46</v>
      </c>
      <c r="H177" s="6" t="s">
        <v>90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115</v>
      </c>
      <c r="B178" s="6" t="str">
        <f>IF(A178="","",VLOOKUP(A178,DB!A:B,2,0))</f>
        <v>Patch Panel</v>
      </c>
      <c r="C178" s="5"/>
      <c r="D178" s="6"/>
      <c r="E178" s="6" t="s">
        <v>48</v>
      </c>
      <c r="F178" s="6" t="s">
        <v>244</v>
      </c>
      <c r="G178" s="6" t="s">
        <v>50</v>
      </c>
      <c r="H178" s="6" t="s">
        <v>348</v>
      </c>
      <c r="I178" s="5" t="str">
        <f>IF(H178="","",VLOOKUP(H178,DB!A:B,2,0))</f>
        <v>VIDEObit 3G-LINK-TD</v>
      </c>
      <c r="J178" s="5"/>
      <c r="K178" s="6"/>
      <c r="L178" s="6" t="s">
        <v>164</v>
      </c>
      <c r="M178" s="5"/>
      <c r="N178" s="5"/>
      <c r="O178" s="6" t="s">
        <v>126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115</v>
      </c>
      <c r="B179" s="6" t="str">
        <f>IF(A179="","",VLOOKUP(A179,DB!A:B,2,0))</f>
        <v>Patch Panel</v>
      </c>
      <c r="C179" s="5"/>
      <c r="D179" s="6"/>
      <c r="E179" s="6" t="s">
        <v>52</v>
      </c>
      <c r="F179" s="6" t="s">
        <v>244</v>
      </c>
      <c r="G179" s="6" t="s">
        <v>53</v>
      </c>
      <c r="H179" s="6" t="s">
        <v>90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115</v>
      </c>
      <c r="B180" s="6" t="str">
        <f>IF(A180="","",VLOOKUP(A180,DB!A:B,2,0))</f>
        <v>Patch Panel</v>
      </c>
      <c r="C180" s="5"/>
      <c r="D180" s="6"/>
      <c r="E180" s="6" t="s">
        <v>55</v>
      </c>
      <c r="F180" s="6" t="s">
        <v>244</v>
      </c>
      <c r="G180" s="6" t="s">
        <v>56</v>
      </c>
      <c r="H180" s="6" t="s">
        <v>349</v>
      </c>
      <c r="I180" s="5" t="str">
        <f>IF(H180="","",VLOOKUP(H180,DB!A:B,2,0))</f>
        <v>Monitor Titulos</v>
      </c>
      <c r="J180" s="5"/>
      <c r="K180" s="6"/>
      <c r="L180" s="6" t="s">
        <v>245</v>
      </c>
      <c r="M180" s="5"/>
      <c r="N180" s="5"/>
      <c r="O180" s="6" t="s">
        <v>344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115</v>
      </c>
      <c r="B181" s="6" t="str">
        <f>IF(A181="","",VLOOKUP(A181,DB!A:B,2,0))</f>
        <v>Patch Panel</v>
      </c>
      <c r="C181" s="5"/>
      <c r="D181" s="6"/>
      <c r="E181" s="6" t="s">
        <v>58</v>
      </c>
      <c r="F181" s="6" t="s">
        <v>244</v>
      </c>
      <c r="G181" s="6" t="s">
        <v>59</v>
      </c>
      <c r="H181" s="6" t="s">
        <v>350</v>
      </c>
      <c r="I181" s="5" t="str">
        <f>IF(H181="","",VLOOKUP(H181,DB!A:B,2,0))</f>
        <v>Monitor Iluminador</v>
      </c>
      <c r="J181" s="5"/>
      <c r="K181" s="6"/>
      <c r="L181" s="6" t="s">
        <v>245</v>
      </c>
      <c r="M181" s="5"/>
      <c r="N181" s="5"/>
      <c r="O181" s="6" t="s">
        <v>344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115</v>
      </c>
      <c r="B182" s="6" t="str">
        <f>IF(A182="","",VLOOKUP(A182,DB!A:B,2,0))</f>
        <v>Patch Panel</v>
      </c>
      <c r="C182" s="5"/>
      <c r="D182" s="6"/>
      <c r="E182" s="6" t="s">
        <v>61</v>
      </c>
      <c r="F182" s="6" t="s">
        <v>244</v>
      </c>
      <c r="G182" s="6" t="s">
        <v>62</v>
      </c>
      <c r="H182" s="6" t="s">
        <v>351</v>
      </c>
      <c r="I182" s="5" t="str">
        <f>IF(H182="","",VLOOKUP(H182,DB!A:B,2,0))</f>
        <v>Monitor Piso</v>
      </c>
      <c r="J182" s="5"/>
      <c r="K182" s="6"/>
      <c r="L182" s="6" t="s">
        <v>245</v>
      </c>
      <c r="M182" s="5"/>
      <c r="N182" s="5"/>
      <c r="O182" s="6" t="s">
        <v>344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115</v>
      </c>
      <c r="B183" s="6" t="str">
        <f>IF(A183="","",VLOOKUP(A183,DB!A:B,2,0))</f>
        <v>Patch Panel</v>
      </c>
      <c r="C183" s="5"/>
      <c r="D183" s="6"/>
      <c r="E183" s="6" t="s">
        <v>64</v>
      </c>
      <c r="F183" s="6" t="s">
        <v>244</v>
      </c>
      <c r="G183" s="6" t="s">
        <v>65</v>
      </c>
      <c r="H183" s="6" t="s">
        <v>90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68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244</v>
      </c>
      <c r="G184" s="6" t="s">
        <v>69</v>
      </c>
      <c r="H184" s="6" t="s">
        <v>73</v>
      </c>
      <c r="I184" s="5" t="str">
        <f>IF(H184="","",VLOOKUP(H184,DB!A:B,2,0))</f>
        <v>Loop A</v>
      </c>
      <c r="J184" s="6">
        <v>1.0</v>
      </c>
      <c r="K184" s="6" t="s">
        <v>74</v>
      </c>
      <c r="L184" s="6" t="s">
        <v>75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187</v>
      </c>
      <c r="I185" s="5" t="str">
        <f>IF(H185="","",VLOOKUP(H185,DB!A:B,2,0))</f>
        <v>openGear X</v>
      </c>
      <c r="J185" s="6">
        <v>6.0</v>
      </c>
      <c r="K185" s="6" t="s">
        <v>318</v>
      </c>
      <c r="L185" s="6" t="s">
        <v>320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145</v>
      </c>
      <c r="B186" s="6" t="str">
        <f>IF(A186="","",VLOOKUP(A186,DB!A:B,2,0))</f>
        <v>openGear X</v>
      </c>
      <c r="C186" s="6">
        <v>4.0</v>
      </c>
      <c r="D186" s="6" t="s">
        <v>330</v>
      </c>
      <c r="E186" s="6" t="s">
        <v>207</v>
      </c>
      <c r="F186" s="6" t="s">
        <v>244</v>
      </c>
      <c r="G186" s="6" t="s">
        <v>108</v>
      </c>
      <c r="H186" s="6" t="s">
        <v>92</v>
      </c>
      <c r="I186" s="5" t="str">
        <f>IF(H186="","",VLOOKUP(H186,DB!A:B,2,0))</f>
        <v>FOR A HVS-390HS</v>
      </c>
      <c r="J186" s="5"/>
      <c r="K186" s="6"/>
      <c r="L186" s="6" t="s">
        <v>37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145</v>
      </c>
      <c r="B187" s="6" t="str">
        <f>IF(A187="","",VLOOKUP(A187,DB!A:B,2,0))</f>
        <v>openGear X</v>
      </c>
      <c r="C187" s="6">
        <v>4.0</v>
      </c>
      <c r="D187" s="6" t="s">
        <v>330</v>
      </c>
      <c r="E187" s="6" t="s">
        <v>352</v>
      </c>
      <c r="F187" s="6" t="s">
        <v>244</v>
      </c>
      <c r="G187" s="6" t="s">
        <v>108</v>
      </c>
      <c r="H187" s="6" t="s">
        <v>353</v>
      </c>
      <c r="I187" s="5" t="str">
        <f>IF(H187="","",VLOOKUP(H187,DB!A:B,2,0))</f>
        <v>Yamaha QL5</v>
      </c>
      <c r="J187" s="5"/>
      <c r="K187" s="6"/>
      <c r="L187" s="6" t="s">
        <v>354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145</v>
      </c>
      <c r="B188" s="6" t="str">
        <f>IF(A188="","",VLOOKUP(A188,DB!A:B,2,0))</f>
        <v>openGear X</v>
      </c>
      <c r="C188" s="6">
        <v>4.0</v>
      </c>
      <c r="D188" s="6" t="s">
        <v>330</v>
      </c>
      <c r="E188" s="6" t="s">
        <v>355</v>
      </c>
      <c r="F188" s="6" t="s">
        <v>244</v>
      </c>
      <c r="G188" s="6" t="s">
        <v>108</v>
      </c>
      <c r="H188" s="6" t="s">
        <v>353</v>
      </c>
      <c r="I188" s="5" t="str">
        <f>IF(H188="","",VLOOKUP(H188,DB!A:B,2,0))</f>
        <v>Yamaha QL5</v>
      </c>
      <c r="J188" s="5"/>
      <c r="K188" s="6"/>
      <c r="L188" s="6" t="s">
        <v>356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145</v>
      </c>
      <c r="B189" s="6" t="str">
        <f>IF(A189="","",VLOOKUP(A189,DB!A:B,2,0))</f>
        <v>openGear X</v>
      </c>
      <c r="C189" s="6">
        <v>5.0</v>
      </c>
      <c r="D189" s="6" t="s">
        <v>330</v>
      </c>
      <c r="E189" s="6" t="s">
        <v>207</v>
      </c>
      <c r="F189" s="6" t="s">
        <v>244</v>
      </c>
      <c r="G189" s="6" t="s">
        <v>108</v>
      </c>
      <c r="H189" s="6" t="s">
        <v>92</v>
      </c>
      <c r="I189" s="5" t="str">
        <f>IF(H189="","",VLOOKUP(H189,DB!A:B,2,0))</f>
        <v>FOR A HVS-390HS</v>
      </c>
      <c r="J189" s="5"/>
      <c r="K189" s="6"/>
      <c r="L189" s="6" t="s">
        <v>40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145</v>
      </c>
      <c r="B190" s="6" t="str">
        <f>IF(A190="","",VLOOKUP(A190,DB!A:B,2,0))</f>
        <v>openGear X</v>
      </c>
      <c r="C190" s="6">
        <v>5.0</v>
      </c>
      <c r="D190" s="6" t="s">
        <v>330</v>
      </c>
      <c r="E190" s="6" t="s">
        <v>352</v>
      </c>
      <c r="F190" s="6" t="s">
        <v>244</v>
      </c>
      <c r="G190" s="6" t="s">
        <v>108</v>
      </c>
      <c r="H190" s="6" t="s">
        <v>353</v>
      </c>
      <c r="I190" s="5" t="str">
        <f>IF(H190="","",VLOOKUP(H190,DB!A:B,2,0))</f>
        <v>Yamaha QL5</v>
      </c>
      <c r="J190" s="5"/>
      <c r="K190" s="6"/>
      <c r="L190" s="6" t="s">
        <v>357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145</v>
      </c>
      <c r="B191" s="6" t="str">
        <f>IF(A191="","",VLOOKUP(A191,DB!A:B,2,0))</f>
        <v>openGear X</v>
      </c>
      <c r="C191" s="6">
        <v>5.0</v>
      </c>
      <c r="D191" s="6" t="s">
        <v>330</v>
      </c>
      <c r="E191" s="6" t="s">
        <v>355</v>
      </c>
      <c r="F191" s="6" t="s">
        <v>244</v>
      </c>
      <c r="G191" s="6" t="s">
        <v>108</v>
      </c>
      <c r="H191" s="6" t="s">
        <v>90</v>
      </c>
      <c r="I191" s="5" t="str">
        <f>IF(H191="","",VLOOKUP(H191,DB!A:B,2,0))</f>
        <v/>
      </c>
      <c r="J191" s="5"/>
      <c r="K191" s="6"/>
      <c r="L191" s="6" t="s">
        <v>90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145</v>
      </c>
      <c r="B192" s="6" t="str">
        <f>IF(A192="","",VLOOKUP(A192,DB!A:B,2,0))</f>
        <v>openGear X</v>
      </c>
      <c r="C192" s="6">
        <v>6.0</v>
      </c>
      <c r="D192" s="6" t="s">
        <v>330</v>
      </c>
      <c r="E192" s="6" t="s">
        <v>207</v>
      </c>
      <c r="F192" s="6" t="s">
        <v>244</v>
      </c>
      <c r="G192" s="6" t="s">
        <v>108</v>
      </c>
      <c r="H192" s="6" t="s">
        <v>92</v>
      </c>
      <c r="I192" s="5" t="str">
        <f>IF(H192="","",VLOOKUP(H192,DB!A:B,2,0))</f>
        <v>FOR A HVS-390HS</v>
      </c>
      <c r="J192" s="5"/>
      <c r="K192" s="6"/>
      <c r="L192" s="6" t="s">
        <v>43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145</v>
      </c>
      <c r="B193" s="6" t="str">
        <f>IF(A193="","",VLOOKUP(A193,DB!A:B,2,0))</f>
        <v>openGear X</v>
      </c>
      <c r="C193" s="6">
        <v>6.0</v>
      </c>
      <c r="D193" s="6" t="s">
        <v>330</v>
      </c>
      <c r="E193" s="6" t="s">
        <v>352</v>
      </c>
      <c r="F193" s="6" t="s">
        <v>244</v>
      </c>
      <c r="G193" s="6" t="s">
        <v>108</v>
      </c>
      <c r="H193" s="6" t="s">
        <v>353</v>
      </c>
      <c r="I193" s="5" t="str">
        <f>IF(H193="","",VLOOKUP(H193,DB!A:B,2,0))</f>
        <v>Yamaha QL5</v>
      </c>
      <c r="J193" s="5"/>
      <c r="K193" s="6"/>
      <c r="L193" s="6" t="s">
        <v>358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145</v>
      </c>
      <c r="B194" s="6" t="str">
        <f>IF(A194="","",VLOOKUP(A194,DB!A:B,2,0))</f>
        <v>openGear X</v>
      </c>
      <c r="C194" s="6">
        <v>6.0</v>
      </c>
      <c r="D194" s="6" t="s">
        <v>330</v>
      </c>
      <c r="E194" s="6" t="s">
        <v>355</v>
      </c>
      <c r="F194" s="6" t="s">
        <v>244</v>
      </c>
      <c r="G194" s="6" t="s">
        <v>108</v>
      </c>
      <c r="H194" s="6" t="s">
        <v>90</v>
      </c>
      <c r="I194" s="5" t="str">
        <f>IF(H194="","",VLOOKUP(H194,DB!A:B,2,0))</f>
        <v/>
      </c>
      <c r="J194" s="5"/>
      <c r="K194" s="6"/>
      <c r="L194" s="6" t="s">
        <v>90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145</v>
      </c>
      <c r="B195" s="6" t="str">
        <f>IF(A195="","",VLOOKUP(A195,DB!A:B,2,0))</f>
        <v>openGear X</v>
      </c>
      <c r="C195" s="6">
        <v>7.0</v>
      </c>
      <c r="D195" s="6" t="s">
        <v>330</v>
      </c>
      <c r="E195" s="6" t="s">
        <v>207</v>
      </c>
      <c r="F195" s="6" t="s">
        <v>244</v>
      </c>
      <c r="G195" s="6" t="s">
        <v>108</v>
      </c>
      <c r="H195" s="6" t="s">
        <v>92</v>
      </c>
      <c r="I195" s="5" t="str">
        <f>IF(H195="","",VLOOKUP(H195,DB!A:B,2,0))</f>
        <v>FOR A HVS-390HS</v>
      </c>
      <c r="J195" s="5"/>
      <c r="K195" s="6"/>
      <c r="L195" s="6" t="s">
        <v>46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145</v>
      </c>
      <c r="B196" s="6" t="str">
        <f>IF(A196="","",VLOOKUP(A196,DB!A:B,2,0))</f>
        <v>openGear X</v>
      </c>
      <c r="C196" s="6">
        <v>7.0</v>
      </c>
      <c r="D196" s="6" t="s">
        <v>330</v>
      </c>
      <c r="E196" s="6" t="s">
        <v>352</v>
      </c>
      <c r="F196" s="6" t="s">
        <v>244</v>
      </c>
      <c r="G196" s="6" t="s">
        <v>108</v>
      </c>
      <c r="H196" s="6" t="s">
        <v>353</v>
      </c>
      <c r="I196" s="5" t="str">
        <f>IF(H196="","",VLOOKUP(H196,DB!A:B,2,0))</f>
        <v>Yamaha QL5</v>
      </c>
      <c r="J196" s="5"/>
      <c r="K196" s="6"/>
      <c r="L196" s="6" t="s">
        <v>359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145</v>
      </c>
      <c r="B197" s="6" t="str">
        <f>IF(A197="","",VLOOKUP(A197,DB!A:B,2,0))</f>
        <v>openGear X</v>
      </c>
      <c r="C197" s="6">
        <v>7.0</v>
      </c>
      <c r="D197" s="6" t="s">
        <v>330</v>
      </c>
      <c r="E197" s="6" t="s">
        <v>355</v>
      </c>
      <c r="F197" s="6" t="s">
        <v>244</v>
      </c>
      <c r="G197" s="6" t="s">
        <v>108</v>
      </c>
      <c r="H197" s="6" t="s">
        <v>90</v>
      </c>
      <c r="I197" s="5" t="str">
        <f>IF(H197="","",VLOOKUP(H197,DB!A:B,2,0))</f>
        <v/>
      </c>
      <c r="J197" s="5"/>
      <c r="K197" s="6"/>
      <c r="L197" s="6" t="s">
        <v>90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145</v>
      </c>
      <c r="B198" s="6" t="str">
        <f>IF(A198="","",VLOOKUP(A198,DB!A:B,2,0))</f>
        <v>openGear X</v>
      </c>
      <c r="C198" s="6">
        <v>8.0</v>
      </c>
      <c r="D198" s="6" t="s">
        <v>188</v>
      </c>
      <c r="E198" s="6" t="s">
        <v>207</v>
      </c>
      <c r="F198" s="6" t="s">
        <v>244</v>
      </c>
      <c r="G198" s="6" t="s">
        <v>108</v>
      </c>
      <c r="H198" s="6" t="s">
        <v>90</v>
      </c>
      <c r="I198" s="5" t="str">
        <f>IF(H198="","",VLOOKUP(H198,DB!A:B,2,0))</f>
        <v/>
      </c>
      <c r="J198" s="5"/>
      <c r="K198" s="6"/>
      <c r="L198" s="6" t="s">
        <v>90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145</v>
      </c>
      <c r="B199" s="6" t="str">
        <f>IF(A199="","",VLOOKUP(A199,DB!A:B,2,0))</f>
        <v>openGear X</v>
      </c>
      <c r="C199" s="6">
        <v>8.0</v>
      </c>
      <c r="D199" s="6" t="s">
        <v>330</v>
      </c>
      <c r="E199" s="6" t="s">
        <v>352</v>
      </c>
      <c r="F199" s="6" t="s">
        <v>244</v>
      </c>
      <c r="G199" s="6" t="s">
        <v>108</v>
      </c>
      <c r="H199" s="6" t="s">
        <v>90</v>
      </c>
      <c r="I199" s="5" t="str">
        <f>IF(H199="","",VLOOKUP(H199,DB!A:B,2,0))</f>
        <v/>
      </c>
      <c r="J199" s="5"/>
      <c r="K199" s="6"/>
      <c r="L199" s="6" t="s">
        <v>90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145</v>
      </c>
      <c r="B200" s="6" t="str">
        <f>IF(A200="","",VLOOKUP(A200,DB!A:B,2,0))</f>
        <v>openGear X</v>
      </c>
      <c r="C200" s="6">
        <v>8.0</v>
      </c>
      <c r="D200" s="6" t="s">
        <v>330</v>
      </c>
      <c r="E200" s="6" t="s">
        <v>355</v>
      </c>
      <c r="F200" s="6" t="s">
        <v>244</v>
      </c>
      <c r="G200" s="6" t="s">
        <v>108</v>
      </c>
      <c r="H200" s="6" t="s">
        <v>90</v>
      </c>
      <c r="I200" s="5" t="str">
        <f>IF(H200="","",VLOOKUP(H200,DB!A:B,2,0))</f>
        <v/>
      </c>
      <c r="J200" s="5"/>
      <c r="K200" s="6"/>
      <c r="L200" s="6" t="s">
        <v>90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145</v>
      </c>
      <c r="B201" s="6" t="str">
        <f>IF(A201="","",VLOOKUP(A201,DB!A:B,2,0))</f>
        <v>openGear X</v>
      </c>
      <c r="C201" s="6">
        <v>9.0</v>
      </c>
      <c r="D201" s="6" t="s">
        <v>146</v>
      </c>
      <c r="E201" s="6" t="s">
        <v>360</v>
      </c>
      <c r="F201" s="6" t="s">
        <v>244</v>
      </c>
      <c r="G201" s="6" t="s">
        <v>361</v>
      </c>
      <c r="H201" s="6" t="s">
        <v>184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362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145</v>
      </c>
      <c r="B202" s="6" t="str">
        <f>IF(A202="","",VLOOKUP(A202,DB!A:B,2,0))</f>
        <v>openGear X</v>
      </c>
      <c r="C202" s="6">
        <v>9.0</v>
      </c>
      <c r="D202" s="6" t="s">
        <v>146</v>
      </c>
      <c r="E202" s="6" t="s">
        <v>363</v>
      </c>
      <c r="F202" s="6" t="s">
        <v>244</v>
      </c>
      <c r="G202" s="6" t="s">
        <v>361</v>
      </c>
      <c r="H202" s="6" t="s">
        <v>184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362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364</v>
      </c>
      <c r="B203" s="6" t="str">
        <f>IF(A203="","",VLOOKUP(A203,DB!A:B,2,0))</f>
        <v>Cisco D9865</v>
      </c>
      <c r="C203" s="5"/>
      <c r="D203" s="5"/>
      <c r="E203" s="6" t="s">
        <v>229</v>
      </c>
      <c r="F203" s="5"/>
      <c r="G203" s="5"/>
      <c r="H203" s="6" t="s">
        <v>225</v>
      </c>
      <c r="I203" s="5" t="str">
        <f>IF(H203="","",VLOOKUP(H203,DB!A:B,2,0))</f>
        <v>AJA FS2</v>
      </c>
      <c r="J203" s="5"/>
      <c r="K203" s="6"/>
      <c r="L203" s="6" t="s">
        <v>365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187</v>
      </c>
      <c r="B204" s="6" t="str">
        <f>IF(A204="","",VLOOKUP(A204,DB!A:B,2,0))</f>
        <v>openGear X</v>
      </c>
      <c r="C204" s="6">
        <v>1.0</v>
      </c>
      <c r="D204" s="6" t="s">
        <v>366</v>
      </c>
      <c r="E204" s="6" t="s">
        <v>207</v>
      </c>
      <c r="F204" s="5"/>
      <c r="G204" s="6"/>
      <c r="H204" s="6" t="s">
        <v>184</v>
      </c>
      <c r="I204" s="5" t="str">
        <f>IF(H204="","",VLOOKUP(H204,DB!A:B,2,0))</f>
        <v>?????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187</v>
      </c>
      <c r="B205" s="6" t="str">
        <f>IF(A205="","",VLOOKUP(A205,DB!A:B,2,0))</f>
        <v>openGear X</v>
      </c>
      <c r="C205" s="6">
        <v>1.0</v>
      </c>
      <c r="D205" s="6" t="s">
        <v>366</v>
      </c>
      <c r="E205" s="6" t="s">
        <v>367</v>
      </c>
      <c r="F205" s="5"/>
      <c r="G205" s="6"/>
      <c r="H205" s="6" t="s">
        <v>184</v>
      </c>
      <c r="I205" s="5" t="str">
        <f>IF(H205="","",VLOOKUP(H205,DB!A:B,2,0))</f>
        <v>?????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187</v>
      </c>
      <c r="B206" s="6" t="str">
        <f>IF(A206="","",VLOOKUP(A206,DB!A:B,2,0))</f>
        <v>openGear X</v>
      </c>
      <c r="C206" s="6">
        <v>1.0</v>
      </c>
      <c r="D206" s="6" t="s">
        <v>366</v>
      </c>
      <c r="E206" s="6" t="s">
        <v>368</v>
      </c>
      <c r="F206" s="5"/>
      <c r="G206" s="6"/>
      <c r="H206" s="6" t="s">
        <v>184</v>
      </c>
      <c r="I206" s="5" t="str">
        <f>IF(H206="","",VLOOKUP(H206,DB!A:B,2,0))</f>
        <v>?????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187</v>
      </c>
      <c r="B207" s="6" t="str">
        <f>IF(A207="","",VLOOKUP(A207,DB!A:B,2,0))</f>
        <v>openGear X</v>
      </c>
      <c r="C207" s="6">
        <v>2.0</v>
      </c>
      <c r="D207" s="6" t="s">
        <v>366</v>
      </c>
      <c r="E207" s="6" t="s">
        <v>207</v>
      </c>
      <c r="F207" s="5"/>
      <c r="G207" s="6"/>
      <c r="H207" s="6" t="s">
        <v>184</v>
      </c>
      <c r="I207" s="5" t="str">
        <f>IF(H207="","",VLOOKUP(H207,DB!A:B,2,0))</f>
        <v>?????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187</v>
      </c>
      <c r="B208" s="6" t="str">
        <f>IF(A208="","",VLOOKUP(A208,DB!A:B,2,0))</f>
        <v>openGear X</v>
      </c>
      <c r="C208" s="6">
        <v>2.0</v>
      </c>
      <c r="D208" s="6" t="s">
        <v>366</v>
      </c>
      <c r="E208" s="6" t="s">
        <v>367</v>
      </c>
      <c r="F208" s="5"/>
      <c r="G208" s="6"/>
      <c r="H208" s="6" t="s">
        <v>184</v>
      </c>
      <c r="I208" s="5" t="str">
        <f>IF(H208="","",VLOOKUP(H208,DB!A:B,2,0))</f>
        <v>?????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187</v>
      </c>
      <c r="B209" s="6" t="str">
        <f>IF(A209="","",VLOOKUP(A209,DB!A:B,2,0))</f>
        <v>openGear X</v>
      </c>
      <c r="C209" s="6">
        <v>2.0</v>
      </c>
      <c r="D209" s="6" t="s">
        <v>366</v>
      </c>
      <c r="E209" s="6" t="s">
        <v>368</v>
      </c>
      <c r="F209" s="5"/>
      <c r="G209" s="6"/>
      <c r="H209" s="6" t="s">
        <v>184</v>
      </c>
      <c r="I209" s="5" t="str">
        <f>IF(H209="","",VLOOKUP(H209,DB!A:B,2,0))</f>
        <v>?????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187</v>
      </c>
      <c r="B210" s="6" t="str">
        <f>IF(A210="","",VLOOKUP(A210,DB!A:B,2,0))</f>
        <v>openGear X</v>
      </c>
      <c r="C210" s="6">
        <v>3.0</v>
      </c>
      <c r="D210" s="6" t="s">
        <v>366</v>
      </c>
      <c r="E210" s="6" t="s">
        <v>367</v>
      </c>
      <c r="F210" s="5"/>
      <c r="G210" s="6"/>
      <c r="H210" s="6" t="s">
        <v>184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187</v>
      </c>
      <c r="B211" s="6" t="str">
        <f>IF(A211="","",VLOOKUP(A211,DB!A:B,2,0))</f>
        <v>openGear X</v>
      </c>
      <c r="C211" s="6">
        <v>5.0</v>
      </c>
      <c r="D211" s="6" t="s">
        <v>188</v>
      </c>
      <c r="E211" s="6" t="s">
        <v>207</v>
      </c>
      <c r="F211" s="6" t="s">
        <v>244</v>
      </c>
      <c r="G211" s="6" t="s">
        <v>108</v>
      </c>
      <c r="H211" s="6" t="s">
        <v>225</v>
      </c>
      <c r="I211" s="5" t="str">
        <f>IF(H211="","",VLOOKUP(H211,DB!A:B,2,0))</f>
        <v>AJA FS2</v>
      </c>
      <c r="J211" s="5"/>
      <c r="K211" s="6"/>
      <c r="L211" s="6" t="s">
        <v>164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187</v>
      </c>
      <c r="B212" s="6" t="str">
        <f>IF(A212="","",VLOOKUP(A212,DB!A:B,2,0))</f>
        <v>openGear X</v>
      </c>
      <c r="C212" s="6">
        <v>5.0</v>
      </c>
      <c r="D212" s="6" t="s">
        <v>366</v>
      </c>
      <c r="E212" s="6" t="s">
        <v>368</v>
      </c>
      <c r="F212" s="5"/>
      <c r="G212" s="6"/>
      <c r="H212" s="6" t="s">
        <v>184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187</v>
      </c>
      <c r="B213" s="6" t="str">
        <f>IF(A213="","",VLOOKUP(A213,DB!A:B,2,0))</f>
        <v>openGear X</v>
      </c>
      <c r="C213" s="6">
        <v>6.0</v>
      </c>
      <c r="D213" s="6" t="s">
        <v>318</v>
      </c>
      <c r="E213" s="6" t="s">
        <v>369</v>
      </c>
      <c r="F213" s="6" t="s">
        <v>244</v>
      </c>
      <c r="G213" s="6" t="s">
        <v>320</v>
      </c>
      <c r="H213" s="6" t="s">
        <v>370</v>
      </c>
      <c r="I213" s="5" t="str">
        <f>IF(H213="","",VLOOKUP(H213,DB!A:B,2,0))</f>
        <v>VIDEOTRON</v>
      </c>
      <c r="J213" s="5"/>
      <c r="K213" s="6"/>
      <c r="L213" s="6" t="s">
        <v>164</v>
      </c>
      <c r="M213" s="5"/>
      <c r="N213" s="6" t="s">
        <v>184</v>
      </c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371</v>
      </c>
      <c r="B214" s="6" t="str">
        <f>IF(A214="","",VLOOKUP(A214,DB!A:B,2,0))</f>
        <v>Raspberry PI 1</v>
      </c>
      <c r="C214" s="5"/>
      <c r="D214" s="6"/>
      <c r="E214" s="6" t="s">
        <v>261</v>
      </c>
      <c r="F214" s="5"/>
      <c r="G214" s="5"/>
      <c r="H214" s="6" t="s">
        <v>145</v>
      </c>
      <c r="I214" s="5" t="str">
        <f>IF(H214="","",VLOOKUP(H214,DB!A:B,2,0))</f>
        <v>openGear X</v>
      </c>
      <c r="J214" s="6">
        <v>1.0</v>
      </c>
      <c r="K214" s="6" t="s">
        <v>243</v>
      </c>
      <c r="L214" s="6" t="s">
        <v>245</v>
      </c>
      <c r="M214" s="5"/>
      <c r="N214" s="6" t="s">
        <v>372</v>
      </c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373</v>
      </c>
      <c r="B215" s="6" t="str">
        <f>IF(A215="","",VLOOKUP(A215,DB!A:B,2,0))</f>
        <v>Raspberry PI 2</v>
      </c>
      <c r="C215" s="5"/>
      <c r="D215" s="6"/>
      <c r="E215" s="6" t="s">
        <v>261</v>
      </c>
      <c r="F215" s="5"/>
      <c r="G215" s="5"/>
      <c r="H215" s="6" t="s">
        <v>145</v>
      </c>
      <c r="I215" s="5" t="str">
        <f>IF(H215="","",VLOOKUP(H215,DB!A:B,2,0))</f>
        <v>openGear X</v>
      </c>
      <c r="J215" s="6">
        <v>2.0</v>
      </c>
      <c r="K215" s="6" t="s">
        <v>243</v>
      </c>
      <c r="L215" s="6" t="s">
        <v>245</v>
      </c>
      <c r="M215" s="5"/>
      <c r="N215" s="6" t="s">
        <v>374</v>
      </c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375</v>
      </c>
      <c r="B216" s="6" t="str">
        <f>IF(A216="","",VLOOKUP(A216,DB!A:B,2,0))</f>
        <v>Deco Direccion</v>
      </c>
      <c r="C216" s="5"/>
      <c r="D216" s="5"/>
      <c r="E216" s="6" t="s">
        <v>261</v>
      </c>
      <c r="F216" s="5"/>
      <c r="G216" s="5"/>
      <c r="H216" s="6" t="s">
        <v>265</v>
      </c>
      <c r="I216" s="5" t="str">
        <f>IF(H216="","",VLOOKUP(H216,DB!A:B,2,0))</f>
        <v>Patch Panel</v>
      </c>
      <c r="J216" s="5"/>
      <c r="K216" s="6"/>
      <c r="L216" s="6" t="s">
        <v>43</v>
      </c>
      <c r="M216" s="5"/>
      <c r="N216" s="5"/>
      <c r="O216" s="6" t="s">
        <v>264</v>
      </c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376</v>
      </c>
      <c r="B217" s="6" t="str">
        <f>IF(A217="","",VLOOKUP(A217,DB!A:B,2,0))</f>
        <v>PC Videollamada</v>
      </c>
      <c r="C217" s="6">
        <v>1.0</v>
      </c>
      <c r="D217" s="6" t="s">
        <v>74</v>
      </c>
      <c r="E217" s="6" t="s">
        <v>377</v>
      </c>
      <c r="F217" s="5"/>
      <c r="G217" s="5"/>
      <c r="H217" s="6" t="s">
        <v>265</v>
      </c>
      <c r="I217" s="5" t="str">
        <f>IF(H217="","",VLOOKUP(H217,DB!A:B,2,0))</f>
        <v>Patch Panel</v>
      </c>
      <c r="J217" s="5"/>
      <c r="K217" s="6"/>
      <c r="L217" s="6" t="s">
        <v>59</v>
      </c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280</v>
      </c>
      <c r="B218" s="6" t="str">
        <f>IF(A218="","",VLOOKUP(A218,DB!A:B,2,0))</f>
        <v>Sony HXCU-100 Cam 1</v>
      </c>
      <c r="C218" s="5"/>
      <c r="D218" s="5"/>
      <c r="E218" s="6" t="s">
        <v>204</v>
      </c>
      <c r="F218" s="5"/>
      <c r="G218" s="5"/>
      <c r="H218" s="6" t="s">
        <v>254</v>
      </c>
      <c r="I218" s="5" t="str">
        <f>IF(H218="","",VLOOKUP(H218,DB!A:B,2,0))</f>
        <v>Blackmagic Multiview 4</v>
      </c>
      <c r="J218" s="5"/>
      <c r="K218" s="6"/>
      <c r="L218" s="6" t="s">
        <v>18</v>
      </c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280</v>
      </c>
      <c r="B219" s="6" t="str">
        <f>IF(A219="","",VLOOKUP(A219,DB!A:B,2,0))</f>
        <v>Sony HXCU-100 Cam 1</v>
      </c>
      <c r="C219" s="5"/>
      <c r="D219" s="5"/>
      <c r="E219" s="6" t="s">
        <v>311</v>
      </c>
      <c r="F219" s="5"/>
      <c r="G219" s="5"/>
      <c r="H219" s="6" t="s">
        <v>92</v>
      </c>
      <c r="I219" s="5" t="str">
        <f>IF(H219="","",VLOOKUP(H219,DB!A:B,2,0))</f>
        <v>FOR A HVS-390HS</v>
      </c>
      <c r="J219" s="5"/>
      <c r="K219" s="6"/>
      <c r="L219" s="6" t="s">
        <v>18</v>
      </c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283</v>
      </c>
      <c r="B220" s="6" t="str">
        <f>IF(A220="","",VLOOKUP(A220,DB!A:B,2,0))</f>
        <v>Sony HXCU-100 Cam 2</v>
      </c>
      <c r="C220" s="5"/>
      <c r="D220" s="5"/>
      <c r="E220" s="6" t="s">
        <v>204</v>
      </c>
      <c r="F220" s="5"/>
      <c r="G220" s="5"/>
      <c r="H220" s="6" t="s">
        <v>254</v>
      </c>
      <c r="I220" s="5" t="str">
        <f>IF(H220="","",VLOOKUP(H220,DB!A:B,2,0))</f>
        <v>Blackmagic Multiview 4</v>
      </c>
      <c r="J220" s="5"/>
      <c r="K220" s="6"/>
      <c r="L220" s="6" t="s">
        <v>22</v>
      </c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283</v>
      </c>
      <c r="B221" s="6" t="str">
        <f>IF(A221="","",VLOOKUP(A221,DB!A:B,2,0))</f>
        <v>Sony HXCU-100 Cam 2</v>
      </c>
      <c r="C221" s="5"/>
      <c r="D221" s="5"/>
      <c r="E221" s="6" t="s">
        <v>311</v>
      </c>
      <c r="F221" s="5"/>
      <c r="G221" s="5"/>
      <c r="H221" s="6" t="s">
        <v>92</v>
      </c>
      <c r="I221" s="5" t="str">
        <f>IF(H221="","",VLOOKUP(H221,DB!A:B,2,0))</f>
        <v>FOR A HVS-390HS</v>
      </c>
      <c r="J221" s="5"/>
      <c r="K221" s="6"/>
      <c r="L221" s="6" t="s">
        <v>22</v>
      </c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286</v>
      </c>
      <c r="B222" s="6" t="str">
        <f>IF(A222="","",VLOOKUP(A222,DB!A:B,2,0))</f>
        <v>Sony HXCU-100 Cam 3</v>
      </c>
      <c r="C222" s="5"/>
      <c r="D222" s="5"/>
      <c r="E222" s="6" t="s">
        <v>204</v>
      </c>
      <c r="F222" s="5"/>
      <c r="G222" s="5"/>
      <c r="H222" s="6" t="s">
        <v>254</v>
      </c>
      <c r="I222" s="5" t="str">
        <f>IF(H222="","",VLOOKUP(H222,DB!A:B,2,0))</f>
        <v>Blackmagic Multiview 4</v>
      </c>
      <c r="J222" s="5"/>
      <c r="K222" s="6"/>
      <c r="L222" s="6" t="s">
        <v>25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286</v>
      </c>
      <c r="B223" s="6" t="str">
        <f>IF(A223="","",VLOOKUP(A223,DB!A:B,2,0))</f>
        <v>Sony HXCU-100 Cam 3</v>
      </c>
      <c r="C223" s="5"/>
      <c r="D223" s="5"/>
      <c r="E223" s="6" t="s">
        <v>311</v>
      </c>
      <c r="F223" s="5"/>
      <c r="G223" s="5"/>
      <c r="H223" s="6" t="s">
        <v>92</v>
      </c>
      <c r="I223" s="5" t="str">
        <f>IF(H223="","",VLOOKUP(H223,DB!A:B,2,0))</f>
        <v>FOR A HVS-390HS</v>
      </c>
      <c r="J223" s="5"/>
      <c r="K223" s="6"/>
      <c r="L223" s="6" t="s">
        <v>25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289</v>
      </c>
      <c r="B224" s="6" t="str">
        <f>IF(A224="","",VLOOKUP(A224,DB!A:B,2,0))</f>
        <v>Sony HXCU-100 Cam 4</v>
      </c>
      <c r="C224" s="5"/>
      <c r="D224" s="5"/>
      <c r="E224" s="6" t="s">
        <v>204</v>
      </c>
      <c r="F224" s="5"/>
      <c r="G224" s="5"/>
      <c r="H224" s="6" t="s">
        <v>254</v>
      </c>
      <c r="I224" s="5" t="str">
        <f>IF(H224="","",VLOOKUP(H224,DB!A:B,2,0))</f>
        <v>Blackmagic Multiview 4</v>
      </c>
      <c r="J224" s="5"/>
      <c r="K224" s="6"/>
      <c r="L224" s="6" t="s">
        <v>28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289</v>
      </c>
      <c r="B225" s="6" t="str">
        <f>IF(A225="","",VLOOKUP(A225,DB!A:B,2,0))</f>
        <v>Sony HXCU-100 Cam 4</v>
      </c>
      <c r="C225" s="5"/>
      <c r="D225" s="5"/>
      <c r="E225" s="6" t="s">
        <v>311</v>
      </c>
      <c r="F225" s="5"/>
      <c r="G225" s="5"/>
      <c r="H225" s="6" t="s">
        <v>92</v>
      </c>
      <c r="I225" s="5" t="str">
        <f>IF(H225="","",VLOOKUP(H225,DB!A:B,2,0))</f>
        <v>FOR A HVS-390HS</v>
      </c>
      <c r="J225" s="5"/>
      <c r="K225" s="6"/>
      <c r="L225" s="6" t="s">
        <v>28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92</v>
      </c>
      <c r="B226" s="6" t="str">
        <f>IF(A226="","",VLOOKUP(A226,DB!A:B,2,0))</f>
        <v>FOR A HVS-390HS</v>
      </c>
      <c r="C226" s="5"/>
      <c r="D226" s="5"/>
      <c r="E226" s="6" t="s">
        <v>378</v>
      </c>
      <c r="F226" s="5"/>
      <c r="G226" s="5"/>
      <c r="H226" s="6" t="s">
        <v>379</v>
      </c>
      <c r="I226" s="5" t="str">
        <f>IF(H226="","",VLOOKUP(H226,DB!A:B,2,0))</f>
        <v>Monitor Director 2</v>
      </c>
      <c r="J226" s="5"/>
      <c r="K226" s="6"/>
      <c r="L226" s="6" t="s">
        <v>245</v>
      </c>
      <c r="M226" s="5"/>
      <c r="N226" s="5"/>
      <c r="O226" s="6" t="s">
        <v>344</v>
      </c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92</v>
      </c>
      <c r="B227" s="6" t="str">
        <f>IF(A227="","",VLOOKUP(A227,DB!A:B,2,0))</f>
        <v>FOR A HVS-390HS</v>
      </c>
      <c r="C227" s="5"/>
      <c r="D227" s="5"/>
      <c r="E227" s="6" t="s">
        <v>380</v>
      </c>
      <c r="F227" s="5"/>
      <c r="G227" s="5"/>
      <c r="H227" s="6" t="s">
        <v>381</v>
      </c>
      <c r="I227" s="5" t="str">
        <f>IF(H227="","",VLOOKUP(H227,DB!A:B,2,0))</f>
        <v>PC Pantalla</v>
      </c>
      <c r="J227" s="5"/>
      <c r="K227" s="6"/>
      <c r="L227" s="6" t="s">
        <v>245</v>
      </c>
      <c r="M227" s="5"/>
      <c r="N227" s="5"/>
      <c r="O227" s="6" t="s">
        <v>382</v>
      </c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92</v>
      </c>
      <c r="B228" s="6" t="str">
        <f>IF(A228="","",VLOOKUP(A228,DB!A:B,2,0))</f>
        <v>FOR A HVS-390HS</v>
      </c>
      <c r="C228" s="5"/>
      <c r="D228" s="5"/>
      <c r="E228" s="6" t="s">
        <v>21</v>
      </c>
      <c r="F228" s="5"/>
      <c r="G228" s="5"/>
      <c r="H228" s="6" t="s">
        <v>383</v>
      </c>
      <c r="I228" s="5" t="str">
        <f>IF(H228="","",VLOOKUP(H228,DB!A:B,2,0))</f>
        <v>AJA HD5DA</v>
      </c>
      <c r="J228" s="5"/>
      <c r="K228" s="6"/>
      <c r="L228" s="6" t="s">
        <v>108</v>
      </c>
      <c r="M228" s="5"/>
      <c r="N228" s="5"/>
      <c r="O228" s="6" t="s">
        <v>384</v>
      </c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383</v>
      </c>
      <c r="B229" s="6" t="str">
        <f>IF(A229="","",VLOOKUP(A229,DB!A:B,2,0))</f>
        <v>AJA HD5DA</v>
      </c>
      <c r="C229" s="5"/>
      <c r="D229" s="5"/>
      <c r="E229" s="6" t="s">
        <v>201</v>
      </c>
      <c r="F229" s="6" t="s">
        <v>244</v>
      </c>
      <c r="G229" s="6" t="s">
        <v>108</v>
      </c>
      <c r="H229" s="6" t="s">
        <v>280</v>
      </c>
      <c r="I229" s="5" t="str">
        <f>IF(H229="","",VLOOKUP(H229,DB!A:B,2,0))</f>
        <v>Sony HXCU-100 Cam 1</v>
      </c>
      <c r="J229" s="5"/>
      <c r="K229" s="6"/>
      <c r="L229" s="6" t="s">
        <v>385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383</v>
      </c>
      <c r="B230" s="6" t="str">
        <f>IF(A230="","",VLOOKUP(A230,DB!A:B,2,0))</f>
        <v>AJA HD5DA</v>
      </c>
      <c r="C230" s="5"/>
      <c r="D230" s="5"/>
      <c r="E230" s="6" t="s">
        <v>204</v>
      </c>
      <c r="F230" s="6" t="s">
        <v>244</v>
      </c>
      <c r="G230" s="6" t="s">
        <v>108</v>
      </c>
      <c r="H230" s="6" t="s">
        <v>283</v>
      </c>
      <c r="I230" s="5" t="str">
        <f>IF(H230="","",VLOOKUP(H230,DB!A:B,2,0))</f>
        <v>Sony HXCU-100 Cam 2</v>
      </c>
      <c r="J230" s="5"/>
      <c r="K230" s="6"/>
      <c r="L230" s="6" t="s">
        <v>385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383</v>
      </c>
      <c r="B231" s="6" t="str">
        <f>IF(A231="","",VLOOKUP(A231,DB!A:B,2,0))</f>
        <v>AJA HD5DA</v>
      </c>
      <c r="C231" s="5"/>
      <c r="D231" s="5"/>
      <c r="E231" s="6" t="s">
        <v>311</v>
      </c>
      <c r="F231" s="6" t="s">
        <v>244</v>
      </c>
      <c r="G231" s="6" t="s">
        <v>108</v>
      </c>
      <c r="H231" s="6" t="s">
        <v>286</v>
      </c>
      <c r="I231" s="5" t="str">
        <f>IF(H231="","",VLOOKUP(H231,DB!A:B,2,0))</f>
        <v>Sony HXCU-100 Cam 3</v>
      </c>
      <c r="J231" s="5"/>
      <c r="K231" s="6"/>
      <c r="L231" s="6" t="s">
        <v>385</v>
      </c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383</v>
      </c>
      <c r="B232" s="6" t="str">
        <f>IF(A232="","",VLOOKUP(A232,DB!A:B,2,0))</f>
        <v>AJA HD5DA</v>
      </c>
      <c r="C232" s="5"/>
      <c r="D232" s="5"/>
      <c r="E232" s="6" t="s">
        <v>314</v>
      </c>
      <c r="F232" s="6" t="s">
        <v>244</v>
      </c>
      <c r="G232" s="6" t="s">
        <v>108</v>
      </c>
      <c r="H232" s="6" t="s">
        <v>289</v>
      </c>
      <c r="I232" s="5" t="str">
        <f>IF(H232="","",VLOOKUP(H232,DB!A:B,2,0))</f>
        <v>Sony HXCU-100 Cam 4</v>
      </c>
      <c r="J232" s="5"/>
      <c r="K232" s="6"/>
      <c r="L232" s="6" t="s">
        <v>385</v>
      </c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386</v>
      </c>
      <c r="B233" s="6" t="str">
        <f>IF(A233="","",VLOOKUP(A233,DB!A:B,2,0))</f>
        <v>Patch Estudio</v>
      </c>
      <c r="C233" s="5"/>
      <c r="D233" s="5"/>
      <c r="E233" s="6" t="s">
        <v>387</v>
      </c>
      <c r="F233" s="5"/>
      <c r="G233" s="5"/>
      <c r="H233" s="6" t="s">
        <v>265</v>
      </c>
      <c r="I233" s="5" t="str">
        <f>IF(H233="","",VLOOKUP(H233,DB!A:B,2,0))</f>
        <v>Patch Panel</v>
      </c>
      <c r="J233" s="5"/>
      <c r="K233" s="6"/>
      <c r="L233" s="6" t="s">
        <v>62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90</v>
      </c>
      <c r="B234" s="6" t="str">
        <f>IF(A234="","",VLOOKUP(A234,DB!A:B,2,0))</f>
        <v/>
      </c>
      <c r="C234" s="5"/>
      <c r="D234" s="5"/>
      <c r="E234" s="5"/>
      <c r="F234" s="5"/>
      <c r="G234" s="5"/>
      <c r="H234" s="6" t="s">
        <v>265</v>
      </c>
      <c r="I234" s="5" t="str">
        <f>IF(H234="","",VLOOKUP(H234,DB!A:B,2,0))</f>
        <v>Patch Panel</v>
      </c>
      <c r="J234" s="5"/>
      <c r="K234" s="6"/>
      <c r="L234" s="6" t="s">
        <v>18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90</v>
      </c>
      <c r="B235" s="6" t="str">
        <f>IF(A235="","",VLOOKUP(A235,DB!A:B,2,0))</f>
        <v/>
      </c>
      <c r="C235" s="5"/>
      <c r="D235" s="5"/>
      <c r="E235" s="5"/>
      <c r="F235" s="5"/>
      <c r="G235" s="5"/>
      <c r="H235" s="6" t="s">
        <v>265</v>
      </c>
      <c r="I235" s="5" t="str">
        <f>IF(H235="","",VLOOKUP(H235,DB!A:B,2,0))</f>
        <v>Patch Panel</v>
      </c>
      <c r="J235" s="5"/>
      <c r="K235" s="6"/>
      <c r="L235" s="6" t="s">
        <v>22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90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265</v>
      </c>
      <c r="I236" s="5" t="str">
        <f>IF(H236="","",VLOOKUP(H236,DB!A:B,2,0))</f>
        <v>Patch Panel</v>
      </c>
      <c r="J236" s="5"/>
      <c r="K236" s="6"/>
      <c r="L236" s="6" t="s">
        <v>25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90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265</v>
      </c>
      <c r="I237" s="5" t="str">
        <f>IF(H237="","",VLOOKUP(H237,DB!A:B,2,0))</f>
        <v>Patch Panel</v>
      </c>
      <c r="J237" s="5"/>
      <c r="K237" s="6"/>
      <c r="L237" s="6" t="s">
        <v>28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90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265</v>
      </c>
      <c r="I238" s="5" t="str">
        <f>IF(H238="","",VLOOKUP(H238,DB!A:B,2,0))</f>
        <v>Patch Panel</v>
      </c>
      <c r="J238" s="5"/>
      <c r="K238" s="6"/>
      <c r="L238" s="6" t="s">
        <v>31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90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265</v>
      </c>
      <c r="I239" s="5" t="str">
        <f>IF(H239="","",VLOOKUP(H239,DB!A:B,2,0))</f>
        <v>Patch Panel</v>
      </c>
      <c r="J239" s="5"/>
      <c r="K239" s="6"/>
      <c r="L239" s="6" t="s">
        <v>34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90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265</v>
      </c>
      <c r="I240" s="5" t="str">
        <f>IF(H240="","",VLOOKUP(H240,DB!A:B,2,0))</f>
        <v>Patch Panel</v>
      </c>
      <c r="J240" s="5"/>
      <c r="K240" s="6"/>
      <c r="L240" s="6" t="s">
        <v>37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90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265</v>
      </c>
      <c r="I241" s="5" t="str">
        <f>IF(H241="","",VLOOKUP(H241,DB!A:B,2,0))</f>
        <v>Patch Panel</v>
      </c>
      <c r="J241" s="5"/>
      <c r="K241" s="6"/>
      <c r="L241" s="6" t="s">
        <v>40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90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265</v>
      </c>
      <c r="I242" s="5" t="str">
        <f>IF(H242="","",VLOOKUP(H242,DB!A:B,2,0))</f>
        <v>Patch Panel</v>
      </c>
      <c r="J242" s="5"/>
      <c r="K242" s="6"/>
      <c r="L242" s="6" t="s">
        <v>46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90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265</v>
      </c>
      <c r="I243" s="5" t="str">
        <f>IF(H243="","",VLOOKUP(H243,DB!A:B,2,0))</f>
        <v>Patch Panel</v>
      </c>
      <c r="J243" s="5"/>
      <c r="K243" s="6"/>
      <c r="L243" s="6" t="s">
        <v>50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90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265</v>
      </c>
      <c r="I244" s="5" t="str">
        <f>IF(H244="","",VLOOKUP(H244,DB!A:B,2,0))</f>
        <v>Patch Panel</v>
      </c>
      <c r="J244" s="5"/>
      <c r="K244" s="6"/>
      <c r="L244" s="6" t="s">
        <v>53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90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265</v>
      </c>
      <c r="I245" s="5" t="str">
        <f>IF(H245="","",VLOOKUP(H245,DB!A:B,2,0))</f>
        <v>Patch Panel</v>
      </c>
      <c r="J245" s="5"/>
      <c r="K245" s="6"/>
      <c r="L245" s="6" t="s">
        <v>56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90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265</v>
      </c>
      <c r="I246" s="5" t="str">
        <f>IF(H246="","",VLOOKUP(H246,DB!A:B,2,0))</f>
        <v>Patch Panel</v>
      </c>
      <c r="J246" s="5"/>
      <c r="K246" s="6"/>
      <c r="L246" s="6" t="s">
        <v>65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90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17</v>
      </c>
      <c r="I247" s="5" t="str">
        <f>IF(H247="","",VLOOKUP(H247,DB!A:B,2,0))</f>
        <v>Blackmagic 12 x 12</v>
      </c>
      <c r="J247" s="5"/>
      <c r="K247" s="6"/>
      <c r="L247" s="6" t="s">
        <v>50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90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17</v>
      </c>
      <c r="I248" s="5" t="str">
        <f>IF(H248="","",VLOOKUP(H248,DB!A:B,2,0))</f>
        <v>Blackmagic 12 x 12</v>
      </c>
      <c r="J248" s="5"/>
      <c r="K248" s="6"/>
      <c r="L248" s="6" t="s">
        <v>53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90</v>
      </c>
      <c r="B249" s="6" t="str">
        <f>IF(A249="","",VLOOKUP(A249,DB!A:B,2,0))</f>
        <v/>
      </c>
      <c r="C249" s="5"/>
      <c r="D249" s="6"/>
      <c r="E249" s="6"/>
      <c r="F249" s="5"/>
      <c r="G249" s="5"/>
      <c r="H249" s="6" t="s">
        <v>145</v>
      </c>
      <c r="I249" s="5" t="str">
        <f>IF(H249="","",VLOOKUP(H249,DB!A:B,2,0))</f>
        <v>openGear X</v>
      </c>
      <c r="J249" s="6">
        <v>3.0</v>
      </c>
      <c r="K249" s="6" t="s">
        <v>243</v>
      </c>
      <c r="L249" s="6" t="s">
        <v>245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225</v>
      </c>
      <c r="B250" s="6" t="str">
        <f>IF(A250="","",VLOOKUP(A250,DB!A:B,2,0))</f>
        <v>AJA FS2</v>
      </c>
      <c r="C250" s="5"/>
      <c r="D250" s="6"/>
      <c r="E250" s="6" t="s">
        <v>388</v>
      </c>
      <c r="F250" s="5"/>
      <c r="G250" s="5"/>
      <c r="H250" s="6" t="s">
        <v>389</v>
      </c>
      <c r="I250" s="5" t="str">
        <f>IF(H250="","",VLOOKUP(H250,DB!A:B,2,0))</f>
        <v>Digiwave DSC-131</v>
      </c>
      <c r="J250" s="6"/>
      <c r="K250" s="6"/>
      <c r="L250" s="6" t="s">
        <v>390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389</v>
      </c>
      <c r="B251" s="6" t="str">
        <f>IF(A251="","",VLOOKUP(A251,DB!A:B,2,0))</f>
        <v>Digiwave DSC-131</v>
      </c>
      <c r="C251" s="5"/>
      <c r="D251" s="6"/>
      <c r="E251" s="6" t="s">
        <v>391</v>
      </c>
      <c r="F251" s="5"/>
      <c r="G251" s="5"/>
      <c r="H251" s="6" t="s">
        <v>392</v>
      </c>
      <c r="I251" s="5" t="str">
        <f>IF(H251="","",VLOOKUP(H251,DB!A:B,2,0))</f>
        <v>vidicraft vst2110</v>
      </c>
      <c r="J251" s="6"/>
      <c r="K251" s="6"/>
      <c r="L251" s="6" t="s">
        <v>393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394</v>
      </c>
      <c r="B252" s="6" t="str">
        <f>IF(A252="","",VLOOKUP(A252,DB!A:B,2,0))</f>
        <v>tc electronic Finalizer</v>
      </c>
      <c r="C252" s="5"/>
      <c r="D252" s="6"/>
      <c r="E252" s="6" t="s">
        <v>395</v>
      </c>
      <c r="F252" s="5"/>
      <c r="G252" s="5"/>
      <c r="H252" s="6" t="s">
        <v>225</v>
      </c>
      <c r="I252" s="5" t="str">
        <f>IF(H252="","",VLOOKUP(H252,DB!A:B,2,0))</f>
        <v>AJA FS2</v>
      </c>
      <c r="J252" s="6"/>
      <c r="K252" s="6"/>
      <c r="L252" s="6" t="s">
        <v>396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394</v>
      </c>
      <c r="B253" s="6" t="str">
        <f>IF(A253="","",VLOOKUP(A253,DB!A:B,2,0))</f>
        <v>tc electronic Finalizer</v>
      </c>
      <c r="C253" s="5"/>
      <c r="D253" s="6"/>
      <c r="E253" s="6" t="s">
        <v>397</v>
      </c>
      <c r="F253" s="5"/>
      <c r="G253" s="5"/>
      <c r="H253" s="6" t="s">
        <v>90</v>
      </c>
      <c r="I253" s="5" t="str">
        <f>IF(H253="","",VLOOKUP(H253,DB!A:B,2,0))</f>
        <v/>
      </c>
      <c r="J253" s="6"/>
      <c r="K253" s="6"/>
      <c r="L253" s="6"/>
      <c r="M253" s="5"/>
      <c r="N253" s="6" t="s">
        <v>241</v>
      </c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394</v>
      </c>
      <c r="B254" s="6" t="str">
        <f>IF(A254="","",VLOOKUP(A254,DB!A:B,2,0))</f>
        <v>tc electronic Finalizer</v>
      </c>
      <c r="C254" s="5"/>
      <c r="D254" s="6"/>
      <c r="E254" s="6" t="s">
        <v>398</v>
      </c>
      <c r="F254" s="5"/>
      <c r="G254" s="5"/>
      <c r="H254" s="6" t="s">
        <v>90</v>
      </c>
      <c r="I254" s="5" t="str">
        <f>IF(H254="","",VLOOKUP(H254,DB!A:B,2,0))</f>
        <v/>
      </c>
      <c r="J254" s="6"/>
      <c r="K254" s="6"/>
      <c r="L254" s="6"/>
      <c r="M254" s="5"/>
      <c r="N254" s="6" t="s">
        <v>241</v>
      </c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399</v>
      </c>
      <c r="B255" s="6" t="str">
        <f>IF(A255="","",VLOOKUP(A255,DB!A:B,2,0))</f>
        <v>Videotron DV100-EQ</v>
      </c>
      <c r="C255" s="5"/>
      <c r="D255" s="6"/>
      <c r="E255" s="6" t="s">
        <v>16</v>
      </c>
      <c r="F255" s="6" t="s">
        <v>244</v>
      </c>
      <c r="G255" s="6" t="s">
        <v>18</v>
      </c>
      <c r="H255" s="6" t="s">
        <v>190</v>
      </c>
      <c r="I255" s="5" t="str">
        <f>IF(H255="","",VLOOKUP(H255,DB!A:B,2,0))</f>
        <v>Player A</v>
      </c>
      <c r="J255" s="6">
        <v>1.0</v>
      </c>
      <c r="K255" s="6" t="s">
        <v>74</v>
      </c>
      <c r="L255" s="6" t="s">
        <v>400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399</v>
      </c>
      <c r="B256" s="6" t="str">
        <f>IF(A256="","",VLOOKUP(A256,DB!A:B,2,0))</f>
        <v>Videotron DV100-EQ</v>
      </c>
      <c r="C256" s="5"/>
      <c r="D256" s="6"/>
      <c r="E256" s="6" t="s">
        <v>21</v>
      </c>
      <c r="F256" s="6" t="s">
        <v>244</v>
      </c>
      <c r="G256" s="6" t="s">
        <v>18</v>
      </c>
      <c r="H256" s="6" t="s">
        <v>190</v>
      </c>
      <c r="I256" s="5" t="str">
        <f>IF(H256="","",VLOOKUP(H256,DB!A:B,2,0))</f>
        <v>Player A</v>
      </c>
      <c r="J256" s="6">
        <v>2.0</v>
      </c>
      <c r="K256" s="6" t="s">
        <v>74</v>
      </c>
      <c r="L256" s="6" t="s">
        <v>400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399</v>
      </c>
      <c r="B257" s="6" t="str">
        <f>IF(A257="","",VLOOKUP(A257,DB!A:B,2,0))</f>
        <v>Videotron DV100-EQ</v>
      </c>
      <c r="C257" s="5"/>
      <c r="D257" s="6"/>
      <c r="E257" s="6" t="s">
        <v>24</v>
      </c>
      <c r="F257" s="6" t="s">
        <v>244</v>
      </c>
      <c r="G257" s="6" t="s">
        <v>18</v>
      </c>
      <c r="H257" s="6" t="s">
        <v>193</v>
      </c>
      <c r="I257" s="5" t="str">
        <f>IF(H257="","",VLOOKUP(H257,DB!A:B,2,0))</f>
        <v>Player B</v>
      </c>
      <c r="J257" s="6">
        <v>1.0</v>
      </c>
      <c r="K257" s="6" t="s">
        <v>74</v>
      </c>
      <c r="L257" s="6" t="s">
        <v>400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399</v>
      </c>
      <c r="B258" s="6" t="str">
        <f>IF(A258="","",VLOOKUP(A258,DB!A:B,2,0))</f>
        <v>Videotron DV100-EQ</v>
      </c>
      <c r="C258" s="5"/>
      <c r="D258" s="6"/>
      <c r="E258" s="6" t="s">
        <v>27</v>
      </c>
      <c r="F258" s="6" t="s">
        <v>244</v>
      </c>
      <c r="G258" s="6" t="s">
        <v>18</v>
      </c>
      <c r="H258" s="6" t="s">
        <v>193</v>
      </c>
      <c r="I258" s="5" t="str">
        <f>IF(H258="","",VLOOKUP(H258,DB!A:B,2,0))</f>
        <v>Player B</v>
      </c>
      <c r="J258" s="6">
        <v>2.0</v>
      </c>
      <c r="K258" s="6" t="s">
        <v>74</v>
      </c>
      <c r="L258" s="6" t="s">
        <v>400</v>
      </c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399</v>
      </c>
      <c r="B259" s="6" t="str">
        <f>IF(A259="","",VLOOKUP(A259,DB!A:B,2,0))</f>
        <v>Videotron DV100-EQ</v>
      </c>
      <c r="C259" s="5"/>
      <c r="D259" s="6"/>
      <c r="E259" s="6" t="s">
        <v>30</v>
      </c>
      <c r="F259" s="6" t="s">
        <v>244</v>
      </c>
      <c r="G259" s="6" t="s">
        <v>18</v>
      </c>
      <c r="H259" s="6" t="s">
        <v>195</v>
      </c>
      <c r="I259" s="5" t="str">
        <f>IF(H259="","",VLOOKUP(H259,DB!A:B,2,0))</f>
        <v>Player C</v>
      </c>
      <c r="J259" s="6">
        <v>1.0</v>
      </c>
      <c r="K259" s="6" t="s">
        <v>74</v>
      </c>
      <c r="L259" s="6" t="s">
        <v>400</v>
      </c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399</v>
      </c>
      <c r="B260" s="6" t="str">
        <f>IF(A260="","",VLOOKUP(A260,DB!A:B,2,0))</f>
        <v>Videotron DV100-EQ</v>
      </c>
      <c r="C260" s="5"/>
      <c r="D260" s="6"/>
      <c r="E260" s="6" t="s">
        <v>33</v>
      </c>
      <c r="F260" s="6" t="s">
        <v>244</v>
      </c>
      <c r="G260" s="6" t="s">
        <v>18</v>
      </c>
      <c r="H260" s="6" t="s">
        <v>195</v>
      </c>
      <c r="I260" s="5" t="str">
        <f>IF(H260="","",VLOOKUP(H260,DB!A:B,2,0))</f>
        <v>Player C</v>
      </c>
      <c r="J260" s="6">
        <v>2.0</v>
      </c>
      <c r="K260" s="6" t="s">
        <v>74</v>
      </c>
      <c r="L260" s="6" t="s">
        <v>400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399</v>
      </c>
      <c r="B261" s="6" t="str">
        <f>IF(A261="","",VLOOKUP(A261,DB!A:B,2,0))</f>
        <v>Videotron DV100-EQ</v>
      </c>
      <c r="C261" s="5"/>
      <c r="D261" s="6"/>
      <c r="E261" s="6" t="s">
        <v>36</v>
      </c>
      <c r="F261" s="6" t="s">
        <v>244</v>
      </c>
      <c r="G261" s="6" t="s">
        <v>18</v>
      </c>
      <c r="H261" s="6" t="s">
        <v>90</v>
      </c>
      <c r="I261" s="5" t="str">
        <f>IF(H261="","",VLOOKUP(H261,DB!A:B,2,0))</f>
        <v/>
      </c>
      <c r="J261" s="6"/>
      <c r="K261" s="6"/>
      <c r="L261" s="6"/>
      <c r="M261" s="5"/>
      <c r="N261" s="6" t="s">
        <v>401</v>
      </c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399</v>
      </c>
      <c r="B262" s="6" t="str">
        <f>IF(A262="","",VLOOKUP(A262,DB!A:B,2,0))</f>
        <v>Videotron DV100-EQ</v>
      </c>
      <c r="C262" s="5"/>
      <c r="D262" s="6"/>
      <c r="E262" s="6" t="s">
        <v>39</v>
      </c>
      <c r="F262" s="6" t="s">
        <v>244</v>
      </c>
      <c r="G262" s="6" t="s">
        <v>18</v>
      </c>
      <c r="H262" s="6" t="s">
        <v>90</v>
      </c>
      <c r="I262" s="5" t="str">
        <f>IF(H262="","",VLOOKUP(H262,DB!A:B,2,0))</f>
        <v/>
      </c>
      <c r="J262" s="6"/>
      <c r="K262" s="6"/>
      <c r="L262" s="6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190</v>
      </c>
      <c r="B263" s="6" t="str">
        <f>IF(A263="","",VLOOKUP(A263,DB!A:B,2,0))</f>
        <v>Player A</v>
      </c>
      <c r="C263" s="6">
        <v>2.0</v>
      </c>
      <c r="D263" s="6" t="s">
        <v>74</v>
      </c>
      <c r="E263" s="6" t="s">
        <v>402</v>
      </c>
      <c r="F263" s="6" t="s">
        <v>244</v>
      </c>
      <c r="G263" s="6" t="s">
        <v>191</v>
      </c>
      <c r="H263" s="6" t="s">
        <v>353</v>
      </c>
      <c r="I263" s="5" t="str">
        <f>IF(H263="","",VLOOKUP(H263,DB!A:B,2,0))</f>
        <v>Yamaha QL5</v>
      </c>
      <c r="J263" s="6"/>
      <c r="K263" s="6"/>
      <c r="L263" s="6" t="s">
        <v>403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184</v>
      </c>
      <c r="B264" s="6" t="str">
        <f>IF(A264="","",VLOOKUP(A264,DB!A:B,2,0))</f>
        <v>?????</v>
      </c>
      <c r="C264" s="5"/>
      <c r="D264" s="6"/>
      <c r="E264" s="6"/>
      <c r="F264" s="5"/>
      <c r="G264" s="5"/>
      <c r="H264" s="6" t="s">
        <v>183</v>
      </c>
      <c r="I264" s="5" t="str">
        <f>IF(H264="","",VLOOKUP(H264,DB!A:B,2,0))</f>
        <v>openGear X</v>
      </c>
      <c r="J264" s="6">
        <v>1.0</v>
      </c>
      <c r="K264" s="6" t="s">
        <v>318</v>
      </c>
      <c r="L264" s="6" t="s">
        <v>320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183</v>
      </c>
      <c r="B265" s="6" t="str">
        <f>IF(A265="","",VLOOKUP(A265,DB!A:B,2,0))</f>
        <v>openGear X</v>
      </c>
      <c r="C265" s="6">
        <v>1.0</v>
      </c>
      <c r="D265" s="6" t="s">
        <v>318</v>
      </c>
      <c r="E265" s="6" t="s">
        <v>404</v>
      </c>
      <c r="F265" s="6" t="s">
        <v>244</v>
      </c>
      <c r="G265" s="6" t="s">
        <v>320</v>
      </c>
      <c r="H265" s="6" t="s">
        <v>183</v>
      </c>
      <c r="I265" s="5" t="str">
        <f>IF(H265="","",VLOOKUP(H265,DB!A:B,2,0))</f>
        <v>openGear X</v>
      </c>
      <c r="J265" s="6" t="s">
        <v>184</v>
      </c>
      <c r="K265" s="6"/>
      <c r="L265" s="6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183</v>
      </c>
      <c r="B266" s="6" t="str">
        <f>IF(A266="","",VLOOKUP(A266,DB!A:B,2,0))</f>
        <v>openGear X</v>
      </c>
      <c r="C266" s="6">
        <v>1.0</v>
      </c>
      <c r="D266" s="6" t="s">
        <v>318</v>
      </c>
      <c r="E266" s="6" t="s">
        <v>405</v>
      </c>
      <c r="F266" s="6" t="s">
        <v>244</v>
      </c>
      <c r="G266" s="6" t="s">
        <v>320</v>
      </c>
      <c r="H266" s="6" t="s">
        <v>183</v>
      </c>
      <c r="I266" s="5" t="str">
        <f>IF(H266="","",VLOOKUP(H266,DB!A:B,2,0))</f>
        <v>openGear X</v>
      </c>
      <c r="J266" s="6" t="s">
        <v>184</v>
      </c>
      <c r="K266" s="6"/>
      <c r="L266" s="6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183</v>
      </c>
      <c r="B267" s="6" t="str">
        <f>IF(A267="","",VLOOKUP(A267,DB!A:B,2,0))</f>
        <v>openGear X</v>
      </c>
      <c r="C267" s="6">
        <v>1.0</v>
      </c>
      <c r="D267" s="6" t="s">
        <v>318</v>
      </c>
      <c r="E267" s="6" t="s">
        <v>406</v>
      </c>
      <c r="F267" s="6" t="s">
        <v>244</v>
      </c>
      <c r="G267" s="6" t="s">
        <v>320</v>
      </c>
      <c r="H267" s="6" t="s">
        <v>183</v>
      </c>
      <c r="I267" s="5" t="str">
        <f>IF(H267="","",VLOOKUP(H267,DB!A:B,2,0))</f>
        <v>openGear X</v>
      </c>
      <c r="J267" s="6" t="s">
        <v>184</v>
      </c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183</v>
      </c>
      <c r="B268" s="6" t="str">
        <f>IF(A268="","",VLOOKUP(A268,DB!A:B,2,0))</f>
        <v>openGear X</v>
      </c>
      <c r="C268" s="6">
        <v>1.0</v>
      </c>
      <c r="D268" s="6" t="s">
        <v>318</v>
      </c>
      <c r="E268" s="6" t="s">
        <v>407</v>
      </c>
      <c r="F268" s="6" t="s">
        <v>244</v>
      </c>
      <c r="G268" s="6" t="s">
        <v>320</v>
      </c>
      <c r="H268" s="6" t="s">
        <v>183</v>
      </c>
      <c r="I268" s="5" t="str">
        <f>IF(H268="","",VLOOKUP(H268,DB!A:B,2,0))</f>
        <v>openGear X</v>
      </c>
      <c r="J268" s="6">
        <v>3.0</v>
      </c>
      <c r="K268" s="14" t="s">
        <v>206</v>
      </c>
      <c r="L268" s="6" t="s">
        <v>108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183</v>
      </c>
      <c r="B269" s="6" t="str">
        <f>IF(A269="","",VLOOKUP(A269,DB!A:B,2,0))</f>
        <v>openGear X</v>
      </c>
      <c r="C269" s="6">
        <v>1.0</v>
      </c>
      <c r="D269" s="6" t="s">
        <v>318</v>
      </c>
      <c r="E269" s="6" t="s">
        <v>408</v>
      </c>
      <c r="F269" s="6" t="s">
        <v>244</v>
      </c>
      <c r="G269" s="6" t="s">
        <v>320</v>
      </c>
      <c r="H269" s="6" t="s">
        <v>183</v>
      </c>
      <c r="I269" s="5" t="str">
        <f>IF(H269="","",VLOOKUP(H269,DB!A:B,2,0))</f>
        <v>openGear X</v>
      </c>
      <c r="J269" s="6">
        <v>2.0</v>
      </c>
      <c r="K269" s="14" t="s">
        <v>206</v>
      </c>
      <c r="L269" s="6" t="s">
        <v>108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183</v>
      </c>
      <c r="B270" s="6" t="str">
        <f>IF(A270="","",VLOOKUP(A270,DB!A:B,2,0))</f>
        <v>openGear X</v>
      </c>
      <c r="C270" s="6">
        <v>1.0</v>
      </c>
      <c r="D270" s="6" t="s">
        <v>318</v>
      </c>
      <c r="E270" s="6" t="s">
        <v>409</v>
      </c>
      <c r="F270" s="6" t="s">
        <v>244</v>
      </c>
      <c r="G270" s="6" t="s">
        <v>320</v>
      </c>
      <c r="H270" s="6" t="s">
        <v>183</v>
      </c>
      <c r="I270" s="5" t="str">
        <f>IF(H270="","",VLOOKUP(H270,DB!A:B,2,0))</f>
        <v>openGear X</v>
      </c>
      <c r="J270" s="6">
        <v>5.0</v>
      </c>
      <c r="K270" s="14" t="s">
        <v>206</v>
      </c>
      <c r="L270" s="6" t="s">
        <v>108</v>
      </c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183</v>
      </c>
      <c r="B271" s="6" t="str">
        <f>IF(A271="","",VLOOKUP(A271,DB!A:B,2,0))</f>
        <v>openGear X</v>
      </c>
      <c r="C271" s="6">
        <v>1.0</v>
      </c>
      <c r="D271" s="6" t="s">
        <v>318</v>
      </c>
      <c r="E271" s="6" t="s">
        <v>410</v>
      </c>
      <c r="F271" s="6" t="s">
        <v>244</v>
      </c>
      <c r="G271" s="6" t="s">
        <v>320</v>
      </c>
      <c r="H271" s="6" t="s">
        <v>184</v>
      </c>
      <c r="I271" s="5" t="str">
        <f>IF(H271="","",VLOOKUP(H271,DB!A:B,2,0))</f>
        <v>?????</v>
      </c>
      <c r="J271" s="6"/>
      <c r="K271" s="6"/>
      <c r="L271" s="6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183</v>
      </c>
      <c r="B272" s="6" t="str">
        <f>IF(A272="","",VLOOKUP(A272,DB!A:B,2,0))</f>
        <v>openGear X</v>
      </c>
      <c r="C272" s="6">
        <v>1.0</v>
      </c>
      <c r="D272" s="6" t="s">
        <v>318</v>
      </c>
      <c r="E272" s="6" t="s">
        <v>411</v>
      </c>
      <c r="F272" s="6" t="s">
        <v>244</v>
      </c>
      <c r="G272" s="6" t="s">
        <v>320</v>
      </c>
      <c r="H272" s="6" t="s">
        <v>348</v>
      </c>
      <c r="I272" s="5" t="str">
        <f>IF(H272="","",VLOOKUP(H272,DB!A:B,2,0))</f>
        <v>VIDEObit 3G-LINK-TD</v>
      </c>
      <c r="J272" s="6"/>
      <c r="K272" s="6"/>
      <c r="L272" s="6" t="s">
        <v>69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183</v>
      </c>
      <c r="B273" s="6" t="str">
        <f>IF(A273="","",VLOOKUP(A273,DB!A:B,2,0))</f>
        <v>openGear X</v>
      </c>
      <c r="C273" s="6">
        <v>1.0</v>
      </c>
      <c r="D273" s="6" t="s">
        <v>318</v>
      </c>
      <c r="E273" s="6" t="s">
        <v>412</v>
      </c>
      <c r="F273" s="6" t="s">
        <v>244</v>
      </c>
      <c r="G273" s="6" t="s">
        <v>320</v>
      </c>
      <c r="H273" s="6" t="s">
        <v>90</v>
      </c>
      <c r="I273" s="5" t="str">
        <f>IF(H273="","",VLOOKUP(H273,DB!A:B,2,0))</f>
        <v/>
      </c>
      <c r="J273" s="6"/>
      <c r="K273" s="6"/>
      <c r="L273" s="6"/>
      <c r="M273" s="5"/>
      <c r="N273" s="6" t="s">
        <v>214</v>
      </c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413</v>
      </c>
      <c r="B274" s="6" t="str">
        <f>IF(A274="","",VLOOKUP(A274,DB!A:B,2,0))</f>
        <v>Leader Sync Generator</v>
      </c>
      <c r="C274" s="5"/>
      <c r="D274" s="6"/>
      <c r="E274" s="6" t="s">
        <v>414</v>
      </c>
      <c r="F274" s="5"/>
      <c r="G274" s="5"/>
      <c r="H274" s="6" t="s">
        <v>184</v>
      </c>
      <c r="I274" s="5" t="str">
        <f>IF(H274="","",VLOOKUP(H274,DB!A:B,2,0))</f>
        <v>?????</v>
      </c>
      <c r="J274" s="6"/>
      <c r="K274" s="6"/>
      <c r="L274" s="6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413</v>
      </c>
      <c r="B275" s="6" t="str">
        <f>IF(A275="","",VLOOKUP(A275,DB!A:B,2,0))</f>
        <v>Leader Sync Generator</v>
      </c>
      <c r="C275" s="5"/>
      <c r="D275" s="6"/>
      <c r="E275" s="6" t="s">
        <v>415</v>
      </c>
      <c r="F275" s="5"/>
      <c r="G275" s="5"/>
      <c r="H275" s="6" t="s">
        <v>15</v>
      </c>
      <c r="I275" s="5" t="str">
        <f>IF(H275="","",VLOOKUP(H275,DB!A:B,2,0))</f>
        <v>AJA KUMO 6464</v>
      </c>
      <c r="J275" s="6"/>
      <c r="K275" s="6"/>
      <c r="L275" s="6" t="s">
        <v>400</v>
      </c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413</v>
      </c>
      <c r="B276" s="6" t="str">
        <f>IF(A276="","",VLOOKUP(A276,DB!A:B,2,0))</f>
        <v>Leader Sync Generator</v>
      </c>
      <c r="C276" s="5"/>
      <c r="D276" s="6"/>
      <c r="E276" s="6" t="s">
        <v>416</v>
      </c>
      <c r="F276" s="5"/>
      <c r="G276" s="5"/>
      <c r="H276" s="6" t="s">
        <v>417</v>
      </c>
      <c r="I276" s="5" t="str">
        <f>IF(H276="","",VLOOKUP(H276,DB!A:B,2,0))</f>
        <v>Miranda Densite3</v>
      </c>
      <c r="J276" s="6">
        <v>7.0</v>
      </c>
      <c r="K276" s="6" t="s">
        <v>418</v>
      </c>
      <c r="L276" s="6" t="s">
        <v>393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413</v>
      </c>
      <c r="B277" s="6" t="str">
        <f>IF(A277="","",VLOOKUP(A277,DB!A:B,2,0))</f>
        <v>Leader Sync Generator</v>
      </c>
      <c r="C277" s="5"/>
      <c r="D277" s="6"/>
      <c r="E277" s="6" t="s">
        <v>419</v>
      </c>
      <c r="F277" s="5"/>
      <c r="G277" s="5"/>
      <c r="H277" s="6" t="s">
        <v>90</v>
      </c>
      <c r="I277" s="5" t="str">
        <f>IF(H277="","",VLOOKUP(H277,DB!A:B,2,0))</f>
        <v/>
      </c>
      <c r="J277" s="6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413</v>
      </c>
      <c r="B278" s="6" t="str">
        <f>IF(A278="","",VLOOKUP(A278,DB!A:B,2,0))</f>
        <v>Leader Sync Generator</v>
      </c>
      <c r="C278" s="5"/>
      <c r="D278" s="6"/>
      <c r="E278" s="6" t="s">
        <v>420</v>
      </c>
      <c r="F278" s="5"/>
      <c r="G278" s="5"/>
      <c r="H278" s="6" t="s">
        <v>90</v>
      </c>
      <c r="I278" s="5" t="str">
        <f>IF(H278="","",VLOOKUP(H278,DB!A:B,2,0))</f>
        <v/>
      </c>
      <c r="J278" s="6"/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413</v>
      </c>
      <c r="B279" s="6" t="str">
        <f>IF(A279="","",VLOOKUP(A279,DB!A:B,2,0))</f>
        <v>Leader Sync Generator</v>
      </c>
      <c r="C279" s="5"/>
      <c r="D279" s="6"/>
      <c r="E279" s="6" t="s">
        <v>421</v>
      </c>
      <c r="F279" s="5"/>
      <c r="G279" s="5"/>
      <c r="H279" s="6" t="s">
        <v>90</v>
      </c>
      <c r="I279" s="5" t="str">
        <f>IF(H279="","",VLOOKUP(H279,DB!A:B,2,0))</f>
        <v/>
      </c>
      <c r="J279" s="6"/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417</v>
      </c>
      <c r="B280" s="6" t="str">
        <f>IF(A280="","",VLOOKUP(A280,DB!A:B,2,0))</f>
        <v>Miranda Densite3</v>
      </c>
      <c r="C280" s="6">
        <v>7.0</v>
      </c>
      <c r="D280" s="6" t="s">
        <v>418</v>
      </c>
      <c r="E280" s="6" t="s">
        <v>422</v>
      </c>
      <c r="F280" s="6" t="s">
        <v>244</v>
      </c>
      <c r="G280" s="6" t="s">
        <v>393</v>
      </c>
      <c r="H280" s="6" t="s">
        <v>184</v>
      </c>
      <c r="I280" s="5" t="str">
        <f>IF(H280="","",VLOOKUP(H280,DB!A:B,2,0))</f>
        <v>?????</v>
      </c>
      <c r="J280" s="6"/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417</v>
      </c>
      <c r="B281" s="6" t="str">
        <f>IF(A281="","",VLOOKUP(A281,DB!A:B,2,0))</f>
        <v>Miranda Densite3</v>
      </c>
      <c r="C281" s="6">
        <v>7.0</v>
      </c>
      <c r="D281" s="6" t="s">
        <v>418</v>
      </c>
      <c r="E281" s="6" t="s">
        <v>423</v>
      </c>
      <c r="F281" s="6" t="s">
        <v>244</v>
      </c>
      <c r="G281" s="6" t="s">
        <v>393</v>
      </c>
      <c r="H281" s="6" t="s">
        <v>399</v>
      </c>
      <c r="I281" s="5" t="str">
        <f>IF(H281="","",VLOOKUP(H281,DB!A:B,2,0))</f>
        <v>Videotron DV100-EQ</v>
      </c>
      <c r="J281" s="6"/>
      <c r="K281" s="6"/>
      <c r="L281" s="6" t="s">
        <v>18</v>
      </c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417</v>
      </c>
      <c r="B282" s="6" t="str">
        <f>IF(A282="","",VLOOKUP(A282,DB!A:B,2,0))</f>
        <v>Miranda Densite3</v>
      </c>
      <c r="C282" s="6">
        <v>7.0</v>
      </c>
      <c r="D282" s="6" t="s">
        <v>418</v>
      </c>
      <c r="E282" s="6" t="s">
        <v>424</v>
      </c>
      <c r="F282" s="6" t="s">
        <v>244</v>
      </c>
      <c r="G282" s="6" t="s">
        <v>393</v>
      </c>
      <c r="H282" s="6" t="s">
        <v>184</v>
      </c>
      <c r="I282" s="5" t="str">
        <f>IF(H282="","",VLOOKUP(H282,DB!A:B,2,0))</f>
        <v>?????</v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417</v>
      </c>
      <c r="B283" s="6" t="str">
        <f>IF(A283="","",VLOOKUP(A283,DB!A:B,2,0))</f>
        <v>Miranda Densite3</v>
      </c>
      <c r="C283" s="6">
        <v>7.0</v>
      </c>
      <c r="D283" s="6" t="s">
        <v>418</v>
      </c>
      <c r="E283" s="6" t="s">
        <v>425</v>
      </c>
      <c r="F283" s="6" t="s">
        <v>244</v>
      </c>
      <c r="G283" s="6" t="s">
        <v>393</v>
      </c>
      <c r="H283" s="6" t="s">
        <v>183</v>
      </c>
      <c r="I283" s="5" t="str">
        <f>IF(H283="","",VLOOKUP(H283,DB!A:B,2,0))</f>
        <v>openGear X</v>
      </c>
      <c r="J283" s="6">
        <v>0.0</v>
      </c>
      <c r="K283" s="6" t="s">
        <v>426</v>
      </c>
      <c r="L283" s="6" t="s">
        <v>400</v>
      </c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417</v>
      </c>
      <c r="B284" s="6" t="str">
        <f>IF(A284="","",VLOOKUP(A284,DB!A:B,2,0))</f>
        <v>Miranda Densite3</v>
      </c>
      <c r="C284" s="6">
        <v>7.0</v>
      </c>
      <c r="D284" s="6" t="s">
        <v>418</v>
      </c>
      <c r="E284" s="6" t="s">
        <v>427</v>
      </c>
      <c r="F284" s="6" t="s">
        <v>244</v>
      </c>
      <c r="G284" s="6" t="s">
        <v>393</v>
      </c>
      <c r="H284" s="6" t="s">
        <v>90</v>
      </c>
      <c r="I284" s="5" t="str">
        <f>IF(H284="","",VLOOKUP(H284,DB!A:B,2,0))</f>
        <v/>
      </c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417</v>
      </c>
      <c r="B285" s="6" t="str">
        <f>IF(A285="","",VLOOKUP(A285,DB!A:B,2,0))</f>
        <v>Miranda Densite3</v>
      </c>
      <c r="C285" s="6">
        <v>7.0</v>
      </c>
      <c r="D285" s="6" t="s">
        <v>418</v>
      </c>
      <c r="E285" s="6" t="s">
        <v>428</v>
      </c>
      <c r="F285" s="6" t="s">
        <v>244</v>
      </c>
      <c r="G285" s="6" t="s">
        <v>393</v>
      </c>
      <c r="H285" s="6" t="s">
        <v>90</v>
      </c>
      <c r="I285" s="5" t="str">
        <f>IF(H285="","",VLOOKUP(H285,DB!A:B,2,0))</f>
        <v/>
      </c>
      <c r="J285" s="6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417</v>
      </c>
      <c r="B286" s="6" t="str">
        <f>IF(A286="","",VLOOKUP(A286,DB!A:B,2,0))</f>
        <v>Miranda Densite3</v>
      </c>
      <c r="C286" s="6">
        <v>7.0</v>
      </c>
      <c r="D286" s="6" t="s">
        <v>418</v>
      </c>
      <c r="E286" s="6" t="s">
        <v>429</v>
      </c>
      <c r="F286" s="6" t="s">
        <v>244</v>
      </c>
      <c r="G286" s="6" t="s">
        <v>393</v>
      </c>
      <c r="H286" s="6" t="s">
        <v>90</v>
      </c>
      <c r="I286" s="5" t="str">
        <f>IF(H286="","",VLOOKUP(H286,DB!A:B,2,0))</f>
        <v/>
      </c>
      <c r="J286" s="6"/>
      <c r="K286" s="6"/>
      <c r="L286" s="6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417</v>
      </c>
      <c r="B287" s="6" t="str">
        <f>IF(A287="","",VLOOKUP(A287,DB!A:B,2,0))</f>
        <v>Miranda Densite3</v>
      </c>
      <c r="C287" s="6">
        <v>7.0</v>
      </c>
      <c r="D287" s="6" t="s">
        <v>418</v>
      </c>
      <c r="E287" s="6" t="s">
        <v>430</v>
      </c>
      <c r="F287" s="6" t="s">
        <v>244</v>
      </c>
      <c r="G287" s="6" t="s">
        <v>393</v>
      </c>
      <c r="H287" s="6" t="s">
        <v>90</v>
      </c>
      <c r="I287" s="5" t="str">
        <f>IF(H287="","",VLOOKUP(H287,DB!A:B,2,0))</f>
        <v/>
      </c>
      <c r="J287" s="6"/>
      <c r="K287" s="6"/>
      <c r="L287" s="6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417</v>
      </c>
      <c r="B288" s="6" t="str">
        <f>IF(A288="","",VLOOKUP(A288,DB!A:B,2,0))</f>
        <v>Miranda Densite3</v>
      </c>
      <c r="C288" s="6">
        <v>7.0</v>
      </c>
      <c r="D288" s="6" t="s">
        <v>418</v>
      </c>
      <c r="E288" s="6" t="s">
        <v>431</v>
      </c>
      <c r="F288" s="6" t="s">
        <v>244</v>
      </c>
      <c r="G288" s="6" t="s">
        <v>393</v>
      </c>
      <c r="H288" s="6" t="s">
        <v>90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15</v>
      </c>
      <c r="B289" s="6" t="str">
        <f>IF(A289="","",VLOOKUP(A289,DB!A:B,2,0))</f>
        <v>AJA KUMO 6464</v>
      </c>
      <c r="C289" s="5"/>
      <c r="D289" s="6"/>
      <c r="E289" s="6" t="s">
        <v>432</v>
      </c>
      <c r="F289" s="6" t="s">
        <v>244</v>
      </c>
      <c r="G289" s="6" t="s">
        <v>400</v>
      </c>
      <c r="H289" s="6" t="s">
        <v>17</v>
      </c>
      <c r="I289" s="5" t="str">
        <f>IF(H289="","",VLOOKUP(H289,DB!A:B,2,0))</f>
        <v>Blackmagic 12 x 12</v>
      </c>
      <c r="J289" s="6"/>
      <c r="K289" s="6"/>
      <c r="L289" s="6" t="s">
        <v>400</v>
      </c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184</v>
      </c>
      <c r="B290" s="6" t="str">
        <f>IF(A290="","",VLOOKUP(A290,DB!A:B,2,0))</f>
        <v>?????</v>
      </c>
      <c r="C290" s="5"/>
      <c r="D290" s="6"/>
      <c r="E290" s="6"/>
      <c r="F290" s="5"/>
      <c r="G290" s="5"/>
      <c r="H290" s="6" t="s">
        <v>280</v>
      </c>
      <c r="I290" s="5" t="str">
        <f>IF(H290="","",VLOOKUP(H290,DB!A:B,2,0))</f>
        <v>Sony HXCU-100 Cam 1</v>
      </c>
      <c r="J290" s="6"/>
      <c r="K290" s="6"/>
      <c r="L290" s="6" t="s">
        <v>400</v>
      </c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280</v>
      </c>
      <c r="B291" s="6" t="str">
        <f>IF(A291="","",VLOOKUP(A291,DB!A:B,2,0))</f>
        <v>Sony HXCU-100 Cam 1</v>
      </c>
      <c r="C291" s="5"/>
      <c r="D291" s="6"/>
      <c r="E291" s="6" t="s">
        <v>432</v>
      </c>
      <c r="F291" s="6" t="s">
        <v>244</v>
      </c>
      <c r="G291" s="6" t="s">
        <v>400</v>
      </c>
      <c r="H291" s="6" t="s">
        <v>283</v>
      </c>
      <c r="I291" s="5" t="str">
        <f>IF(H291="","",VLOOKUP(H291,DB!A:B,2,0))</f>
        <v>Sony HXCU-100 Cam 2</v>
      </c>
      <c r="J291" s="6"/>
      <c r="K291" s="6"/>
      <c r="L291" s="6" t="s">
        <v>400</v>
      </c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283</v>
      </c>
      <c r="B292" s="6" t="str">
        <f>IF(A292="","",VLOOKUP(A292,DB!A:B,2,0))</f>
        <v>Sony HXCU-100 Cam 2</v>
      </c>
      <c r="C292" s="5"/>
      <c r="D292" s="6"/>
      <c r="E292" s="6" t="s">
        <v>432</v>
      </c>
      <c r="F292" s="6" t="s">
        <v>244</v>
      </c>
      <c r="G292" s="6" t="s">
        <v>400</v>
      </c>
      <c r="H292" s="6" t="s">
        <v>286</v>
      </c>
      <c r="I292" s="5" t="str">
        <f>IF(H292="","",VLOOKUP(H292,DB!A:B,2,0))</f>
        <v>Sony HXCU-100 Cam 3</v>
      </c>
      <c r="J292" s="6"/>
      <c r="K292" s="6"/>
      <c r="L292" s="6" t="s">
        <v>400</v>
      </c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286</v>
      </c>
      <c r="B293" s="6" t="str">
        <f>IF(A293="","",VLOOKUP(A293,DB!A:B,2,0))</f>
        <v>Sony HXCU-100 Cam 3</v>
      </c>
      <c r="C293" s="5"/>
      <c r="D293" s="6"/>
      <c r="E293" s="6" t="s">
        <v>432</v>
      </c>
      <c r="F293" s="6" t="s">
        <v>244</v>
      </c>
      <c r="G293" s="6" t="s">
        <v>400</v>
      </c>
      <c r="H293" s="6" t="s">
        <v>289</v>
      </c>
      <c r="I293" s="5" t="str">
        <f>IF(H293="","",VLOOKUP(H293,DB!A:B,2,0))</f>
        <v>Sony HXCU-100 Cam 4</v>
      </c>
      <c r="J293" s="6"/>
      <c r="K293" s="6"/>
      <c r="L293" s="6" t="s">
        <v>400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289</v>
      </c>
      <c r="B294" s="6" t="str">
        <f>IF(A294="","",VLOOKUP(A294,DB!A:B,2,0))</f>
        <v>Sony HXCU-100 Cam 4</v>
      </c>
      <c r="C294" s="5"/>
      <c r="D294" s="6"/>
      <c r="E294" s="6" t="s">
        <v>432</v>
      </c>
      <c r="F294" s="6" t="s">
        <v>244</v>
      </c>
      <c r="G294" s="6" t="s">
        <v>400</v>
      </c>
      <c r="H294" s="6" t="s">
        <v>92</v>
      </c>
      <c r="I294" s="5" t="str">
        <f>IF(H294="","",VLOOKUP(H294,DB!A:B,2,0))</f>
        <v>FOR A HVS-390HS</v>
      </c>
      <c r="J294" s="6"/>
      <c r="K294" s="6"/>
      <c r="L294" s="6" t="s">
        <v>400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/>
      <c r="B295" s="6" t="str">
        <f>IF(A295="","",VLOOKUP(A295,DB!A:B,2,0))</f>
        <v/>
      </c>
      <c r="C295" s="5"/>
      <c r="D295" s="6"/>
      <c r="E295" s="6"/>
      <c r="F295" s="5"/>
      <c r="G295" s="5"/>
      <c r="H295" s="6"/>
      <c r="I295" s="5" t="str">
        <f>IF(H295="","",VLOOKUP(H295,DB!A:B,2,0))</f>
        <v/>
      </c>
      <c r="J295" s="6"/>
      <c r="K295" s="6"/>
      <c r="L295" s="6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/>
      <c r="B296" s="6" t="str">
        <f>IF(A296="","",VLOOKUP(A296,DB!A:B,2,0))</f>
        <v/>
      </c>
      <c r="C296" s="5"/>
      <c r="D296" s="6"/>
      <c r="E296" s="6"/>
      <c r="F296" s="5"/>
      <c r="G296" s="5"/>
      <c r="H296" s="6"/>
      <c r="I296" s="5" t="str">
        <f>IF(H296="","",VLOOKUP(H296,DB!A:B,2,0))</f>
        <v/>
      </c>
      <c r="J296" s="6"/>
      <c r="K296" s="6"/>
      <c r="L296" s="6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/>
      <c r="B297" s="6" t="str">
        <f>IF(A297="","",VLOOKUP(A297,DB!A:B,2,0))</f>
        <v/>
      </c>
      <c r="C297" s="5"/>
      <c r="D297" s="6"/>
      <c r="E297" s="6"/>
      <c r="F297" s="5"/>
      <c r="G297" s="5"/>
      <c r="H297" s="6"/>
      <c r="I297" s="5" t="str">
        <f>IF(H297="","",VLOOKUP(H297,DB!A:B,2,0))</f>
        <v/>
      </c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/>
      <c r="B298" s="6" t="str">
        <f>IF(A298="","",VLOOKUP(A298,DB!A:B,2,0))</f>
        <v/>
      </c>
      <c r="C298" s="5"/>
      <c r="D298" s="6"/>
      <c r="E298" s="6"/>
      <c r="F298" s="5"/>
      <c r="G298" s="5"/>
      <c r="H298" s="6"/>
      <c r="I298" s="5" t="str">
        <f>IF(H298="","",VLOOKUP(H298,DB!A:B,2,0))</f>
        <v/>
      </c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/>
      <c r="B299" s="6" t="str">
        <f>IF(A299="","",VLOOKUP(A299,DB!A:B,2,0))</f>
        <v/>
      </c>
      <c r="C299" s="5"/>
      <c r="D299" s="6"/>
      <c r="E299" s="6"/>
      <c r="F299" s="5"/>
      <c r="G299" s="5"/>
      <c r="H299" s="6"/>
      <c r="I299" s="5" t="str">
        <f>IF(H299="","",VLOOKUP(H299,DB!A:B,2,0))</f>
        <v/>
      </c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/>
      <c r="B300" s="6" t="str">
        <f>IF(A300="","",VLOOKUP(A300,DB!A:B,2,0))</f>
        <v/>
      </c>
      <c r="C300" s="5"/>
      <c r="D300" s="6"/>
      <c r="E300" s="6"/>
      <c r="F300" s="5"/>
      <c r="G300" s="5"/>
      <c r="H300" s="6"/>
      <c r="I300" s="5" t="str">
        <f>IF(H300="","",VLOOKUP(H300,DB!A:B,2,0))</f>
        <v/>
      </c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/>
      <c r="B301" s="6" t="str">
        <f>IF(A301="","",VLOOKUP(A301,DB!A:B,2,0))</f>
        <v/>
      </c>
      <c r="C301" s="5"/>
      <c r="D301" s="6"/>
      <c r="E301" s="6"/>
      <c r="F301" s="5"/>
      <c r="G301" s="5"/>
      <c r="H301" s="6"/>
      <c r="I301" s="5" t="str">
        <f>IF(H301="","",VLOOKUP(H301,DB!A:B,2,0))</f>
        <v/>
      </c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/>
      <c r="B302" s="6" t="str">
        <f>IF(A302="","",VLOOKUP(A302,DB!A:B,2,0))</f>
        <v/>
      </c>
      <c r="C302" s="5"/>
      <c r="D302" s="6"/>
      <c r="E302" s="6"/>
      <c r="F302" s="5"/>
      <c r="G302" s="5"/>
      <c r="H302" s="6"/>
      <c r="I302" s="5" t="str">
        <f>IF(H302="","",VLOOKUP(H302,DB!A:B,2,0))</f>
        <v/>
      </c>
      <c r="J302" s="6"/>
      <c r="K302" s="6"/>
      <c r="L302" s="6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/>
      <c r="B303" s="6" t="str">
        <f>IF(A303="","",VLOOKUP(A303,DB!A:B,2,0))</f>
        <v/>
      </c>
      <c r="C303" s="5"/>
      <c r="D303" s="6"/>
      <c r="E303" s="6"/>
      <c r="F303" s="5"/>
      <c r="G303" s="5"/>
      <c r="H303" s="6"/>
      <c r="I303" s="5" t="str">
        <f>IF(H303="","",VLOOKUP(H303,DB!A:B,2,0))</f>
        <v/>
      </c>
      <c r="J303" s="6"/>
      <c r="K303" s="6"/>
      <c r="L303" s="6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/>
      <c r="B304" s="6" t="str">
        <f>IF(A304="","",VLOOKUP(A304,DB!A:B,2,0))</f>
        <v/>
      </c>
      <c r="C304" s="5"/>
      <c r="D304" s="6"/>
      <c r="E304" s="6"/>
      <c r="F304" s="5"/>
      <c r="G304" s="5"/>
      <c r="H304" s="6"/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/>
      <c r="B305" s="6" t="str">
        <f>IF(A305="","",VLOOKUP(A305,DB!A:B,2,0))</f>
        <v/>
      </c>
      <c r="C305" s="5"/>
      <c r="D305" s="6"/>
      <c r="E305" s="6"/>
      <c r="F305" s="5"/>
      <c r="G305" s="5"/>
      <c r="H305" s="6"/>
      <c r="I305" s="5" t="str">
        <f>IF(H305="","",VLOOKUP(H305,DB!A:B,2,0))</f>
        <v/>
      </c>
      <c r="J305" s="6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/>
      <c r="B306" s="6" t="str">
        <f>IF(A306="","",VLOOKUP(A306,DB!A:B,2,0))</f>
        <v/>
      </c>
      <c r="C306" s="5"/>
      <c r="D306" s="6"/>
      <c r="E306" s="6"/>
      <c r="F306" s="5"/>
      <c r="G306" s="5"/>
      <c r="H306" s="6"/>
      <c r="I306" s="5" t="str">
        <f>IF(H306="","",VLOOKUP(H306,DB!A:B,2,0))</f>
        <v/>
      </c>
      <c r="J306" s="6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/>
      <c r="B307" s="6" t="str">
        <f>IF(A307="","",VLOOKUP(A307,DB!A:B,2,0))</f>
        <v/>
      </c>
      <c r="C307" s="5"/>
      <c r="D307" s="6"/>
      <c r="E307" s="6"/>
      <c r="F307" s="5"/>
      <c r="G307" s="5"/>
      <c r="H307" s="6"/>
      <c r="I307" s="5" t="str">
        <f>IF(H307="","",VLOOKUP(H307,DB!A:B,2,0))</f>
        <v/>
      </c>
      <c r="J307" s="6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/>
      <c r="B308" s="6" t="str">
        <f>IF(A308="","",VLOOKUP(A308,DB!A:B,2,0))</f>
        <v/>
      </c>
      <c r="C308" s="5"/>
      <c r="D308" s="6"/>
      <c r="E308" s="6"/>
      <c r="F308" s="5"/>
      <c r="G308" s="5"/>
      <c r="H308" s="6"/>
      <c r="I308" s="5" t="str">
        <f>IF(H308="","",VLOOKUP(H308,DB!A:B,2,0))</f>
        <v/>
      </c>
      <c r="J308" s="6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/>
      <c r="B309" s="6" t="str">
        <f>IF(A309="","",VLOOKUP(A309,DB!A:B,2,0))</f>
        <v/>
      </c>
      <c r="C309" s="5"/>
      <c r="D309" s="6"/>
      <c r="E309" s="6"/>
      <c r="F309" s="5"/>
      <c r="G309" s="5"/>
      <c r="H309" s="6"/>
      <c r="I309" s="5" t="str">
        <f>IF(H309="","",VLOOKUP(H309,DB!A:B,2,0))</f>
        <v/>
      </c>
      <c r="J309" s="6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/>
      <c r="B310" s="6" t="str">
        <f>IF(A310="","",VLOOKUP(A310,DB!A:B,2,0))</f>
        <v/>
      </c>
      <c r="C310" s="5"/>
      <c r="D310" s="6"/>
      <c r="E310" s="6"/>
      <c r="F310" s="5"/>
      <c r="G310" s="5"/>
      <c r="H310" s="6"/>
      <c r="I310" s="5" t="str">
        <f>IF(H310="","",VLOOKUP(H310,DB!A:B,2,0))</f>
        <v/>
      </c>
      <c r="J310" s="6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/>
      <c r="B311" s="6" t="str">
        <f>IF(A311="","",VLOOKUP(A311,DB!A:B,2,0))</f>
        <v/>
      </c>
      <c r="C311" s="5"/>
      <c r="D311" s="6"/>
      <c r="E311" s="6"/>
      <c r="F311" s="5"/>
      <c r="G311" s="5"/>
      <c r="H311" s="6"/>
      <c r="I311" s="5" t="str">
        <f>IF(H311="","",VLOOKUP(H311,DB!A:B,2,0))</f>
        <v/>
      </c>
      <c r="J311" s="6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/>
      <c r="B312" s="6" t="str">
        <f>IF(A312="","",VLOOKUP(A312,DB!A:B,2,0))</f>
        <v/>
      </c>
      <c r="C312" s="5"/>
      <c r="D312" s="6"/>
      <c r="E312" s="6"/>
      <c r="F312" s="5"/>
      <c r="G312" s="5"/>
      <c r="H312" s="6"/>
      <c r="I312" s="5" t="str">
        <f>IF(H312="","",VLOOKUP(H312,DB!A:B,2,0))</f>
        <v/>
      </c>
      <c r="J312" s="6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/>
      <c r="B313" s="6" t="str">
        <f>IF(A313="","",VLOOKUP(A313,DB!A:B,2,0))</f>
        <v/>
      </c>
      <c r="C313" s="5"/>
      <c r="D313" s="6"/>
      <c r="E313" s="6"/>
      <c r="F313" s="5"/>
      <c r="G313" s="5"/>
      <c r="H313" s="6"/>
      <c r="I313" s="5" t="str">
        <f>IF(H313="","",VLOOKUP(H313,DB!A:B,2,0))</f>
        <v/>
      </c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</sheetData>
  <conditionalFormatting sqref="A1:AC499">
    <cfRule type="cellIs" dxfId="0" priority="1" operator="equal">
      <formula>"N/D"</formula>
    </cfRule>
  </conditionalFormatting>
  <conditionalFormatting sqref="A1:AC499">
    <cfRule type="cellIs" dxfId="1" priority="2" operator="equal">
      <formula>"N/C"</formula>
    </cfRule>
  </conditionalFormatting>
  <conditionalFormatting sqref="A1:AC499">
    <cfRule type="expression" dxfId="2" priority="3">
      <formula>ISEVEN(ROW())</formula>
    </cfRule>
  </conditionalFormatting>
  <dataValidations>
    <dataValidation type="list" allowBlank="1" showErrorMessage="1" sqref="A2:A499 H2:H499">
      <formula1>DB!$A$2:$A$1011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0.0"/>
    <col customWidth="1" min="3" max="3" width="16.13"/>
  </cols>
  <sheetData>
    <row r="1">
      <c r="A1" s="15" t="s">
        <v>433</v>
      </c>
      <c r="B1" s="16" t="s">
        <v>434</v>
      </c>
      <c r="C1" s="17" t="s">
        <v>435</v>
      </c>
      <c r="D1" s="18" t="s">
        <v>436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437</v>
      </c>
      <c r="B2" s="7" t="s">
        <v>438</v>
      </c>
      <c r="C2" s="19" t="s">
        <v>439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190</v>
      </c>
      <c r="B3" s="7" t="s">
        <v>440</v>
      </c>
      <c r="C3" s="19" t="s">
        <v>441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193</v>
      </c>
      <c r="B4" s="7" t="s">
        <v>442</v>
      </c>
      <c r="C4" s="19" t="s">
        <v>443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195</v>
      </c>
      <c r="B5" s="7" t="s">
        <v>444</v>
      </c>
      <c r="C5" s="19" t="s">
        <v>445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161</v>
      </c>
      <c r="B6" s="7" t="s">
        <v>446</v>
      </c>
      <c r="C6" s="20" t="s">
        <v>184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399</v>
      </c>
      <c r="B7" s="11" t="s">
        <v>447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448</v>
      </c>
      <c r="B9" s="7" t="s">
        <v>449</v>
      </c>
      <c r="C9" s="19" t="s">
        <v>450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73</v>
      </c>
      <c r="B10" s="7" t="s">
        <v>451</v>
      </c>
      <c r="C10" s="19" t="s">
        <v>452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78</v>
      </c>
      <c r="B11" s="7" t="s">
        <v>453</v>
      </c>
      <c r="C11" s="19" t="s">
        <v>454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83</v>
      </c>
      <c r="B12" s="7" t="s">
        <v>455</v>
      </c>
      <c r="C12" s="19" t="s">
        <v>456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413</v>
      </c>
      <c r="B14" s="11" t="s">
        <v>457</v>
      </c>
      <c r="C14" s="20" t="s">
        <v>184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417</v>
      </c>
      <c r="B15" s="7" t="s">
        <v>458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459</v>
      </c>
      <c r="C16" s="19" t="s">
        <v>460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49</v>
      </c>
      <c r="B17" s="7" t="s">
        <v>461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462</v>
      </c>
      <c r="C18" s="20" t="s">
        <v>184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265</v>
      </c>
      <c r="B19" s="7" t="s">
        <v>463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115</v>
      </c>
      <c r="B20" s="7" t="s">
        <v>463</v>
      </c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371</v>
      </c>
      <c r="B22" s="11" t="s">
        <v>464</v>
      </c>
      <c r="C22" s="20" t="s">
        <v>465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373</v>
      </c>
      <c r="B23" s="11" t="s">
        <v>466</v>
      </c>
      <c r="C23" s="20" t="s">
        <v>467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468</v>
      </c>
      <c r="B24" s="7"/>
      <c r="C24" s="19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469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470</v>
      </c>
      <c r="B27" s="7" t="s">
        <v>471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472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472</v>
      </c>
      <c r="C29" s="20" t="s">
        <v>184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473</v>
      </c>
      <c r="C30" s="19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474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145</v>
      </c>
      <c r="B32" s="7" t="s">
        <v>475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364</v>
      </c>
      <c r="B33" s="7" t="s">
        <v>471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187</v>
      </c>
      <c r="B34" s="7" t="s">
        <v>475</v>
      </c>
      <c r="C34" s="19" t="s">
        <v>476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394</v>
      </c>
      <c r="B35" s="7" t="s">
        <v>477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68</v>
      </c>
      <c r="B36" s="7" t="s">
        <v>478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153</v>
      </c>
      <c r="B37" s="7" t="s">
        <v>479</v>
      </c>
      <c r="C37" s="20" t="s">
        <v>184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479</v>
      </c>
      <c r="C38" s="19" t="s">
        <v>480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389</v>
      </c>
      <c r="B39" s="7" t="s">
        <v>481</v>
      </c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392</v>
      </c>
      <c r="B40" s="7" t="s">
        <v>482</v>
      </c>
      <c r="C40" s="19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483</v>
      </c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484</v>
      </c>
      <c r="B43" s="7" t="s">
        <v>485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157</v>
      </c>
      <c r="B44" s="7" t="s">
        <v>486</v>
      </c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176</v>
      </c>
      <c r="B45" s="7" t="s">
        <v>487</v>
      </c>
      <c r="C45" s="19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103</v>
      </c>
      <c r="B46" s="7" t="s">
        <v>488</v>
      </c>
      <c r="C46" s="19" t="s">
        <v>489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107</v>
      </c>
      <c r="B47" s="7" t="s">
        <v>490</v>
      </c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491</v>
      </c>
      <c r="B49" s="7" t="s">
        <v>492</v>
      </c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280</v>
      </c>
      <c r="B50" s="11" t="s">
        <v>493</v>
      </c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283</v>
      </c>
      <c r="B51" s="11" t="s">
        <v>494</v>
      </c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286</v>
      </c>
      <c r="B52" s="11" t="s">
        <v>495</v>
      </c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289</v>
      </c>
      <c r="B53" s="11" t="s">
        <v>496</v>
      </c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254</v>
      </c>
      <c r="B54" s="7" t="s">
        <v>497</v>
      </c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92</v>
      </c>
      <c r="B55" s="7" t="s">
        <v>498</v>
      </c>
      <c r="C55" s="20" t="s">
        <v>184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383</v>
      </c>
      <c r="B56" s="7" t="s">
        <v>499</v>
      </c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500</v>
      </c>
      <c r="B58" s="11"/>
      <c r="C58" s="19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7"/>
      <c r="B59" s="7"/>
      <c r="C59" s="19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1" t="s">
        <v>370</v>
      </c>
      <c r="B60" s="6" t="s">
        <v>501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502</v>
      </c>
      <c r="B61" s="11" t="s">
        <v>503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1" t="s">
        <v>504</v>
      </c>
      <c r="B62" s="11" t="s">
        <v>505</v>
      </c>
      <c r="C62" s="19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348</v>
      </c>
      <c r="B63" s="11" t="s">
        <v>506</v>
      </c>
      <c r="C63" s="19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507</v>
      </c>
      <c r="B64" s="7"/>
      <c r="C64" s="19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183</v>
      </c>
      <c r="B65" s="7" t="s">
        <v>475</v>
      </c>
      <c r="C65" s="19" t="s">
        <v>508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7"/>
      <c r="C66" s="19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210</v>
      </c>
      <c r="B67" s="6" t="s">
        <v>509</v>
      </c>
      <c r="C67" s="19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510</v>
      </c>
      <c r="B68" s="7"/>
      <c r="C68" s="19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511</v>
      </c>
      <c r="B69" s="7"/>
      <c r="C69" s="19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/>
      <c r="B70" s="7"/>
      <c r="C70" s="19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260</v>
      </c>
      <c r="B71" s="7" t="s">
        <v>512</v>
      </c>
      <c r="C71" s="19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386</v>
      </c>
      <c r="B72" s="7" t="s">
        <v>513</v>
      </c>
      <c r="C72" s="19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 t="s">
        <v>351</v>
      </c>
      <c r="B73" s="7" t="s">
        <v>514</v>
      </c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347</v>
      </c>
      <c r="B75" s="7" t="s">
        <v>515</v>
      </c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353</v>
      </c>
      <c r="B76" s="7" t="s">
        <v>516</v>
      </c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349</v>
      </c>
      <c r="B77" s="7" t="s">
        <v>517</v>
      </c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376</v>
      </c>
      <c r="B78" s="7" t="s">
        <v>518</v>
      </c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519</v>
      </c>
      <c r="B79" s="7" t="s">
        <v>520</v>
      </c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379</v>
      </c>
      <c r="B80" s="7" t="s">
        <v>521</v>
      </c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150</v>
      </c>
      <c r="B81" s="7" t="s">
        <v>522</v>
      </c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350</v>
      </c>
      <c r="B82" s="7" t="s">
        <v>523</v>
      </c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381</v>
      </c>
      <c r="B83" s="7" t="s">
        <v>524</v>
      </c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111</v>
      </c>
      <c r="B84" s="7" t="s">
        <v>525</v>
      </c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1" t="s">
        <v>375</v>
      </c>
      <c r="B85" s="11" t="s">
        <v>526</v>
      </c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527</v>
      </c>
      <c r="B87" s="7"/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1" t="s">
        <v>184</v>
      </c>
      <c r="B89" s="11" t="s">
        <v>528</v>
      </c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90</v>
      </c>
      <c r="B91" s="7"/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346</v>
      </c>
      <c r="B93" s="6" t="s">
        <v>529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345</v>
      </c>
      <c r="B94" s="6" t="s">
        <v>530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6" t="s">
        <v>343</v>
      </c>
      <c r="B95" s="6" t="s">
        <v>531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</sheetData>
  <conditionalFormatting sqref="B93:B96">
    <cfRule type="cellIs" dxfId="1" priority="1" operator="equal">
      <formula>"N/C"</formula>
    </cfRule>
  </conditionalFormatting>
  <conditionalFormatting sqref="A1:Y1011">
    <cfRule type="cellIs" dxfId="0" priority="2" operator="equal">
      <formula>"N/D"</formula>
    </cfRule>
  </conditionalFormatting>
  <conditionalFormatting sqref="A1:Y1011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11</v>
      </c>
      <c r="L1" s="2" t="s">
        <v>12</v>
      </c>
      <c r="M1" s="2" t="s">
        <v>13</v>
      </c>
      <c r="N1" s="2" t="s">
        <v>14</v>
      </c>
      <c r="O1" s="5"/>
      <c r="P1" s="4" t="s">
        <v>532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5"/>
      <c r="B2" s="5"/>
      <c r="C2" s="5"/>
      <c r="D2" s="5"/>
      <c r="E2" s="5"/>
      <c r="F2" s="5"/>
      <c r="G2" s="5"/>
      <c r="H2" s="6" t="s">
        <v>533</v>
      </c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Conexiones!A2:O499,
    IF(A2="""", ROW(Conexiones!A2:A499)^0, ISNUMBER(SEARCH(A2, Conexiones!A2:A499))),
    IF(B2="""", ROW(Conexiones!B2:B499)^0, ISNUMBER(SEARCH(B2, Conexiones!B2:B499))),
    IF(C2="""", ROW(Conexiones!C2:C499)^0, "&amp;"ISNUMBER(SEARCH(C2, Conexiones!C2:C499))),
    IF(D2="""", ROW(Conexiones!D2:D499)^0, ISNUMBER(SEARCH(D2, Conexiones!D2:D499))),
    IF(E2="""", ROW(Conexiones!E2:E499)^0, ISNUMBER(SEARCH(E2, Conexiones!E2:E499))),
    IF(F2="""", ROW(Conexiones!F2:F499)^"&amp;"0, ISNUMBER(SEARCH(F2, Conexiones!F2:F499))),
    IF(G2="""", ROW(Conexiones!G2:G499)^0, ISNUMBER(SEARCH(G2, Conexiones!G2:G499))),
    IF(H2="""", ROW(Conexiones!H2:H499)^0, ISNUMBER(SEARCH(H2, Conexiones!H2:H499))),
    IF(B2="""", ROW(Conexiones!H2:H49"&amp;"9)^0, ISNUMBER(SEARCH(B2, Conexiones!H2:H499))),
    IF(I2="""", ROW(Conexiones!I2:I499)^0, ISNUMBER(SEARCH(I2, Conexiones!I2:I499))),
    IF(J2="""", ROW(Conexiones!J2:J499)^0, ISNUMBER(SEARCH(J2, Conexiones!J2:J499))),
    IF(K2="""", ROW(Conexiones!L2:"&amp;"L499)^0, ISNUMBER(SEARCH(K2, Conexiones!L2:L499))),
    IF(L2="""", ROW(Conexiones!M2:M499)^0, ISNUMBER(SEARCH(L2, Conexiones!M2:M499))),
    IF(M2="""", ROW(Conexiones!N2:N499)^0, ISNUMBER(SEARCH(M2, Conexiones!N2:N499))),
    IF(N2="""", ROW(Conexiones!"&amp;"O2:O499)^0, ISNUMBER(SEARCH(N2, Conexiones!O2:O499)))
  ),
  P2,
  TRUE
)"),"C.2")</f>
        <v>C.2</v>
      </c>
      <c r="B3" s="5" t="str">
        <f>IFERROR(__xludf.DUMMYFUNCTION("""COMPUTED_VALUE"""),"Miranda Densite3")</f>
        <v>Miranda Densite3</v>
      </c>
      <c r="C3" s="5">
        <f>IFERROR(__xludf.DUMMYFUNCTION("""COMPUTED_VALUE"""),7.0)</f>
        <v>7</v>
      </c>
      <c r="D3" s="5" t="str">
        <f>IFERROR(__xludf.DUMMYFUNCTION("""COMPUTED_VALUE"""),"Analog Dist. Amp.")</f>
        <v>Analog Dist. Amp.</v>
      </c>
      <c r="E3" s="5" t="str">
        <f>IFERROR(__xludf.DUMMYFUNCTION("""COMPUTED_VALUE"""),"Video Out 2")</f>
        <v>Video Out 2</v>
      </c>
      <c r="F3" s="5" t="str">
        <f>IFERROR(__xludf.DUMMYFUNCTION("""COMPUTED_VALUE"""),"T")</f>
        <v>T</v>
      </c>
      <c r="G3" s="5" t="str">
        <f>IFERROR(__xludf.DUMMYFUNCTION("""COMPUTED_VALUE"""),"Video In")</f>
        <v>Video In</v>
      </c>
      <c r="H3" s="5" t="str">
        <f>IFERROR(__xludf.DUMMYFUNCTION("""COMPUTED_VALUE"""),"A.6")</f>
        <v>A.6</v>
      </c>
      <c r="I3" s="5" t="str">
        <f>IFERROR(__xludf.DUMMYFUNCTION("""COMPUTED_VALUE"""),"Videotron DV100-EQ")</f>
        <v>Videotron DV100-EQ</v>
      </c>
      <c r="J3" s="5"/>
      <c r="K3" s="5"/>
      <c r="L3" s="5" t="str">
        <f>IFERROR(__xludf.DUMMYFUNCTION("""COMPUTED_VALUE"""),"In 1")</f>
        <v>In 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DB!$B$2:$B$410</formula1>
    </dataValidation>
  </dataValidations>
  <drawing r:id="rId1"/>
</worksheet>
</file>