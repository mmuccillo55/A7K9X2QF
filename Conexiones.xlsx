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<sst xmlns="http://schemas.openxmlformats.org/spreadsheetml/2006/main" count="1620" uniqueCount="513">
  <si>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</si>
  <si>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</si>
  <si>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</si>
  <si>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</si>
  <si>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</si>
  <si>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</si>
  <si>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</si>
  <si>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</si>
  <si>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</si>
  <si>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</si>
  <si>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</si>
  <si>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</si>
  <si>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</si>
  <si>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</si>
  <si>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</si>
  <si>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</si>
  <si>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</si>
  <si>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</si>
  <si>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</si>
  <si>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 1</t>
  </si>
  <si>
    <t>Out 2</t>
  </si>
  <si>
    <t>In 2</t>
  </si>
  <si>
    <t>MATRIZ 2</t>
  </si>
  <si>
    <t>PRUEBA 2</t>
  </si>
  <si>
    <t>Out 3</t>
  </si>
  <si>
    <t>In 3</t>
  </si>
  <si>
    <t>MATRIZ 3</t>
  </si>
  <si>
    <t>PRUEBA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</si>
  <si>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</si>
  <si>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</si>
  <si>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</si>
  <si>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</si>
  <si>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</si>
  <si>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</si>
  <si>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</si>
  <si>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</si>
  <si>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</si>
  <si>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</si>
  <si>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</si>
  <si>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</si>
  <si>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</si>
  <si>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</si>
  <si>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</si>
  <si>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</si>
  <si>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</si>
  <si>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</si>
  <si>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</si>
  <si>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</si>
  <si>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</si>
  <si>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</si>
  <si>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</si>
  <si>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</si>
  <si>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</si>
  <si>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</si>
  <si>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</si>
  <si>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</si>
  <si>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</si>
  <si>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</si>
  <si>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</si>
  <si>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</si>
  <si>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</si>
  <si>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</si>
  <si>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</si>
  <si>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</si>
  <si>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</si>
  <si>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</si>
  <si>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</si>
  <si>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</si>
  <si>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</si>
  <si>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</si>
  <si>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</si>
  <si>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</si>
  <si>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</si>
  <si>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</si>
  <si>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</si>
  <si>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</si>
  <si>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</si>
  <si>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</si>
  <si>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</si>
  <si>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</si>
  <si>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</si>
  <si>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</si>
  <si>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</si>
  <si>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</si>
  <si>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</si>
  <si>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</si>
  <si>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</si>
  <si>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</si>
  <si>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</si>
  <si>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</si>
  <si>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</si>
  <si>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</si>
  <si>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</si>
  <si>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</si>
  <si>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</si>
  <si>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</si>
  <si>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</si>
  <si>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</si>
  <si>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</si>
  <si>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</si>
  <si>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</si>
  <si>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</si>
  <si>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</si>
  <si>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</si>
  <si>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</si>
  <si>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</si>
  <si>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</si>
  <si>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</si>
  <si>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</si>
  <si>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</si>
  <si>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</si>
  <si>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</si>
  <si>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</si>
  <si>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</si>
  <si>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</si>
  <si>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</si>
  <si>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</si>
  <si>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</si>
  <si>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</si>
  <si>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</si>
  <si>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</si>
  <si>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</si>
  <si>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</si>
  <si>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</si>
  <si>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</si>
  <si>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</si>
  <si>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</si>
  <si>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</si>
  <si>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</si>
  <si>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</si>
  <si>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</si>
  <si>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</si>
  <si>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</si>
  <si>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</si>
  <si>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</si>
  <si>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</si>
  <si>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</si>
  <si>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</si>
  <si>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</si>
  <si>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</si>
  <si>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</si>
  <si>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</si>
  <si>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</si>
  <si>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</si>
  <si>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</si>
  <si>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</si>
  <si>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</si>
  <si>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</si>
  <si>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</si>
  <si>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</si>
  <si>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</si>
  <si>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</si>
  <si>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</si>
  <si>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</si>
  <si>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</si>
  <si>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</si>
  <si>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</si>
  <si>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</si>
  <si>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</si>
  <si>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</si>
  <si>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</si>
  <si>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</si>
  <si>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</si>
  <si>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</si>
  <si>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</si>
  <si>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</si>
  <si>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</si>
  <si>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</si>
  <si>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</si>
  <si>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</si>
  <si>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</si>
  <si>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</si>
  <si>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</si>
  <si>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</si>
  <si>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</si>
  <si>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</si>
  <si>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</si>
  <si>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</si>
  <si>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</si>
  <si>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</si>
  <si>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</si>
  <si>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</si>
  <si>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</si>
  <si>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</si>
  <si>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</si>
  <si>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</si>
  <si>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</si>
  <si>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</si>
  <si>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</si>
  <si>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</si>
  <si>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</si>
  <si>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</si>
  <si>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</si>
  <si>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</si>
  <si>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</si>
  <si>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</si>
  <si>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</si>
  <si>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</si>
  <si>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</si>
  <si>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</si>
  <si>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</si>
  <si>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</si>
  <si>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</si>
  <si>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</si>
  <si>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</si>
  <si>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</si>
  <si>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</si>
  <si>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</si>
  <si>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</si>
  <si>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</si>
  <si>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</si>
  <si>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</si>
  <si>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</si>
  <si>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</si>
  <si>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</si>
  <si>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</si>
  <si>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</si>
  <si>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</si>
  <si>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</si>
  <si>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</si>
  <si>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</si>
  <si>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</si>
  <si>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</si>
  <si>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</si>
  <si>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</si>
  <si>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</si>
  <si>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</si>
  <si>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</si>
  <si>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</si>
  <si>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</si>
  <si>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</si>
  <si>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</si>
  <si>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</si>
  <si>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</si>
  <si>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</si>
  <si>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</si>
  <si>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</si>
  <si>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</si>
  <si>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</si>
  <si>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</si>
  <si>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</si>
  <si>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</si>
  <si>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</si>
  <si>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</si>
  <si>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</si>
  <si>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</si>
  <si>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</si>
  <si>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</si>
  <si>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</si>
  <si>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</si>
  <si>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</si>
  <si>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</si>
  <si>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</si>
  <si>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</si>
  <si>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</si>
  <si>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</si>
  <si>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</si>
  <si>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</si>
  <si>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</si>
  <si>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</si>
  <si>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</si>
  <si>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</si>
  <si>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</si>
  <si>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</si>
  <si>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</si>
  <si>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</si>
  <si>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</si>
  <si>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</si>
  <si>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</si>
  <si>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</si>
  <si>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</si>
  <si>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</si>
  <si>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</si>
  <si>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</si>
  <si>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</si>
  <si>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</si>
  <si>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</si>
  <si>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</si>
  <si>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</si>
  <si>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</si>
  <si>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</si>
  <si>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</si>
  <si>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</si>
  <si>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</si>
  <si>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</si>
  <si>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</si>
  <si>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</si>
  <si>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</si>
  <si>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</si>
  <si>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</si>
  <si>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</si>
  <si>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</si>
  <si>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</si>
  <si>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</si>
  <si>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</si>
  <si>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</si>
  <si>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</si>
  <si>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</si>
  <si>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</si>
  <si>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</si>
  <si>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</si>
  <si>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</si>
  <si>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</si>
  <si>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</si>
  <si>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</si>
  <si>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</si>
  <si>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</si>
  <si>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</si>
  <si>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</si>
  <si>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</si>
  <si>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</si>
  <si>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</si>
  <si>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</si>
  <si>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</si>
  <si>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</si>
  <si>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</si>
  <si>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</si>
  <si>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</si>
  <si>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</si>
  <si>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</si>
  <si>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</si>
  <si>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</si>
  <si>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</si>
  <si>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</si>
  <si>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</si>
  <si>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</si>
  <si>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</si>
  <si>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</si>
  <si>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</si>
  <si>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</si>
  <si>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</si>
  <si>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</si>
  <si>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</si>
  <si>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</si>
  <si>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</si>
  <si>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</si>
  <si>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</si>
  <si>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</si>
  <si>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</si>
  <si>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</si>
  <si>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</si>
  <si>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</si>
  <si>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</si>
  <si>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</si>
  <si>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</si>
  <si>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</si>
  <si>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</si>
  <si>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</si>
  <si>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</si>
  <si>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</si>
  <si>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</si>
  <si>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</si>
  <si>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</si>
  <si>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</si>
  <si>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</si>
  <si>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</si>
  <si>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De-embbeder</t>
  </si>
  <si>
    <t>Dist. Amp. 2x4</t>
  </si>
  <si>
    <t>J4</t>
  </si>
  <si>
    <t>J2</t>
  </si>
  <si>
    <t>Cable amarillo a Piso?</t>
  </si>
  <si>
    <t>J6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</si>
  <si>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</si>
  <si>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</si>
  <si>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</si>
  <si>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</si>
  <si>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</si>
  <si>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</si>
  <si>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</si>
  <si>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</si>
  <si>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</si>
  <si>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</si>
  <si>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</si>
  <si>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</si>
  <si>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</si>
  <si>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</si>
  <si>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</si>
  <si>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</si>
  <si>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</si>
  <si>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</si>
  <si>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</si>
  <si>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</si>
  <si>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</si>
  <si>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</si>
  <si>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</si>
  <si>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</si>
  <si>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</si>
  <si>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</si>
  <si>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</si>
  <si>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</si>
  <si>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</si>
  <si>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</si>
  <si>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</si>
  <si>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</si>
  <si>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</si>
  <si>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</t>
  </si>
  <si>
    <t>Balanced Out L</t>
  </si>
  <si>
    <t>Cable suelto en Rack D</t>
  </si>
  <si>
    <t>Balanced Out R</t>
  </si>
  <si>
    <t>A.6</t>
  </si>
  <si>
    <t>REF In</t>
  </si>
  <si>
    <t>Cable suelto en Rack A</t>
  </si>
  <si>
    <t>Audio Out Ch 2</t>
  </si>
  <si>
    <t>J1 (in)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</si>
  <si>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</si>
  <si>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</si>
  <si>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</si>
  <si>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</si>
  <si>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</si>
  <si>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</si>
  <si>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</si>
  <si>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</si>
  <si>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</si>
  <si>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</si>
  <si>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</si>
  <si>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</si>
  <si>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</si>
  <si>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</si>
  <si>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</si>
  <si>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</si>
  <si>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</si>
  <si>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</si>
  <si>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</si>
  <si>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</si>
  <si>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</si>
  <si>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</si>
  <si>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</si>
  <si>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</si>
  <si>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</si>
  <si>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</si>
  <si>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</si>
  <si>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</si>
  <si>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</si>
  <si>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</si>
  <si>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</si>
  <si>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</si>
  <si>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</si>
  <si>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</si>
  <si>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</si>
  <si>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</si>
  <si>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</si>
  <si>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</si>
  <si>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</si>
  <si>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</si>
  <si>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</si>
  <si>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</si>
  <si>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</si>
  <si>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</si>
  <si>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</si>
  <si>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</si>
  <si>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</si>
  <si>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</si>
  <si>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</si>
  <si>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</si>
  <si>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</si>
  <si>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</si>
  <si>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</si>
  <si>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</si>
  <si>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</si>
  <si>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</si>
  <si>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</si>
  <si>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</si>
  <si>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</si>
  <si>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</si>
  <si>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</si>
  <si>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</si>
  <si>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</si>
  <si>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</si>
  <si>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</si>
  <si>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</si>
  <si>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</si>
  <si>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</si>
  <si>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</si>
  <si>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</si>
  <si>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</si>
  <si>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</si>
  <si>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</si>
  <si>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</si>
  <si>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</si>
  <si>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</si>
  <si>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</si>
  <si>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</si>
  <si>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</si>
  <si>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</si>
  <si>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</si>
  <si>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</si>
  <si>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</si>
  <si>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</si>
  <si>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</si>
  <si>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</si>
  <si>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</si>
  <si>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</si>
  <si>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</si>
  <si>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</si>
  <si>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</si>
  <si>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</si>
  <si>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</si>
  <si>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</si>
  <si>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</si>
  <si>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</si>
  <si>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</si>
  <si>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</si>
  <si>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</si>
  <si>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</si>
  <si>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</si>
  <si>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</si>
  <si>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</si>
  <si>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</si>
  <si>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</si>
  <si>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</si>
  <si>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</si>
  <si>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Ordenar por Columna:</t>
  </si>
  <si>
    <t>d.7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</si>
</sst>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21</v>
      </c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25</v>
      </c>
      <c r="L4" s="6" t="s">
        <v>26</v>
      </c>
      <c r="M4" s="6" t="s">
        <v>27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28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29</v>
      </c>
      <c r="L5" s="6" t="s">
        <v>30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31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32</v>
      </c>
      <c r="L6" s="6" t="s">
        <v>33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34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35</v>
      </c>
      <c r="L7" s="6" t="s">
        <v>36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37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38</v>
      </c>
      <c r="L8" s="6" t="s">
        <v>39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40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41</v>
      </c>
      <c r="L9" s="6" t="s">
        <v>42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43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44</v>
      </c>
      <c r="L10" s="6" t="s">
        <v>45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46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47</v>
      </c>
      <c r="L11" s="6" t="s">
        <v>48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49</v>
      </c>
      <c r="F12" s="5"/>
      <c r="G12" s="5"/>
      <c r="H12" s="6" t="s">
        <v>50</v>
      </c>
      <c r="I12" s="5" t="str">
        <f>IF(H12="","",VLOOKUP(H12,DB!A:B,2,0))</f>
        <v>Blackmagic Multiview 16</v>
      </c>
      <c r="J12" s="5"/>
      <c r="K12" s="6" t="s">
        <v>51</v>
      </c>
      <c r="L12" s="6" t="s">
        <v>52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53</v>
      </c>
      <c r="F13" s="5"/>
      <c r="G13" s="5"/>
      <c r="H13" s="6" t="s">
        <v>50</v>
      </c>
      <c r="I13" s="5" t="str">
        <f>IF(H13="","",VLOOKUP(H13,DB!A:B,2,0))</f>
        <v>Blackmagic Multiview 16</v>
      </c>
      <c r="J13" s="5"/>
      <c r="K13" s="6" t="s">
        <v>54</v>
      </c>
      <c r="L13" s="6" t="s">
        <v>55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56</v>
      </c>
      <c r="F14" s="5"/>
      <c r="G14" s="5"/>
      <c r="H14" s="6" t="s">
        <v>50</v>
      </c>
      <c r="I14" s="5" t="str">
        <f>IF(H14="","",VLOOKUP(H14,DB!A:B,2,0))</f>
        <v>Blackmagic Multiview 16</v>
      </c>
      <c r="J14" s="5"/>
      <c r="K14" s="6" t="s">
        <v>57</v>
      </c>
      <c r="L14" s="6" t="s">
        <v>58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59</v>
      </c>
      <c r="F15" s="5"/>
      <c r="G15" s="5"/>
      <c r="H15" s="6" t="s">
        <v>50</v>
      </c>
      <c r="I15" s="5" t="str">
        <f>IF(H15="","",VLOOKUP(H15,DB!A:B,2,0))</f>
        <v>Blackmagic Multiview 16</v>
      </c>
      <c r="J15" s="5"/>
      <c r="K15" s="6" t="s">
        <v>60</v>
      </c>
      <c r="L15" s="6" t="s">
        <v>61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62</v>
      </c>
      <c r="F16" s="5"/>
      <c r="G16" s="5"/>
      <c r="H16" s="6" t="s">
        <v>50</v>
      </c>
      <c r="I16" s="5" t="str">
        <f>IF(H16="","",VLOOKUP(H16,DB!A:B,2,0))</f>
        <v>Blackmagic Multiview 16</v>
      </c>
      <c r="J16" s="5"/>
      <c r="K16" s="6" t="s">
        <v>63</v>
      </c>
      <c r="L16" s="6" t="s">
        <v>64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65</v>
      </c>
      <c r="F17" s="5"/>
      <c r="G17" s="5"/>
      <c r="H17" s="6" t="s">
        <v>50</v>
      </c>
      <c r="I17" s="5" t="str">
        <f>IF(H17="","",VLOOKUP(H17,DB!A:B,2,0))</f>
        <v>Blackmagic Multiview 16</v>
      </c>
      <c r="J17" s="5"/>
      <c r="K17" s="6" t="s">
        <v>66</v>
      </c>
      <c r="L17" s="6" t="s">
        <v>67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68</v>
      </c>
      <c r="F18" s="5"/>
      <c r="G18" s="5"/>
      <c r="H18" s="6" t="s">
        <v>69</v>
      </c>
      <c r="I18" s="5" t="str">
        <f>IF(H18="","",VLOOKUP(H18,DB!A:B,2,0))</f>
        <v>AJA FS4</v>
      </c>
      <c r="J18" s="5"/>
      <c r="K18" s="6" t="s">
        <v>70</v>
      </c>
      <c r="L18" s="6" t="s">
        <v>71</v>
      </c>
      <c r="M18" s="6" t="s">
        <v>72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73</v>
      </c>
      <c r="F19" s="5"/>
      <c r="G19" s="5"/>
      <c r="H19" s="6" t="s">
        <v>74</v>
      </c>
      <c r="I19" s="5" t="str">
        <f>IF(H19="","",VLOOKUP(H19,DB!A:B,2,0))</f>
        <v>Loop A</v>
      </c>
      <c r="J19" s="6">
        <v>2.0</v>
      </c>
      <c r="K19" s="6" t="s">
        <v>75</v>
      </c>
      <c r="L19" s="6" t="s">
        <v>76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75</v>
      </c>
      <c r="L20" s="6" t="s">
        <v>79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75</v>
      </c>
      <c r="L21" s="6" t="s">
        <v>81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75</v>
      </c>
      <c r="L22" s="6" t="s">
        <v>84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75</v>
      </c>
      <c r="L23" s="6" t="s">
        <v>86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50</v>
      </c>
      <c r="I24" s="5" t="str">
        <f>IF(H24="","",VLOOKUP(H24,DB!A:B,2,0))</f>
        <v>Blackmagic Multiview 16</v>
      </c>
      <c r="J24" s="5"/>
      <c r="K24" s="6" t="s">
        <v>17</v>
      </c>
      <c r="L24" s="6" t="s">
        <v>88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 t="s">
        <v>51</v>
      </c>
      <c r="L26" s="6" t="s">
        <v>93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 t="s">
        <v>54</v>
      </c>
      <c r="L27" s="6" t="s">
        <v>95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 t="s">
        <v>57</v>
      </c>
      <c r="L28" s="6" t="s">
        <v>97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 t="s">
        <v>60</v>
      </c>
      <c r="L29" s="6" t="s">
        <v>99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 t="s">
        <v>101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104</v>
      </c>
      <c r="L31" s="6" t="s">
        <v>105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 t="s">
        <v>108</v>
      </c>
      <c r="L32" s="6" t="s">
        <v>109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6" t="s">
        <v>112</v>
      </c>
      <c r="M33" s="6" t="s">
        <v>113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 t="s">
        <v>66</v>
      </c>
      <c r="L34" s="6" t="s">
        <v>116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 t="s">
        <v>63</v>
      </c>
      <c r="L35" s="6" t="s">
        <v>118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 t="s">
        <v>60</v>
      </c>
      <c r="L36" s="6" t="s">
        <v>120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 t="s">
        <v>57</v>
      </c>
      <c r="L37" s="6" t="s">
        <v>122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 t="s">
        <v>54</v>
      </c>
      <c r="L38" s="6" t="s">
        <v>124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 t="s">
        <v>51</v>
      </c>
      <c r="L39" s="6" t="s">
        <v>126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 t="s">
        <v>47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 t="s">
        <v>44</v>
      </c>
      <c r="L41" s="6" t="s">
        <v>116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 t="s">
        <v>41</v>
      </c>
      <c r="L42" s="6" t="s">
        <v>130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 t="s">
        <v>38</v>
      </c>
      <c r="L43" s="6" t="s">
        <v>132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 t="s">
        <v>35</v>
      </c>
      <c r="L44" s="6" t="s">
        <v>134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 t="s">
        <v>32</v>
      </c>
      <c r="L45" s="6" t="s">
        <v>136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 t="s">
        <v>29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 t="s">
        <v>25</v>
      </c>
      <c r="L47" s="6" t="s">
        <v>139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 t="s">
        <v>21</v>
      </c>
      <c r="L48" s="6" t="s">
        <v>141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 t="s">
        <v>17</v>
      </c>
      <c r="L49" s="6" t="s">
        <v>143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118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 t="s">
        <v>17</v>
      </c>
      <c r="L52" s="6" t="s">
        <v>150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 t="s">
        <v>70</v>
      </c>
      <c r="L53" s="6" t="s">
        <v>153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 t="s">
        <v>17</v>
      </c>
      <c r="L55" s="6" t="s">
        <v>157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75</v>
      </c>
      <c r="L57" s="6" t="s">
        <v>161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69</v>
      </c>
      <c r="I58" s="5" t="str">
        <f>IF(H58="","",VLOOKUP(H58,DB!A:B,2,0))</f>
        <v>AJA FS4</v>
      </c>
      <c r="J58" s="5"/>
      <c r="K58" s="6" t="s">
        <v>163</v>
      </c>
      <c r="L58" s="6" t="s">
        <v>164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6" t="s">
        <v>166</v>
      </c>
      <c r="M59" s="6" t="s">
        <v>167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69</v>
      </c>
      <c r="I60" s="5" t="str">
        <f>IF(H60="","",VLOOKUP(H60,DB!A:B,2,0))</f>
        <v>AJA FS4</v>
      </c>
      <c r="J60" s="5"/>
      <c r="K60" s="6" t="s">
        <v>169</v>
      </c>
      <c r="L60" s="6" t="s">
        <v>170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69</v>
      </c>
      <c r="I61" s="5" t="str">
        <f>IF(H61="","",VLOOKUP(H61,DB!A:B,2,0))</f>
        <v>AJA FS4</v>
      </c>
      <c r="J61" s="5"/>
      <c r="K61" s="6" t="s">
        <v>172</v>
      </c>
      <c r="L61" s="6" t="s">
        <v>173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 t="s">
        <v>176</v>
      </c>
      <c r="L62" s="6" t="s">
        <v>177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 t="s">
        <v>179</v>
      </c>
      <c r="L63" s="6" t="s">
        <v>180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openGear X</v>
      </c>
      <c r="J64" s="6" t="s">
        <v>183</v>
      </c>
      <c r="K64" s="6" t="s">
        <v>108</v>
      </c>
      <c r="L64" s="6" t="s">
        <v>184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185</v>
      </c>
      <c r="F65" s="5"/>
      <c r="G65" s="5"/>
      <c r="H65" s="6" t="s">
        <v>186</v>
      </c>
      <c r="I65" s="5" t="str">
        <f>IF(H65="","",VLOOKUP(H65,DB!A:B,2,0))</f>
        <v>openGear X</v>
      </c>
      <c r="J65" s="6">
        <v>5.0</v>
      </c>
      <c r="K65" s="6" t="s">
        <v>108</v>
      </c>
      <c r="L65" s="6" t="s">
        <v>187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189</v>
      </c>
      <c r="E66" s="6" t="s">
        <v>190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191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192</v>
      </c>
      <c r="B67" s="6" t="str">
        <f>IF(A67="","",VLOOKUP(A67,DB!A:B,2,0))</f>
        <v>Player B</v>
      </c>
      <c r="C67" s="6">
        <v>1.0</v>
      </c>
      <c r="D67" s="6" t="s">
        <v>189</v>
      </c>
      <c r="E67" s="6" t="s">
        <v>190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21</v>
      </c>
      <c r="L67" s="6" t="s">
        <v>193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194</v>
      </c>
      <c r="B68" s="7" t="str">
        <f>IF(A68="","",VLOOKUP(A68,DB!A:B,2,0))</f>
        <v>Player C</v>
      </c>
      <c r="C68" s="8">
        <v>1.0</v>
      </c>
      <c r="D68" s="7" t="s">
        <v>189</v>
      </c>
      <c r="E68" s="7" t="s">
        <v>190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25</v>
      </c>
      <c r="L68" s="7" t="s">
        <v>195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194</v>
      </c>
      <c r="B69" s="9" t="str">
        <f>IF(A69="","",VLOOKUP(A69,DB!A:B,2,0))</f>
        <v>Player C</v>
      </c>
      <c r="C69" s="10">
        <v>2.0</v>
      </c>
      <c r="D69" s="9" t="s">
        <v>189</v>
      </c>
      <c r="E69" s="9" t="s">
        <v>190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29</v>
      </c>
      <c r="L69" s="9" t="s">
        <v>196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32</v>
      </c>
      <c r="L70" s="7" t="s">
        <v>197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198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35</v>
      </c>
      <c r="L71" s="7" t="s">
        <v>199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200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38</v>
      </c>
      <c r="L72" s="7" t="s">
        <v>201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202</v>
      </c>
      <c r="B73" s="9" t="str">
        <f>IF(A73="","",VLOOKUP(A73,DB!A:B,2,0))</f>
        <v>Telairity BE-IRD 5503</v>
      </c>
      <c r="C73" s="9"/>
      <c r="D73" s="9"/>
      <c r="E73" s="9" t="s">
        <v>203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41</v>
      </c>
      <c r="L73" s="9" t="s">
        <v>204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44</v>
      </c>
      <c r="L74" s="12" t="s">
        <v>90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182</v>
      </c>
      <c r="B75" s="6" t="str">
        <f>IF(A75="","",VLOOKUP(A75,DB!A:B,2,0))</f>
        <v>openGear X</v>
      </c>
      <c r="C75" s="6">
        <v>2.0</v>
      </c>
      <c r="D75" s="6" t="s">
        <v>205</v>
      </c>
      <c r="E75" s="6" t="s">
        <v>206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47</v>
      </c>
      <c r="L75" s="6" t="s">
        <v>207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182</v>
      </c>
      <c r="B76" s="6" t="str">
        <f>IF(A76="","",VLOOKUP(A76,DB!A:B,2,0))</f>
        <v>openGear X</v>
      </c>
      <c r="C76" s="6">
        <v>5.0</v>
      </c>
      <c r="D76" s="6" t="s">
        <v>205</v>
      </c>
      <c r="E76" s="6" t="s">
        <v>206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51</v>
      </c>
      <c r="L76" s="6" t="s">
        <v>208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209</v>
      </c>
      <c r="B77" s="6" t="str">
        <f>IF(A77="","",VLOOKUP(A77,DB!A:B,2,0))</f>
        <v>BM OF to SDI</v>
      </c>
      <c r="C77" s="5"/>
      <c r="D77" s="5"/>
      <c r="E77" s="6" t="s">
        <v>206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54</v>
      </c>
      <c r="L77" s="6" t="s">
        <v>210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182</v>
      </c>
      <c r="B78" s="6" t="str">
        <f>IF(A78="","",VLOOKUP(A78,DB!A:B,2,0))</f>
        <v>openGear X</v>
      </c>
      <c r="C78" s="6">
        <v>6.0</v>
      </c>
      <c r="D78" s="6" t="s">
        <v>205</v>
      </c>
      <c r="E78" s="6" t="s">
        <v>206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57</v>
      </c>
      <c r="L78" s="6" t="s">
        <v>211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182</v>
      </c>
      <c r="B79" s="6" t="str">
        <f>IF(A79="","",VLOOKUP(A79,DB!A:B,2,0))</f>
        <v>openGear X</v>
      </c>
      <c r="C79" s="6">
        <v>4.0</v>
      </c>
      <c r="D79" s="6" t="s">
        <v>205</v>
      </c>
      <c r="E79" s="6" t="s">
        <v>206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60</v>
      </c>
      <c r="L79" s="6" t="s">
        <v>212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63</v>
      </c>
      <c r="L80" s="6" t="s">
        <v>90</v>
      </c>
      <c r="M80" s="5"/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182</v>
      </c>
      <c r="B81" s="6" t="str">
        <f>IF(A81="","",VLOOKUP(A81,DB!A:B,2,0))</f>
        <v>openGear X</v>
      </c>
      <c r="C81" s="6">
        <v>3.0</v>
      </c>
      <c r="D81" s="6" t="s">
        <v>205</v>
      </c>
      <c r="E81" s="6" t="s">
        <v>206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66</v>
      </c>
      <c r="L81" s="6" t="s">
        <v>214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200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216</v>
      </c>
      <c r="L82" s="6" t="s">
        <v>217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200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219</v>
      </c>
      <c r="L83" s="6" t="s">
        <v>220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200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222</v>
      </c>
      <c r="L84" s="6" t="s">
        <v>223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200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225</v>
      </c>
      <c r="L85" s="6" t="s">
        <v>226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229</v>
      </c>
      <c r="L86" s="6" t="s">
        <v>230</v>
      </c>
      <c r="M86" s="5"/>
      <c r="N86" s="6" t="s">
        <v>231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190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232</v>
      </c>
      <c r="L87" s="6" t="s">
        <v>233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236</v>
      </c>
      <c r="L88" s="6" t="s">
        <v>237</v>
      </c>
      <c r="M88" s="5"/>
      <c r="N88" s="6" t="s">
        <v>238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239</v>
      </c>
      <c r="L89" s="6" t="s">
        <v>90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183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240</v>
      </c>
      <c r="L90" s="6" t="s">
        <v>183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241</v>
      </c>
      <c r="E91" s="6" t="s">
        <v>15</v>
      </c>
      <c r="F91" s="6" t="s">
        <v>242</v>
      </c>
      <c r="G91" s="6" t="s">
        <v>243</v>
      </c>
      <c r="H91" s="6" t="s">
        <v>14</v>
      </c>
      <c r="I91" s="5" t="str">
        <f>IF(H91="","",VLOOKUP(H91,DB!A:B,2,0))</f>
        <v>AJA KUMO 6464</v>
      </c>
      <c r="J91" s="5"/>
      <c r="K91" s="6" t="s">
        <v>244</v>
      </c>
      <c r="L91" s="6" t="s">
        <v>245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241</v>
      </c>
      <c r="E92" s="6" t="s">
        <v>15</v>
      </c>
      <c r="F92" s="6" t="s">
        <v>242</v>
      </c>
      <c r="G92" s="6" t="s">
        <v>243</v>
      </c>
      <c r="H92" s="6" t="s">
        <v>14</v>
      </c>
      <c r="I92" s="5" t="str">
        <f>IF(H92="","",VLOOKUP(H92,DB!A:B,2,0))</f>
        <v>AJA KUMO 6464</v>
      </c>
      <c r="J92" s="5"/>
      <c r="K92" s="6" t="s">
        <v>246</v>
      </c>
      <c r="L92" s="6" t="s">
        <v>247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241</v>
      </c>
      <c r="E93" s="6" t="s">
        <v>15</v>
      </c>
      <c r="F93" s="6" t="s">
        <v>242</v>
      </c>
      <c r="G93" s="6" t="s">
        <v>243</v>
      </c>
      <c r="H93" s="6" t="s">
        <v>14</v>
      </c>
      <c r="I93" s="5" t="str">
        <f>IF(H93="","",VLOOKUP(H93,DB!A:B,2,0))</f>
        <v>AJA KUMO 6464</v>
      </c>
      <c r="J93" s="5"/>
      <c r="K93" s="6" t="s">
        <v>248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189</v>
      </c>
      <c r="E94" s="6" t="s">
        <v>249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250</v>
      </c>
      <c r="L94" s="6" t="s">
        <v>251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206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253</v>
      </c>
      <c r="L95" s="6" t="s">
        <v>254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206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255</v>
      </c>
      <c r="L96" s="6" t="s">
        <v>256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257</v>
      </c>
      <c r="L97" s="6" t="s">
        <v>90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260</v>
      </c>
      <c r="L98" s="6" t="s">
        <v>261</v>
      </c>
      <c r="M98" s="5"/>
      <c r="N98" s="6" t="s">
        <v>262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62</v>
      </c>
      <c r="F99" s="6" t="s">
        <v>242</v>
      </c>
      <c r="G99" s="6" t="s">
        <v>63</v>
      </c>
      <c r="H99" s="6" t="s">
        <v>14</v>
      </c>
      <c r="I99" s="5" t="str">
        <f>IF(H99="","",VLOOKUP(H99,DB!A:B,2,0))</f>
        <v>AJA KUMO 6464</v>
      </c>
      <c r="J99" s="5"/>
      <c r="K99" s="6" t="s">
        <v>264</v>
      </c>
      <c r="L99" s="6" t="s">
        <v>265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59</v>
      </c>
      <c r="F100" s="6" t="s">
        <v>242</v>
      </c>
      <c r="G100" s="6" t="s">
        <v>60</v>
      </c>
      <c r="H100" s="6" t="s">
        <v>14</v>
      </c>
      <c r="I100" s="5" t="str">
        <f>IF(H100="","",VLOOKUP(H100,DB!A:B,2,0))</f>
        <v>AJA KUMO 6464</v>
      </c>
      <c r="J100" s="5"/>
      <c r="K100" s="6" t="s">
        <v>266</v>
      </c>
      <c r="L100" s="6" t="s">
        <v>267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56</v>
      </c>
      <c r="F101" s="6" t="s">
        <v>242</v>
      </c>
      <c r="G101" s="6" t="s">
        <v>57</v>
      </c>
      <c r="H101" s="6" t="s">
        <v>14</v>
      </c>
      <c r="I101" s="5" t="str">
        <f>IF(H101="","",VLOOKUP(H101,DB!A:B,2,0))</f>
        <v>AJA KUMO 6464</v>
      </c>
      <c r="J101" s="5"/>
      <c r="K101" s="6" t="s">
        <v>268</v>
      </c>
      <c r="L101" s="6" t="s">
        <v>269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53</v>
      </c>
      <c r="F102" s="6" t="s">
        <v>242</v>
      </c>
      <c r="G102" s="6" t="s">
        <v>54</v>
      </c>
      <c r="H102" s="6" t="s">
        <v>14</v>
      </c>
      <c r="I102" s="5" t="str">
        <f>IF(H102="","",VLOOKUP(H102,DB!A:B,2,0))</f>
        <v>AJA KUMO 6464</v>
      </c>
      <c r="J102" s="5"/>
      <c r="K102" s="6" t="s">
        <v>270</v>
      </c>
      <c r="L102" s="6" t="s">
        <v>271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49</v>
      </c>
      <c r="F103" s="6" t="s">
        <v>242</v>
      </c>
      <c r="G103" s="6" t="s">
        <v>51</v>
      </c>
      <c r="H103" s="6" t="s">
        <v>14</v>
      </c>
      <c r="I103" s="5" t="str">
        <f>IF(H103="","",VLOOKUP(H103,DB!A:B,2,0))</f>
        <v>AJA KUMO 6464</v>
      </c>
      <c r="J103" s="5"/>
      <c r="K103" s="6" t="s">
        <v>272</v>
      </c>
      <c r="L103" s="6" t="s">
        <v>273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46</v>
      </c>
      <c r="F104" s="6" t="s">
        <v>242</v>
      </c>
      <c r="G104" s="6" t="s">
        <v>47</v>
      </c>
      <c r="H104" s="6" t="s">
        <v>14</v>
      </c>
      <c r="I104" s="5" t="str">
        <f>IF(H104="","",VLOOKUP(H104,DB!A:B,2,0))</f>
        <v>AJA KUMO 6464</v>
      </c>
      <c r="J104" s="5"/>
      <c r="K104" s="6" t="s">
        <v>274</v>
      </c>
      <c r="L104" s="6" t="s">
        <v>275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43</v>
      </c>
      <c r="F105" s="6" t="s">
        <v>242</v>
      </c>
      <c r="G105" s="6" t="s">
        <v>44</v>
      </c>
      <c r="H105" s="6" t="s">
        <v>14</v>
      </c>
      <c r="I105" s="5" t="str">
        <f>IF(H105="","",VLOOKUP(H105,DB!A:B,2,0))</f>
        <v>AJA KUMO 6464</v>
      </c>
      <c r="J105" s="5"/>
      <c r="K105" s="6" t="s">
        <v>276</v>
      </c>
      <c r="L105" s="6" t="s">
        <v>277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200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279</v>
      </c>
      <c r="L106" s="6" t="s">
        <v>280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200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282</v>
      </c>
      <c r="L107" s="6" t="s">
        <v>283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200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285</v>
      </c>
      <c r="L108" s="6" t="s">
        <v>286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200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288</v>
      </c>
      <c r="L109" s="6" t="s">
        <v>289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290</v>
      </c>
      <c r="L110" s="6" t="s">
        <v>90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291</v>
      </c>
      <c r="L111" s="6" t="s">
        <v>90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292</v>
      </c>
      <c r="L112" s="6" t="s">
        <v>90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293</v>
      </c>
      <c r="L113" s="6" t="s">
        <v>90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183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294</v>
      </c>
      <c r="L114" s="6" t="s">
        <v>295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296</v>
      </c>
      <c r="L115" s="6" t="s">
        <v>90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297</v>
      </c>
      <c r="L116" s="6" t="s">
        <v>90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298</v>
      </c>
      <c r="L117" s="6" t="s">
        <v>90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189</v>
      </c>
      <c r="E118" s="6" t="s">
        <v>190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299</v>
      </c>
      <c r="L118" s="6" t="s">
        <v>300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183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301</v>
      </c>
      <c r="L119" s="6" t="s">
        <v>302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189</v>
      </c>
      <c r="E120" s="6" t="s">
        <v>303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304</v>
      </c>
      <c r="L120" s="6" t="s">
        <v>305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306</v>
      </c>
      <c r="L121" s="6" t="s">
        <v>90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69</v>
      </c>
      <c r="B122" s="6" t="str">
        <f>IF(A122="","",VLOOKUP(A122,DB!A:B,2,0))</f>
        <v>AJA FS4</v>
      </c>
      <c r="C122" s="5"/>
      <c r="D122" s="5"/>
      <c r="E122" s="6" t="s">
        <v>200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307</v>
      </c>
      <c r="L122" s="6" t="s">
        <v>164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183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308</v>
      </c>
      <c r="L123" s="6" t="s">
        <v>166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69</v>
      </c>
      <c r="B124" s="6" t="str">
        <f>IF(A124="","",VLOOKUP(A124,DB!A:B,2,0))</f>
        <v>AJA FS4</v>
      </c>
      <c r="C124" s="5"/>
      <c r="D124" s="5"/>
      <c r="E124" s="6" t="s">
        <v>309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310</v>
      </c>
      <c r="L124" s="6" t="s">
        <v>311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69</v>
      </c>
      <c r="B125" s="6" t="str">
        <f>IF(A125="","",VLOOKUP(A125,DB!A:B,2,0))</f>
        <v>AJA FS4</v>
      </c>
      <c r="C125" s="5"/>
      <c r="D125" s="5"/>
      <c r="E125" s="6" t="s">
        <v>312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313</v>
      </c>
      <c r="L125" s="6" t="s">
        <v>314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315</v>
      </c>
      <c r="L126" s="6" t="s">
        <v>90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186</v>
      </c>
      <c r="B127" s="6" t="str">
        <f>IF(A127="","",VLOOKUP(A127,DB!A:B,2,0))</f>
        <v>openGear X</v>
      </c>
      <c r="C127" s="6">
        <v>6.0</v>
      </c>
      <c r="D127" s="6" t="s">
        <v>316</v>
      </c>
      <c r="E127" s="6" t="s">
        <v>317</v>
      </c>
      <c r="F127" s="6" t="s">
        <v>242</v>
      </c>
      <c r="G127" s="6" t="s">
        <v>318</v>
      </c>
      <c r="H127" s="6" t="s">
        <v>14</v>
      </c>
      <c r="I127" s="5" t="str">
        <f>IF(H127="","",VLOOKUP(H127,DB!A:B,2,0))</f>
        <v>AJA KUMO 6464</v>
      </c>
      <c r="J127" s="5"/>
      <c r="K127" s="6" t="s">
        <v>319</v>
      </c>
      <c r="L127" s="6" t="s">
        <v>320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50</v>
      </c>
      <c r="B128" s="6" t="str">
        <f>IF(A128="","",VLOOKUP(A128,DB!A:B,2,0))</f>
        <v>Blackmagic Multiview 16</v>
      </c>
      <c r="C128" s="5"/>
      <c r="D128" s="6"/>
      <c r="E128" s="6" t="s">
        <v>206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321</v>
      </c>
      <c r="L128" s="6" t="s">
        <v>322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49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323</v>
      </c>
      <c r="L129" s="6" t="s">
        <v>324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189</v>
      </c>
      <c r="E130" s="6" t="s">
        <v>190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 t="s">
        <v>32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192</v>
      </c>
      <c r="B131" s="6" t="str">
        <f>IF(A131="","",VLOOKUP(A131,DB!A:B,2,0))</f>
        <v>Player B</v>
      </c>
      <c r="C131" s="6">
        <v>2.0</v>
      </c>
      <c r="D131" s="6" t="s">
        <v>189</v>
      </c>
      <c r="E131" s="6" t="s">
        <v>190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 t="s">
        <v>35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50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 t="s">
        <v>191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50</v>
      </c>
      <c r="B133" s="6" t="str">
        <f>IF(A133="","",VLOOKUP(A133,DB!A:B,2,0))</f>
        <v>Blackmagic Multiview 16</v>
      </c>
      <c r="C133" s="5"/>
      <c r="D133" s="6"/>
      <c r="E133" s="6" t="s">
        <v>46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 t="s">
        <v>325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50</v>
      </c>
      <c r="B134" s="6" t="str">
        <f>IF(A134="","",VLOOKUP(A134,DB!A:B,2,0))</f>
        <v>Blackmagic Multiview 16</v>
      </c>
      <c r="C134" s="5"/>
      <c r="D134" s="6"/>
      <c r="E134" s="6" t="s">
        <v>49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 t="s">
        <v>326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50</v>
      </c>
      <c r="B135" s="6" t="str">
        <f>IF(A135="","",VLOOKUP(A135,DB!A:B,2,0))</f>
        <v>Blackmagic Multiview 16</v>
      </c>
      <c r="C135" s="5"/>
      <c r="D135" s="6"/>
      <c r="E135" s="6" t="s">
        <v>53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 t="s">
        <v>327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50</v>
      </c>
      <c r="B136" s="6" t="str">
        <f>IF(A136="","",VLOOKUP(A136,DB!A:B,2,0))</f>
        <v>Blackmagic Multiview 16</v>
      </c>
      <c r="C136" s="5"/>
      <c r="D136" s="6"/>
      <c r="E136" s="6" t="s">
        <v>56</v>
      </c>
      <c r="F136" s="6" t="s">
        <v>242</v>
      </c>
      <c r="G136" s="6" t="s">
        <v>57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108</v>
      </c>
      <c r="L136" s="6" t="s">
        <v>328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50</v>
      </c>
      <c r="B137" s="6" t="str">
        <f>IF(A137="","",VLOOKUP(A137,DB!A:B,2,0))</f>
        <v>Blackmagic Multiview 16</v>
      </c>
      <c r="C137" s="5"/>
      <c r="D137" s="6"/>
      <c r="E137" s="6" t="s">
        <v>59</v>
      </c>
      <c r="F137" s="6" t="s">
        <v>242</v>
      </c>
      <c r="G137" s="6" t="s">
        <v>60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108</v>
      </c>
      <c r="L137" s="6" t="s">
        <v>329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50</v>
      </c>
      <c r="B138" s="6" t="str">
        <f>IF(A138="","",VLOOKUP(A138,DB!A:B,2,0))</f>
        <v>Blackmagic Multiview 16</v>
      </c>
      <c r="C138" s="5"/>
      <c r="D138" s="6"/>
      <c r="E138" s="6" t="s">
        <v>62</v>
      </c>
      <c r="F138" s="6" t="s">
        <v>242</v>
      </c>
      <c r="G138" s="6" t="s">
        <v>63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108</v>
      </c>
      <c r="L138" s="6" t="s">
        <v>330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50</v>
      </c>
      <c r="B139" s="6" t="str">
        <f>IF(A139="","",VLOOKUP(A139,DB!A:B,2,0))</f>
        <v>Blackmagic Multiview 16</v>
      </c>
      <c r="C139" s="5"/>
      <c r="D139" s="6"/>
      <c r="E139" s="6" t="s">
        <v>65</v>
      </c>
      <c r="F139" s="6" t="s">
        <v>242</v>
      </c>
      <c r="G139" s="6" t="s">
        <v>66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108</v>
      </c>
      <c r="L139" s="6" t="s">
        <v>331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50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 t="s">
        <v>332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50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 t="s">
        <v>333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50</v>
      </c>
      <c r="B142" s="6" t="str">
        <f>IF(A142="","",VLOOKUP(A142,DB!A:B,2,0))</f>
        <v>Blackmagic Multiview 16</v>
      </c>
      <c r="C142" s="5"/>
      <c r="D142" s="6"/>
      <c r="E142" s="6" t="s">
        <v>28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 t="s">
        <v>334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50</v>
      </c>
      <c r="B143" s="6" t="str">
        <f>IF(A143="","",VLOOKUP(A143,DB!A:B,2,0))</f>
        <v>Blackmagic Multiview 16</v>
      </c>
      <c r="C143" s="5"/>
      <c r="D143" s="6"/>
      <c r="E143" s="6" t="s">
        <v>31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 t="s">
        <v>335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50</v>
      </c>
      <c r="B144" s="6" t="str">
        <f>IF(A144="","",VLOOKUP(A144,DB!A:B,2,0))</f>
        <v>Blackmagic Multiview 16</v>
      </c>
      <c r="C144" s="5"/>
      <c r="D144" s="6"/>
      <c r="E144" s="6" t="s">
        <v>34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 t="s">
        <v>214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50</v>
      </c>
      <c r="B145" s="6" t="str">
        <f>IF(A145="","",VLOOKUP(A145,DB!A:B,2,0))</f>
        <v>Blackmagic Multiview 16</v>
      </c>
      <c r="C145" s="5"/>
      <c r="D145" s="6"/>
      <c r="E145" s="6" t="s">
        <v>37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 t="s">
        <v>336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50</v>
      </c>
      <c r="B146" s="6" t="str">
        <f>IF(A146="","",VLOOKUP(A146,DB!A:B,2,0))</f>
        <v>Blackmagic Multiview 16</v>
      </c>
      <c r="C146" s="5"/>
      <c r="D146" s="6"/>
      <c r="E146" s="6" t="s">
        <v>40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 t="s">
        <v>337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50</v>
      </c>
      <c r="B147" s="6" t="str">
        <f>IF(A147="","",VLOOKUP(A147,DB!A:B,2,0))</f>
        <v>Blackmagic Multiview 16</v>
      </c>
      <c r="C147" s="5"/>
      <c r="D147" s="6"/>
      <c r="E147" s="6" t="s">
        <v>43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 t="s">
        <v>338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242</v>
      </c>
      <c r="G148" s="6" t="s">
        <v>17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6" t="s">
        <v>339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242</v>
      </c>
      <c r="G149" s="6" t="s">
        <v>21</v>
      </c>
      <c r="H149" s="6" t="s">
        <v>50</v>
      </c>
      <c r="I149" s="5" t="str">
        <f>IF(H149="","",VLOOKUP(H149,DB!A:B,2,0))</f>
        <v>Blackmagic Multiview 16</v>
      </c>
      <c r="J149" s="5"/>
      <c r="K149" s="6" t="s">
        <v>21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242</v>
      </c>
      <c r="G150" s="6" t="s">
        <v>25</v>
      </c>
      <c r="H150" s="6" t="s">
        <v>50</v>
      </c>
      <c r="I150" s="5" t="str">
        <f>IF(H150="","",VLOOKUP(H150,DB!A:B,2,0))</f>
        <v>Blackmagic Multiview 16</v>
      </c>
      <c r="J150" s="5"/>
      <c r="K150" s="6" t="s">
        <v>25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28</v>
      </c>
      <c r="F151" s="6" t="s">
        <v>242</v>
      </c>
      <c r="G151" s="6" t="s">
        <v>29</v>
      </c>
      <c r="H151" s="6" t="s">
        <v>50</v>
      </c>
      <c r="I151" s="5" t="str">
        <f>IF(H151="","",VLOOKUP(H151,DB!A:B,2,0))</f>
        <v>Blackmagic Multiview 16</v>
      </c>
      <c r="J151" s="5"/>
      <c r="K151" s="6" t="s">
        <v>29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31</v>
      </c>
      <c r="F152" s="6" t="s">
        <v>242</v>
      </c>
      <c r="G152" s="6" t="s">
        <v>32</v>
      </c>
      <c r="H152" s="6" t="s">
        <v>50</v>
      </c>
      <c r="I152" s="5" t="str">
        <f>IF(H152="","",VLOOKUP(H152,DB!A:B,2,0))</f>
        <v>Blackmagic Multiview 16</v>
      </c>
      <c r="J152" s="5"/>
      <c r="K152" s="6" t="s">
        <v>32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34</v>
      </c>
      <c r="F153" s="6" t="s">
        <v>242</v>
      </c>
      <c r="G153" s="6" t="s">
        <v>35</v>
      </c>
      <c r="H153" s="6" t="s">
        <v>50</v>
      </c>
      <c r="I153" s="5" t="str">
        <f>IF(H153="","",VLOOKUP(H153,DB!A:B,2,0))</f>
        <v>Blackmagic Multiview 16</v>
      </c>
      <c r="J153" s="5"/>
      <c r="K153" s="6" t="s">
        <v>35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37</v>
      </c>
      <c r="F154" s="6" t="s">
        <v>242</v>
      </c>
      <c r="G154" s="6" t="s">
        <v>38</v>
      </c>
      <c r="H154" s="6" t="s">
        <v>50</v>
      </c>
      <c r="I154" s="5" t="str">
        <f>IF(H154="","",VLOOKUP(H154,DB!A:B,2,0))</f>
        <v>Blackmagic Multiview 16</v>
      </c>
      <c r="J154" s="5"/>
      <c r="K154" s="6" t="s">
        <v>38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40</v>
      </c>
      <c r="F155" s="6" t="s">
        <v>242</v>
      </c>
      <c r="G155" s="6" t="s">
        <v>41</v>
      </c>
      <c r="H155" s="6" t="s">
        <v>50</v>
      </c>
      <c r="I155" s="5" t="str">
        <f>IF(H155="","",VLOOKUP(H155,DB!A:B,2,0))</f>
        <v>Blackmagic Multiview 16</v>
      </c>
      <c r="J155" s="5"/>
      <c r="K155" s="6" t="s">
        <v>41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43</v>
      </c>
      <c r="F156" s="6" t="s">
        <v>242</v>
      </c>
      <c r="G156" s="6" t="s">
        <v>44</v>
      </c>
      <c r="H156" s="6" t="s">
        <v>50</v>
      </c>
      <c r="I156" s="5" t="str">
        <f>IF(H156="","",VLOOKUP(H156,DB!A:B,2,0))</f>
        <v>Blackmagic Multiview 16</v>
      </c>
      <c r="J156" s="5"/>
      <c r="K156" s="6" t="s">
        <v>44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46</v>
      </c>
      <c r="F157" s="6" t="s">
        <v>242</v>
      </c>
      <c r="G157" s="6" t="s">
        <v>47</v>
      </c>
      <c r="H157" s="6" t="s">
        <v>50</v>
      </c>
      <c r="I157" s="5" t="str">
        <f>IF(H157="","",VLOOKUP(H157,DB!A:B,2,0))</f>
        <v>Blackmagic Multiview 16</v>
      </c>
      <c r="J157" s="5"/>
      <c r="K157" s="6" t="s">
        <v>47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53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242</v>
      </c>
      <c r="G159" s="6" t="s">
        <v>17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242</v>
      </c>
      <c r="G160" s="6" t="s">
        <v>21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242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28</v>
      </c>
      <c r="F162" s="6" t="s">
        <v>242</v>
      </c>
      <c r="G162" s="6" t="s">
        <v>29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31</v>
      </c>
      <c r="F163" s="6" t="s">
        <v>242</v>
      </c>
      <c r="G163" s="6" t="s">
        <v>32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34</v>
      </c>
      <c r="F164" s="6" t="s">
        <v>242</v>
      </c>
      <c r="G164" s="6" t="s">
        <v>35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37</v>
      </c>
      <c r="F165" s="6" t="s">
        <v>242</v>
      </c>
      <c r="G165" s="6" t="s">
        <v>38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40</v>
      </c>
      <c r="F166" s="6" t="s">
        <v>242</v>
      </c>
      <c r="G166" s="6" t="s">
        <v>41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65</v>
      </c>
      <c r="F167" s="6" t="s">
        <v>242</v>
      </c>
      <c r="G167" s="6" t="s">
        <v>66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242</v>
      </c>
      <c r="G168" s="6" t="s">
        <v>17</v>
      </c>
      <c r="H168" s="6" t="s">
        <v>340</v>
      </c>
      <c r="I168" s="5" t="str">
        <f>IF(H168="","",VLOOKUP(H168,DB!A:B,2,0))</f>
        <v>Monitor Pvw TX</v>
      </c>
      <c r="J168" s="5"/>
      <c r="K168" s="6" t="s">
        <v>243</v>
      </c>
      <c r="L168" s="5"/>
      <c r="M168" s="6" t="s">
        <v>341</v>
      </c>
      <c r="N168" s="6" t="s">
        <v>342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242</v>
      </c>
      <c r="G169" s="6" t="s">
        <v>21</v>
      </c>
      <c r="H169" s="6" t="s">
        <v>183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141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242</v>
      </c>
      <c r="G170" s="6" t="s">
        <v>25</v>
      </c>
      <c r="H170" s="6" t="s">
        <v>343</v>
      </c>
      <c r="I170" s="5" t="str">
        <f>IF(H170="","",VLOOKUP(H170,DB!A:B,2,0))</f>
        <v>Monitor Linea TX</v>
      </c>
      <c r="J170" s="5"/>
      <c r="K170" s="6" t="s">
        <v>243</v>
      </c>
      <c r="L170" s="5"/>
      <c r="M170" s="6" t="s">
        <v>344</v>
      </c>
      <c r="N170" s="6" t="s">
        <v>342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28</v>
      </c>
      <c r="F171" s="6" t="s">
        <v>242</v>
      </c>
      <c r="G171" s="6" t="s">
        <v>29</v>
      </c>
      <c r="H171" s="6" t="s">
        <v>345</v>
      </c>
      <c r="I171" s="5" t="str">
        <f>IF(H171="","",VLOOKUP(H171,DB!A:B,2,0))</f>
        <v>Monitor MV TX</v>
      </c>
      <c r="J171" s="5"/>
      <c r="K171" s="6" t="s">
        <v>243</v>
      </c>
      <c r="L171" s="5"/>
      <c r="M171" s="6" t="s">
        <v>346</v>
      </c>
      <c r="N171" s="6" t="s">
        <v>342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31</v>
      </c>
      <c r="F172" s="6" t="s">
        <v>242</v>
      </c>
      <c r="G172" s="6" t="s">
        <v>32</v>
      </c>
      <c r="H172" s="6" t="s">
        <v>347</v>
      </c>
      <c r="I172" s="5" t="str">
        <f>IF(H172="","",VLOOKUP(H172,DB!A:B,2,0))</f>
        <v>Monitor Sonidista</v>
      </c>
      <c r="J172" s="5"/>
      <c r="K172" s="6" t="s">
        <v>243</v>
      </c>
      <c r="L172" s="5"/>
      <c r="M172" s="5"/>
      <c r="N172" s="6" t="s">
        <v>342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34</v>
      </c>
      <c r="F173" s="6" t="s">
        <v>242</v>
      </c>
      <c r="G173" s="6" t="s">
        <v>35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37</v>
      </c>
      <c r="F174" s="6" t="s">
        <v>242</v>
      </c>
      <c r="G174" s="6" t="s">
        <v>38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40</v>
      </c>
      <c r="F175" s="6" t="s">
        <v>242</v>
      </c>
      <c r="G175" s="6" t="s">
        <v>41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43</v>
      </c>
      <c r="F176" s="6" t="s">
        <v>242</v>
      </c>
      <c r="G176" s="6" t="s">
        <v>44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46</v>
      </c>
      <c r="F177" s="6" t="s">
        <v>242</v>
      </c>
      <c r="G177" s="6" t="s">
        <v>47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49</v>
      </c>
      <c r="F178" s="6" t="s">
        <v>242</v>
      </c>
      <c r="G178" s="6" t="s">
        <v>51</v>
      </c>
      <c r="H178" s="6" t="s">
        <v>348</v>
      </c>
      <c r="I178" s="5" t="str">
        <f>IF(H178="","",VLOOKUP(H178,DB!A:B,2,0))</f>
        <v>VIDEObit 3G-LINK-TD</v>
      </c>
      <c r="J178" s="5"/>
      <c r="K178" s="6" t="s">
        <v>163</v>
      </c>
      <c r="L178" s="5"/>
      <c r="M178" s="5"/>
      <c r="N178" s="6" t="s">
        <v>126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53</v>
      </c>
      <c r="F179" s="6" t="s">
        <v>242</v>
      </c>
      <c r="G179" s="6" t="s">
        <v>54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56</v>
      </c>
      <c r="F180" s="6" t="s">
        <v>242</v>
      </c>
      <c r="G180" s="6" t="s">
        <v>57</v>
      </c>
      <c r="H180" s="6" t="s">
        <v>349</v>
      </c>
      <c r="I180" s="5" t="str">
        <f>IF(H180="","",VLOOKUP(H180,DB!A:B,2,0))</f>
        <v>Monitor Titulos</v>
      </c>
      <c r="J180" s="5"/>
      <c r="K180" s="6" t="s">
        <v>243</v>
      </c>
      <c r="L180" s="5"/>
      <c r="M180" s="5"/>
      <c r="N180" s="6" t="s">
        <v>342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59</v>
      </c>
      <c r="F181" s="6" t="s">
        <v>242</v>
      </c>
      <c r="G181" s="6" t="s">
        <v>60</v>
      </c>
      <c r="H181" s="6" t="s">
        <v>350</v>
      </c>
      <c r="I181" s="5" t="str">
        <f>IF(H181="","",VLOOKUP(H181,DB!A:B,2,0))</f>
        <v>Monitor Iluminador</v>
      </c>
      <c r="J181" s="5"/>
      <c r="K181" s="6" t="s">
        <v>243</v>
      </c>
      <c r="L181" s="5"/>
      <c r="M181" s="5"/>
      <c r="N181" s="6" t="s">
        <v>342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62</v>
      </c>
      <c r="F182" s="6" t="s">
        <v>242</v>
      </c>
      <c r="G182" s="6" t="s">
        <v>63</v>
      </c>
      <c r="H182" s="6" t="s">
        <v>351</v>
      </c>
      <c r="I182" s="5" t="str">
        <f>IF(H182="","",VLOOKUP(H182,DB!A:B,2,0))</f>
        <v>Monitor Piso</v>
      </c>
      <c r="J182" s="5"/>
      <c r="K182" s="6" t="s">
        <v>243</v>
      </c>
      <c r="L182" s="5"/>
      <c r="M182" s="5"/>
      <c r="N182" s="6" t="s">
        <v>342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65</v>
      </c>
      <c r="F183" s="6" t="s">
        <v>242</v>
      </c>
      <c r="G183" s="6" t="s">
        <v>66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69</v>
      </c>
      <c r="B184" s="6" t="str">
        <f>IF(A184="","",VLOOKUP(A184,DB!A:B,2,0))</f>
        <v>AJA FS4</v>
      </c>
      <c r="C184" s="5"/>
      <c r="D184" s="5"/>
      <c r="E184" s="6" t="s">
        <v>203</v>
      </c>
      <c r="F184" s="6" t="s">
        <v>242</v>
      </c>
      <c r="G184" s="6" t="s">
        <v>70</v>
      </c>
      <c r="H184" s="6" t="s">
        <v>74</v>
      </c>
      <c r="I184" s="5" t="str">
        <f>IF(H184="","",VLOOKUP(H184,DB!A:B,2,0))</f>
        <v>Loop A</v>
      </c>
      <c r="J184" s="6">
        <v>1.0</v>
      </c>
      <c r="K184" s="6" t="s">
        <v>75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203</v>
      </c>
      <c r="F185" s="5"/>
      <c r="G185" s="5"/>
      <c r="H185" s="6" t="s">
        <v>186</v>
      </c>
      <c r="I185" s="5" t="str">
        <f>IF(H185="","",VLOOKUP(H185,DB!A:B,2,0))</f>
        <v>openGear X</v>
      </c>
      <c r="J185" s="6">
        <v>6.0</v>
      </c>
      <c r="K185" s="6" t="s">
        <v>108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352</v>
      </c>
      <c r="E186" s="6" t="s">
        <v>206</v>
      </c>
      <c r="F186" s="6" t="s">
        <v>242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 t="s">
        <v>38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352</v>
      </c>
      <c r="E187" s="6" t="s">
        <v>353</v>
      </c>
      <c r="F187" s="6" t="s">
        <v>242</v>
      </c>
      <c r="G187" s="6" t="s">
        <v>108</v>
      </c>
      <c r="H187" s="6" t="s">
        <v>354</v>
      </c>
      <c r="I187" s="5" t="str">
        <f>IF(H187="","",VLOOKUP(H187,DB!A:B,2,0))</f>
        <v>Yamaha QL5</v>
      </c>
      <c r="J187" s="5"/>
      <c r="K187" s="6" t="s">
        <v>54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352</v>
      </c>
      <c r="E188" s="6" t="s">
        <v>355</v>
      </c>
      <c r="F188" s="6" t="s">
        <v>242</v>
      </c>
      <c r="G188" s="6" t="s">
        <v>108</v>
      </c>
      <c r="H188" s="6" t="s">
        <v>354</v>
      </c>
      <c r="I188" s="5" t="str">
        <f>IF(H188="","",VLOOKUP(H188,DB!A:B,2,0))</f>
        <v>Yamaha QL5</v>
      </c>
      <c r="J188" s="5"/>
      <c r="K188" s="6" t="s">
        <v>57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352</v>
      </c>
      <c r="E189" s="6" t="s">
        <v>206</v>
      </c>
      <c r="F189" s="6" t="s">
        <v>242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 t="s">
        <v>41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352</v>
      </c>
      <c r="E190" s="6" t="s">
        <v>353</v>
      </c>
      <c r="F190" s="6" t="s">
        <v>242</v>
      </c>
      <c r="G190" s="6" t="s">
        <v>108</v>
      </c>
      <c r="H190" s="6" t="s">
        <v>354</v>
      </c>
      <c r="I190" s="5" t="str">
        <f>IF(H190="","",VLOOKUP(H190,DB!A:B,2,0))</f>
        <v>Yamaha QL5</v>
      </c>
      <c r="J190" s="5"/>
      <c r="K190" s="6" t="s">
        <v>60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352</v>
      </c>
      <c r="E191" s="6" t="s">
        <v>355</v>
      </c>
      <c r="F191" s="6" t="s">
        <v>242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 t="s">
        <v>90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352</v>
      </c>
      <c r="E192" s="6" t="s">
        <v>206</v>
      </c>
      <c r="F192" s="6" t="s">
        <v>242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 t="s">
        <v>44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352</v>
      </c>
      <c r="E193" s="6" t="s">
        <v>353</v>
      </c>
      <c r="F193" s="6" t="s">
        <v>242</v>
      </c>
      <c r="G193" s="6" t="s">
        <v>108</v>
      </c>
      <c r="H193" s="6" t="s">
        <v>354</v>
      </c>
      <c r="I193" s="5" t="str">
        <f>IF(H193="","",VLOOKUP(H193,DB!A:B,2,0))</f>
        <v>Yamaha QL5</v>
      </c>
      <c r="J193" s="5"/>
      <c r="K193" s="6" t="s">
        <v>63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352</v>
      </c>
      <c r="E194" s="6" t="s">
        <v>355</v>
      </c>
      <c r="F194" s="6" t="s">
        <v>242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 t="s">
        <v>90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352</v>
      </c>
      <c r="E195" s="6" t="s">
        <v>206</v>
      </c>
      <c r="F195" s="6" t="s">
        <v>242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 t="s">
        <v>47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352</v>
      </c>
      <c r="E196" s="6" t="s">
        <v>353</v>
      </c>
      <c r="F196" s="6" t="s">
        <v>242</v>
      </c>
      <c r="G196" s="6" t="s">
        <v>108</v>
      </c>
      <c r="H196" s="6" t="s">
        <v>354</v>
      </c>
      <c r="I196" s="5" t="str">
        <f>IF(H196="","",VLOOKUP(H196,DB!A:B,2,0))</f>
        <v>Yamaha QL5</v>
      </c>
      <c r="J196" s="5"/>
      <c r="K196" s="6" t="s">
        <v>66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352</v>
      </c>
      <c r="E197" s="6" t="s">
        <v>355</v>
      </c>
      <c r="F197" s="6" t="s">
        <v>242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 t="s">
        <v>90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356</v>
      </c>
      <c r="E198" s="6" t="s">
        <v>206</v>
      </c>
      <c r="F198" s="6" t="s">
        <v>242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 t="s">
        <v>90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352</v>
      </c>
      <c r="E199" s="6" t="s">
        <v>353</v>
      </c>
      <c r="F199" s="6" t="s">
        <v>242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 t="s">
        <v>90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352</v>
      </c>
      <c r="E200" s="6" t="s">
        <v>355</v>
      </c>
      <c r="F200" s="6" t="s">
        <v>242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 t="s">
        <v>90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357</v>
      </c>
      <c r="E201" s="6" t="s">
        <v>358</v>
      </c>
      <c r="F201" s="6" t="s">
        <v>242</v>
      </c>
      <c r="G201" s="6" t="s">
        <v>359</v>
      </c>
      <c r="H201" s="6" t="s">
        <v>183</v>
      </c>
      <c r="I201" s="5" t="str">
        <f>IF(H201="","",VLOOKUP(H201,DB!A:B,2,0))</f>
        <v>?????</v>
      </c>
      <c r="J201" s="5"/>
      <c r="K201" s="5"/>
      <c r="L201" s="5"/>
      <c r="M201" s="6" t="s">
        <v>360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357</v>
      </c>
      <c r="E202" s="6" t="s">
        <v>361</v>
      </c>
      <c r="F202" s="6" t="s">
        <v>242</v>
      </c>
      <c r="G202" s="6" t="s">
        <v>359</v>
      </c>
      <c r="H202" s="6" t="s">
        <v>183</v>
      </c>
      <c r="I202" s="5" t="str">
        <f>IF(H202="","",VLOOKUP(H202,DB!A:B,2,0))</f>
        <v>?????</v>
      </c>
      <c r="J202" s="5"/>
      <c r="K202" s="5"/>
      <c r="L202" s="5"/>
      <c r="M202" s="6" t="s">
        <v>360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362</v>
      </c>
      <c r="B203" s="6" t="str">
        <f>IF(A203="","",VLOOKUP(A203,DB!A:B,2,0))</f>
        <v>Cisco D9865</v>
      </c>
      <c r="C203" s="5"/>
      <c r="D203" s="5"/>
      <c r="E203" s="6" t="s">
        <v>363</v>
      </c>
      <c r="F203" s="5"/>
      <c r="G203" s="5"/>
      <c r="H203" s="6" t="s">
        <v>224</v>
      </c>
      <c r="I203" s="5" t="str">
        <f>IF(H203="","",VLOOKUP(H203,DB!A:B,2,0))</f>
        <v>AJA FS2</v>
      </c>
      <c r="J203" s="5"/>
      <c r="K203" s="6" t="s">
        <v>364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186</v>
      </c>
      <c r="B204" s="6" t="str">
        <f>IF(A204="","",VLOOKUP(A204,DB!A:B,2,0))</f>
        <v>openGear X</v>
      </c>
      <c r="C204" s="6">
        <v>1.0</v>
      </c>
      <c r="D204" s="6" t="s">
        <v>365</v>
      </c>
      <c r="E204" s="6" t="s">
        <v>206</v>
      </c>
      <c r="F204" s="5"/>
      <c r="G204" s="6"/>
      <c r="H204" s="6" t="s">
        <v>183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186</v>
      </c>
      <c r="B205" s="6" t="str">
        <f>IF(A205="","",VLOOKUP(A205,DB!A:B,2,0))</f>
        <v>openGear X</v>
      </c>
      <c r="C205" s="6">
        <v>1.0</v>
      </c>
      <c r="D205" s="6" t="s">
        <v>365</v>
      </c>
      <c r="E205" s="6" t="s">
        <v>366</v>
      </c>
      <c r="F205" s="5"/>
      <c r="G205" s="6"/>
      <c r="H205" s="6" t="s">
        <v>183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186</v>
      </c>
      <c r="B206" s="6" t="str">
        <f>IF(A206="","",VLOOKUP(A206,DB!A:B,2,0))</f>
        <v>openGear X</v>
      </c>
      <c r="C206" s="6">
        <v>1.0</v>
      </c>
      <c r="D206" s="6" t="s">
        <v>365</v>
      </c>
      <c r="E206" s="6" t="s">
        <v>367</v>
      </c>
      <c r="F206" s="5"/>
      <c r="G206" s="6"/>
      <c r="H206" s="6" t="s">
        <v>183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186</v>
      </c>
      <c r="B207" s="6" t="str">
        <f>IF(A207="","",VLOOKUP(A207,DB!A:B,2,0))</f>
        <v>openGear X</v>
      </c>
      <c r="C207" s="6">
        <v>2.0</v>
      </c>
      <c r="D207" s="6" t="s">
        <v>365</v>
      </c>
      <c r="E207" s="6" t="s">
        <v>206</v>
      </c>
      <c r="F207" s="5"/>
      <c r="G207" s="6"/>
      <c r="H207" s="6" t="s">
        <v>183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186</v>
      </c>
      <c r="B208" s="6" t="str">
        <f>IF(A208="","",VLOOKUP(A208,DB!A:B,2,0))</f>
        <v>openGear X</v>
      </c>
      <c r="C208" s="6">
        <v>2.0</v>
      </c>
      <c r="D208" s="6" t="s">
        <v>365</v>
      </c>
      <c r="E208" s="6" t="s">
        <v>366</v>
      </c>
      <c r="F208" s="5"/>
      <c r="G208" s="6"/>
      <c r="H208" s="6" t="s">
        <v>183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186</v>
      </c>
      <c r="B209" s="6" t="str">
        <f>IF(A209="","",VLOOKUP(A209,DB!A:B,2,0))</f>
        <v>openGear X</v>
      </c>
      <c r="C209" s="6">
        <v>2.0</v>
      </c>
      <c r="D209" s="6" t="s">
        <v>365</v>
      </c>
      <c r="E209" s="6" t="s">
        <v>367</v>
      </c>
      <c r="F209" s="5"/>
      <c r="G209" s="6"/>
      <c r="H209" s="6" t="s">
        <v>183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186</v>
      </c>
      <c r="B210" s="6" t="str">
        <f>IF(A210="","",VLOOKUP(A210,DB!A:B,2,0))</f>
        <v>openGear X</v>
      </c>
      <c r="C210" s="6">
        <v>3.0</v>
      </c>
      <c r="D210" s="6" t="s">
        <v>365</v>
      </c>
      <c r="E210" s="6" t="s">
        <v>366</v>
      </c>
      <c r="F210" s="5"/>
      <c r="G210" s="6"/>
      <c r="H210" s="6" t="s">
        <v>183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186</v>
      </c>
      <c r="B211" s="6" t="str">
        <f>IF(A211="","",VLOOKUP(A211,DB!A:B,2,0))</f>
        <v>openGear X</v>
      </c>
      <c r="C211" s="6">
        <v>5.0</v>
      </c>
      <c r="D211" s="6" t="s">
        <v>356</v>
      </c>
      <c r="E211" s="6" t="s">
        <v>206</v>
      </c>
      <c r="F211" s="6" t="s">
        <v>242</v>
      </c>
      <c r="G211" s="6" t="s">
        <v>108</v>
      </c>
      <c r="H211" s="6" t="s">
        <v>224</v>
      </c>
      <c r="I211" s="5" t="str">
        <f>IF(H211="","",VLOOKUP(H211,DB!A:B,2,0))</f>
        <v>AJA FS2</v>
      </c>
      <c r="J211" s="5"/>
      <c r="K211" s="6" t="s">
        <v>163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186</v>
      </c>
      <c r="B212" s="6" t="str">
        <f>IF(A212="","",VLOOKUP(A212,DB!A:B,2,0))</f>
        <v>openGear X</v>
      </c>
      <c r="C212" s="6">
        <v>5.0</v>
      </c>
      <c r="D212" s="6" t="s">
        <v>365</v>
      </c>
      <c r="E212" s="6" t="s">
        <v>367</v>
      </c>
      <c r="F212" s="5"/>
      <c r="G212" s="6"/>
      <c r="H212" s="6" t="s">
        <v>183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186</v>
      </c>
      <c r="B213" s="6" t="str">
        <f>IF(A213="","",VLOOKUP(A213,DB!A:B,2,0))</f>
        <v>openGear X</v>
      </c>
      <c r="C213" s="6">
        <v>6.0</v>
      </c>
      <c r="D213" s="6" t="s">
        <v>316</v>
      </c>
      <c r="E213" s="6" t="s">
        <v>368</v>
      </c>
      <c r="F213" s="6" t="s">
        <v>242</v>
      </c>
      <c r="G213" s="6" t="s">
        <v>318</v>
      </c>
      <c r="H213" s="6" t="s">
        <v>369</v>
      </c>
      <c r="I213" s="5" t="str">
        <f>IF(H213="","",VLOOKUP(H213,DB!A:B,2,0))</f>
        <v>VIDEOTRON</v>
      </c>
      <c r="J213" s="5"/>
      <c r="K213" s="6" t="s">
        <v>163</v>
      </c>
      <c r="L213" s="5"/>
      <c r="M213" s="6" t="s">
        <v>183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370</v>
      </c>
      <c r="B214" s="6" t="str">
        <f>IF(A214="","",VLOOKUP(A214,DB!A:B,2,0))</f>
        <v>Raspberry PI 1</v>
      </c>
      <c r="C214" s="5"/>
      <c r="D214" s="6"/>
      <c r="E214" s="6" t="s">
        <v>259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243</v>
      </c>
      <c r="L214" s="5"/>
      <c r="M214" s="6" t="s">
        <v>371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372</v>
      </c>
      <c r="B215" s="6" t="str">
        <f>IF(A215="","",VLOOKUP(A215,DB!A:B,2,0))</f>
        <v>Raspberry PI 2</v>
      </c>
      <c r="C215" s="5"/>
      <c r="D215" s="6"/>
      <c r="E215" s="6" t="s">
        <v>259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243</v>
      </c>
      <c r="L215" s="5"/>
      <c r="M215" s="6" t="s">
        <v>373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374</v>
      </c>
      <c r="B216" s="6" t="str">
        <f>IF(A216="","",VLOOKUP(A216,DB!A:B,2,0))</f>
        <v>Deco Direccion</v>
      </c>
      <c r="C216" s="5"/>
      <c r="D216" s="5"/>
      <c r="E216" s="6" t="s">
        <v>259</v>
      </c>
      <c r="F216" s="5"/>
      <c r="G216" s="5"/>
      <c r="H216" s="6" t="s">
        <v>263</v>
      </c>
      <c r="I216" s="5" t="str">
        <f>IF(H216="","",VLOOKUP(H216,DB!A:B,2,0))</f>
        <v>Patch Panel</v>
      </c>
      <c r="J216" s="5"/>
      <c r="K216" s="6" t="s">
        <v>44</v>
      </c>
      <c r="L216" s="5"/>
      <c r="M216" s="5"/>
      <c r="N216" s="6" t="s">
        <v>262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375</v>
      </c>
      <c r="B217" s="6" t="str">
        <f>IF(A217="","",VLOOKUP(A217,DB!A:B,2,0))</f>
        <v>PC Videollamada</v>
      </c>
      <c r="C217" s="6">
        <v>1.0</v>
      </c>
      <c r="D217" s="6" t="s">
        <v>189</v>
      </c>
      <c r="E217" s="6" t="s">
        <v>376</v>
      </c>
      <c r="F217" s="5"/>
      <c r="G217" s="5"/>
      <c r="H217" s="6" t="s">
        <v>263</v>
      </c>
      <c r="I217" s="5" t="str">
        <f>IF(H217="","",VLOOKUP(H217,DB!A:B,2,0))</f>
        <v>Patch Panel</v>
      </c>
      <c r="J217" s="5"/>
      <c r="K217" s="6" t="s">
        <v>60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278</v>
      </c>
      <c r="B218" s="6" t="str">
        <f>IF(A218="","",VLOOKUP(A218,DB!A:B,2,0))</f>
        <v>Sony HXCU-100 Cam 1</v>
      </c>
      <c r="C218" s="5"/>
      <c r="D218" s="5"/>
      <c r="E218" s="6" t="s">
        <v>203</v>
      </c>
      <c r="F218" s="5"/>
      <c r="G218" s="5"/>
      <c r="H218" s="6" t="s">
        <v>252</v>
      </c>
      <c r="I218" s="5" t="str">
        <f>IF(H218="","",VLOOKUP(H218,DB!A:B,2,0))</f>
        <v>Blackmagic Multiview 4</v>
      </c>
      <c r="J218" s="5"/>
      <c r="K218" s="6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278</v>
      </c>
      <c r="B219" s="6" t="str">
        <f>IF(A219="","",VLOOKUP(A219,DB!A:B,2,0))</f>
        <v>Sony HXCU-100 Cam 1</v>
      </c>
      <c r="C219" s="5"/>
      <c r="D219" s="5"/>
      <c r="E219" s="6" t="s">
        <v>309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281</v>
      </c>
      <c r="B220" s="6" t="str">
        <f>IF(A220="","",VLOOKUP(A220,DB!A:B,2,0))</f>
        <v>Sony HXCU-100 Cam 2</v>
      </c>
      <c r="C220" s="5"/>
      <c r="D220" s="5"/>
      <c r="E220" s="6" t="s">
        <v>203</v>
      </c>
      <c r="F220" s="5"/>
      <c r="G220" s="5"/>
      <c r="H220" s="6" t="s">
        <v>252</v>
      </c>
      <c r="I220" s="5" t="str">
        <f>IF(H220="","",VLOOKUP(H220,DB!A:B,2,0))</f>
        <v>Blackmagic Multiview 4</v>
      </c>
      <c r="J220" s="5"/>
      <c r="K220" s="6" t="s">
        <v>21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281</v>
      </c>
      <c r="B221" s="6" t="str">
        <f>IF(A221="","",VLOOKUP(A221,DB!A:B,2,0))</f>
        <v>Sony HXCU-100 Cam 2</v>
      </c>
      <c r="C221" s="5"/>
      <c r="D221" s="5"/>
      <c r="E221" s="6" t="s">
        <v>309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 t="s">
        <v>21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284</v>
      </c>
      <c r="B222" s="6" t="str">
        <f>IF(A222="","",VLOOKUP(A222,DB!A:B,2,0))</f>
        <v>Sony HXCU-100 Cam 3</v>
      </c>
      <c r="C222" s="5"/>
      <c r="D222" s="5"/>
      <c r="E222" s="6" t="s">
        <v>203</v>
      </c>
      <c r="F222" s="5"/>
      <c r="G222" s="5"/>
      <c r="H222" s="6" t="s">
        <v>252</v>
      </c>
      <c r="I222" s="5" t="str">
        <f>IF(H222="","",VLOOKUP(H222,DB!A:B,2,0))</f>
        <v>Blackmagic Multiview 4</v>
      </c>
      <c r="J222" s="5"/>
      <c r="K222" s="6" t="s">
        <v>25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284</v>
      </c>
      <c r="B223" s="6" t="str">
        <f>IF(A223="","",VLOOKUP(A223,DB!A:B,2,0))</f>
        <v>Sony HXCU-100 Cam 3</v>
      </c>
      <c r="C223" s="5"/>
      <c r="D223" s="5"/>
      <c r="E223" s="6" t="s">
        <v>309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 t="s">
        <v>25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287</v>
      </c>
      <c r="B224" s="6" t="str">
        <f>IF(A224="","",VLOOKUP(A224,DB!A:B,2,0))</f>
        <v>Sony HXCU-100 Cam 4</v>
      </c>
      <c r="C224" s="5"/>
      <c r="D224" s="5"/>
      <c r="E224" s="6" t="s">
        <v>203</v>
      </c>
      <c r="F224" s="5"/>
      <c r="G224" s="5"/>
      <c r="H224" s="6" t="s">
        <v>252</v>
      </c>
      <c r="I224" s="5" t="str">
        <f>IF(H224="","",VLOOKUP(H224,DB!A:B,2,0))</f>
        <v>Blackmagic Multiview 4</v>
      </c>
      <c r="J224" s="5"/>
      <c r="K224" s="6" t="s">
        <v>29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287</v>
      </c>
      <c r="B225" s="6" t="str">
        <f>IF(A225="","",VLOOKUP(A225,DB!A:B,2,0))</f>
        <v>Sony HXCU-100 Cam 4</v>
      </c>
      <c r="C225" s="5"/>
      <c r="D225" s="5"/>
      <c r="E225" s="6" t="s">
        <v>309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 t="s">
        <v>29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377</v>
      </c>
      <c r="F226" s="5"/>
      <c r="G226" s="5"/>
      <c r="H226" s="6" t="s">
        <v>378</v>
      </c>
      <c r="I226" s="5" t="str">
        <f>IF(H226="","",VLOOKUP(H226,DB!A:B,2,0))</f>
        <v>Monitor Director 2</v>
      </c>
      <c r="J226" s="5"/>
      <c r="K226" s="6" t="s">
        <v>243</v>
      </c>
      <c r="L226" s="5"/>
      <c r="M226" s="5"/>
      <c r="N226" s="6" t="s">
        <v>342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379</v>
      </c>
      <c r="F227" s="5"/>
      <c r="G227" s="5"/>
      <c r="H227" s="6" t="s">
        <v>380</v>
      </c>
      <c r="I227" s="5" t="str">
        <f>IF(H227="","",VLOOKUP(H227,DB!A:B,2,0))</f>
        <v>PC Pantalla</v>
      </c>
      <c r="J227" s="5"/>
      <c r="K227" s="6" t="s">
        <v>243</v>
      </c>
      <c r="L227" s="5"/>
      <c r="M227" s="5"/>
      <c r="N227" s="6" t="s">
        <v>381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20</v>
      </c>
      <c r="F228" s="5"/>
      <c r="G228" s="5"/>
      <c r="H228" s="6" t="s">
        <v>382</v>
      </c>
      <c r="I228" s="5" t="str">
        <f>IF(H228="","",VLOOKUP(H228,DB!A:B,2,0))</f>
        <v>AJA HD5DA</v>
      </c>
      <c r="J228" s="5"/>
      <c r="K228" s="6" t="s">
        <v>108</v>
      </c>
      <c r="L228" s="5"/>
      <c r="M228" s="5"/>
      <c r="N228" s="6" t="s">
        <v>383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382</v>
      </c>
      <c r="B229" s="6" t="str">
        <f>IF(A229="","",VLOOKUP(A229,DB!A:B,2,0))</f>
        <v>AJA HD5DA</v>
      </c>
      <c r="C229" s="5"/>
      <c r="D229" s="5"/>
      <c r="E229" s="6" t="s">
        <v>200</v>
      </c>
      <c r="F229" s="6" t="s">
        <v>242</v>
      </c>
      <c r="G229" s="6" t="s">
        <v>108</v>
      </c>
      <c r="H229" s="6" t="s">
        <v>278</v>
      </c>
      <c r="I229" s="5" t="str">
        <f>IF(H229="","",VLOOKUP(H229,DB!A:B,2,0))</f>
        <v>Sony HXCU-100 Cam 1</v>
      </c>
      <c r="J229" s="5"/>
      <c r="K229" s="6" t="s">
        <v>384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382</v>
      </c>
      <c r="B230" s="6" t="str">
        <f>IF(A230="","",VLOOKUP(A230,DB!A:B,2,0))</f>
        <v>AJA HD5DA</v>
      </c>
      <c r="C230" s="5"/>
      <c r="D230" s="5"/>
      <c r="E230" s="6" t="s">
        <v>203</v>
      </c>
      <c r="F230" s="6" t="s">
        <v>242</v>
      </c>
      <c r="G230" s="6" t="s">
        <v>108</v>
      </c>
      <c r="H230" s="6" t="s">
        <v>281</v>
      </c>
      <c r="I230" s="5" t="str">
        <f>IF(H230="","",VLOOKUP(H230,DB!A:B,2,0))</f>
        <v>Sony HXCU-100 Cam 2</v>
      </c>
      <c r="J230" s="5"/>
      <c r="K230" s="6" t="s">
        <v>384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382</v>
      </c>
      <c r="B231" s="6" t="str">
        <f>IF(A231="","",VLOOKUP(A231,DB!A:B,2,0))</f>
        <v>AJA HD5DA</v>
      </c>
      <c r="C231" s="5"/>
      <c r="D231" s="5"/>
      <c r="E231" s="6" t="s">
        <v>309</v>
      </c>
      <c r="F231" s="6" t="s">
        <v>242</v>
      </c>
      <c r="G231" s="6" t="s">
        <v>108</v>
      </c>
      <c r="H231" s="6" t="s">
        <v>284</v>
      </c>
      <c r="I231" s="5" t="str">
        <f>IF(H231="","",VLOOKUP(H231,DB!A:B,2,0))</f>
        <v>Sony HXCU-100 Cam 3</v>
      </c>
      <c r="J231" s="5"/>
      <c r="K231" s="6" t="s">
        <v>384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382</v>
      </c>
      <c r="B232" s="6" t="str">
        <f>IF(A232="","",VLOOKUP(A232,DB!A:B,2,0))</f>
        <v>AJA HD5DA</v>
      </c>
      <c r="C232" s="5"/>
      <c r="D232" s="5"/>
      <c r="E232" s="6" t="s">
        <v>312</v>
      </c>
      <c r="F232" s="6" t="s">
        <v>242</v>
      </c>
      <c r="G232" s="6" t="s">
        <v>108</v>
      </c>
      <c r="H232" s="6" t="s">
        <v>287</v>
      </c>
      <c r="I232" s="5" t="str">
        <f>IF(H232="","",VLOOKUP(H232,DB!A:B,2,0))</f>
        <v>Sony HXCU-100 Cam 4</v>
      </c>
      <c r="J232" s="5"/>
      <c r="K232" s="6" t="s">
        <v>384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385</v>
      </c>
      <c r="B233" s="6" t="str">
        <f>IF(A233="","",VLOOKUP(A233,DB!A:B,2,0))</f>
        <v>Patch Estudio</v>
      </c>
      <c r="C233" s="5"/>
      <c r="D233" s="5"/>
      <c r="E233" s="6" t="s">
        <v>386</v>
      </c>
      <c r="F233" s="5"/>
      <c r="G233" s="5"/>
      <c r="H233" s="6" t="s">
        <v>263</v>
      </c>
      <c r="I233" s="5" t="str">
        <f>IF(H233="","",VLOOKUP(H233,DB!A:B,2,0))</f>
        <v>Patch Panel</v>
      </c>
      <c r="J233" s="5"/>
      <c r="K233" s="6" t="s">
        <v>63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263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263</v>
      </c>
      <c r="I235" s="5" t="str">
        <f>IF(H235="","",VLOOKUP(H235,DB!A:B,2,0))</f>
        <v>Patch Panel</v>
      </c>
      <c r="J235" s="5"/>
      <c r="K235" s="6" t="s">
        <v>21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263</v>
      </c>
      <c r="I236" s="5" t="str">
        <f>IF(H236="","",VLOOKUP(H236,DB!A:B,2,0))</f>
        <v>Patch Panel</v>
      </c>
      <c r="J236" s="5"/>
      <c r="K236" s="6" t="s">
        <v>25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263</v>
      </c>
      <c r="I237" s="5" t="str">
        <f>IF(H237="","",VLOOKUP(H237,DB!A:B,2,0))</f>
        <v>Patch Panel</v>
      </c>
      <c r="J237" s="5"/>
      <c r="K237" s="6" t="s">
        <v>29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 t="s">
        <v>32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 t="s">
        <v>35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 t="s">
        <v>38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 t="s">
        <v>41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 t="s">
        <v>47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 t="s">
        <v>51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 t="s">
        <v>54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 t="s">
        <v>57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 t="s">
        <v>66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16</v>
      </c>
      <c r="I247" s="5" t="str">
        <f>IF(H247="","",VLOOKUP(H247,DB!A:B,2,0))</f>
        <v>Blackmagic 12 x 12</v>
      </c>
      <c r="J247" s="5"/>
      <c r="K247" s="6" t="s">
        <v>51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54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243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224</v>
      </c>
      <c r="B250" s="6" t="str">
        <f>IF(A250="","",VLOOKUP(A250,DB!A:B,2,0))</f>
        <v>AJA FS2</v>
      </c>
      <c r="C250" s="5"/>
      <c r="D250" s="6"/>
      <c r="E250" s="6" t="s">
        <v>387</v>
      </c>
      <c r="F250" s="5"/>
      <c r="G250" s="5"/>
      <c r="H250" s="6" t="s">
        <v>388</v>
      </c>
      <c r="I250" s="5" t="str">
        <f>IF(H250="","",VLOOKUP(H250,DB!A:B,2,0))</f>
        <v>Digiwave DSC-131</v>
      </c>
      <c r="J250" s="6"/>
      <c r="K250" s="6" t="s">
        <v>389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388</v>
      </c>
      <c r="B251" s="6" t="str">
        <f>IF(A251="","",VLOOKUP(A251,DB!A:B,2,0))</f>
        <v>Digiwave DSC-131</v>
      </c>
      <c r="C251" s="5"/>
      <c r="D251" s="6"/>
      <c r="E251" s="6" t="s">
        <v>390</v>
      </c>
      <c r="F251" s="5"/>
      <c r="G251" s="5"/>
      <c r="H251" s="6" t="s">
        <v>391</v>
      </c>
      <c r="I251" s="5" t="str">
        <f>IF(H251="","",VLOOKUP(H251,DB!A:B,2,0))</f>
        <v>vidicraft vst2110</v>
      </c>
      <c r="J251" s="6"/>
      <c r="K251" s="6" t="s">
        <v>392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6" t="s">
        <v>393</v>
      </c>
      <c r="B252" s="6" t="str">
        <f>IF(A252="","",VLOOKUP(A252,DB!A:B,2,0))</f>
        <v>tc electronic Finalizer</v>
      </c>
      <c r="C252" s="5"/>
      <c r="D252" s="6"/>
      <c r="E252" s="6" t="s">
        <v>394</v>
      </c>
      <c r="F252" s="5"/>
      <c r="G252" s="5"/>
      <c r="H252" s="6" t="s">
        <v>224</v>
      </c>
      <c r="I252" s="5" t="str">
        <f>IF(H252="","",VLOOKUP(H252,DB!A:B,2,0))</f>
        <v>AJA FS2</v>
      </c>
      <c r="J252" s="6"/>
      <c r="K252" s="6" t="s">
        <v>395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6" t="s">
        <v>393</v>
      </c>
      <c r="B253" s="6" t="str">
        <f>IF(A253="","",VLOOKUP(A253,DB!A:B,2,0))</f>
        <v>tc electronic Finalizer</v>
      </c>
      <c r="C253" s="5"/>
      <c r="D253" s="6"/>
      <c r="E253" s="6" t="s">
        <v>396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5"/>
      <c r="M253" s="6" t="s">
        <v>397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6" t="s">
        <v>393</v>
      </c>
      <c r="B254" s="6" t="str">
        <f>IF(A254="","",VLOOKUP(A254,DB!A:B,2,0))</f>
        <v>tc electronic Finalizer</v>
      </c>
      <c r="C254" s="5"/>
      <c r="D254" s="6"/>
      <c r="E254" s="6" t="s">
        <v>398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5"/>
      <c r="M254" s="6" t="s">
        <v>397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6" t="s">
        <v>399</v>
      </c>
      <c r="B255" s="6" t="str">
        <f>IF(A255="","",VLOOKUP(A255,DB!A:B,2,0))</f>
        <v>Videotron DV100-EQ</v>
      </c>
      <c r="C255" s="5"/>
      <c r="D255" s="6"/>
      <c r="E255" s="6" t="s">
        <v>15</v>
      </c>
      <c r="F255" s="6" t="s">
        <v>242</v>
      </c>
      <c r="G255" s="6" t="s">
        <v>17</v>
      </c>
      <c r="H255" s="6" t="s">
        <v>188</v>
      </c>
      <c r="I255" s="5" t="str">
        <f>IF(H255="","",VLOOKUP(H255,DB!A:B,2,0))</f>
        <v>Player A</v>
      </c>
      <c r="J255" s="6">
        <v>1.0</v>
      </c>
      <c r="K255" s="6" t="s">
        <v>400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6" t="s">
        <v>399</v>
      </c>
      <c r="B256" s="6" t="str">
        <f>IF(A256="","",VLOOKUP(A256,DB!A:B,2,0))</f>
        <v>Videotron DV100-EQ</v>
      </c>
      <c r="C256" s="5"/>
      <c r="D256" s="6"/>
      <c r="E256" s="6" t="s">
        <v>20</v>
      </c>
      <c r="F256" s="6" t="s">
        <v>242</v>
      </c>
      <c r="G256" s="6" t="s">
        <v>17</v>
      </c>
      <c r="H256" s="6" t="s">
        <v>188</v>
      </c>
      <c r="I256" s="5" t="str">
        <f>IF(H256="","",VLOOKUP(H256,DB!A:B,2,0))</f>
        <v>Player A</v>
      </c>
      <c r="J256" s="6">
        <v>2.0</v>
      </c>
      <c r="K256" s="6" t="s">
        <v>400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6" t="s">
        <v>399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242</v>
      </c>
      <c r="G257" s="6" t="s">
        <v>17</v>
      </c>
      <c r="H257" s="6" t="s">
        <v>192</v>
      </c>
      <c r="I257" s="5" t="str">
        <f>IF(H257="","",VLOOKUP(H257,DB!A:B,2,0))</f>
        <v>Player B</v>
      </c>
      <c r="J257" s="6">
        <v>1.0</v>
      </c>
      <c r="K257" s="6" t="s">
        <v>400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6" t="s">
        <v>399</v>
      </c>
      <c r="B258" s="6" t="str">
        <f>IF(A258="","",VLOOKUP(A258,DB!A:B,2,0))</f>
        <v>Videotron DV100-EQ</v>
      </c>
      <c r="C258" s="5"/>
      <c r="D258" s="6"/>
      <c r="E258" s="6" t="s">
        <v>28</v>
      </c>
      <c r="F258" s="6" t="s">
        <v>242</v>
      </c>
      <c r="G258" s="6" t="s">
        <v>17</v>
      </c>
      <c r="H258" s="6" t="s">
        <v>192</v>
      </c>
      <c r="I258" s="5" t="str">
        <f>IF(H258="","",VLOOKUP(H258,DB!A:B,2,0))</f>
        <v>Player B</v>
      </c>
      <c r="J258" s="6">
        <v>2.0</v>
      </c>
      <c r="K258" s="6" t="s">
        <v>400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6" t="s">
        <v>399</v>
      </c>
      <c r="B259" s="6" t="str">
        <f>IF(A259="","",VLOOKUP(A259,DB!A:B,2,0))</f>
        <v>Videotron DV100-EQ</v>
      </c>
      <c r="C259" s="5"/>
      <c r="D259" s="6"/>
      <c r="E259" s="6" t="s">
        <v>31</v>
      </c>
      <c r="F259" s="6" t="s">
        <v>242</v>
      </c>
      <c r="G259" s="6" t="s">
        <v>17</v>
      </c>
      <c r="H259" s="6" t="s">
        <v>194</v>
      </c>
      <c r="I259" s="5" t="str">
        <f>IF(H259="","",VLOOKUP(H259,DB!A:B,2,0))</f>
        <v>Player C</v>
      </c>
      <c r="J259" s="6">
        <v>1.0</v>
      </c>
      <c r="K259" s="6" t="s">
        <v>400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34</v>
      </c>
      <c r="F260" s="6" t="s">
        <v>242</v>
      </c>
      <c r="G260" s="6" t="s">
        <v>17</v>
      </c>
      <c r="H260" s="6" t="s">
        <v>194</v>
      </c>
      <c r="I260" s="5" t="str">
        <f>IF(H260="","",VLOOKUP(H260,DB!A:B,2,0))</f>
        <v>Player C</v>
      </c>
      <c r="J260" s="6">
        <v>2.0</v>
      </c>
      <c r="K260" s="6" t="s">
        <v>400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37</v>
      </c>
      <c r="F261" s="6" t="s">
        <v>242</v>
      </c>
      <c r="G261" s="6" t="s">
        <v>17</v>
      </c>
      <c r="H261" s="6" t="s">
        <v>90</v>
      </c>
      <c r="I261" s="5" t="str">
        <f>IF(H261="","",VLOOKUP(H261,DB!A:B,2,0))</f>
        <v/>
      </c>
      <c r="J261" s="6"/>
      <c r="K261" s="6"/>
      <c r="L261" s="5"/>
      <c r="M261" s="6" t="s">
        <v>401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40</v>
      </c>
      <c r="F262" s="6" t="s">
        <v>242</v>
      </c>
      <c r="G262" s="6" t="s">
        <v>17</v>
      </c>
      <c r="H262" s="6" t="s">
        <v>90</v>
      </c>
      <c r="I262" s="5" t="str">
        <f>IF(H262="","",VLOOKUP(H262,DB!A:B,2,0))</f>
        <v/>
      </c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6" t="s">
        <v>183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399</v>
      </c>
      <c r="I263" s="5" t="str">
        <f>IF(H263="","",VLOOKUP(H263,DB!A:B,2,0))</f>
        <v>Videotron DV100-EQ</v>
      </c>
      <c r="J263" s="6"/>
      <c r="K263" s="6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6" t="s">
        <v>188</v>
      </c>
      <c r="B264" s="6" t="str">
        <f>IF(A264="","",VLOOKUP(A264,DB!A:B,2,0))</f>
        <v>Player A</v>
      </c>
      <c r="C264" s="6">
        <v>2.0</v>
      </c>
      <c r="D264" s="6" t="s">
        <v>189</v>
      </c>
      <c r="E264" s="6" t="s">
        <v>402</v>
      </c>
      <c r="F264" s="5"/>
      <c r="G264" s="5"/>
      <c r="H264" s="6" t="s">
        <v>354</v>
      </c>
      <c r="I264" s="5" t="str">
        <f>IF(H264="","",VLOOKUP(H264,DB!A:B,2,0))</f>
        <v>Yamaha QL5</v>
      </c>
      <c r="J264" s="6"/>
      <c r="K264" s="6" t="s">
        <v>250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6" t="s">
        <v>183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182</v>
      </c>
      <c r="I265" s="5" t="str">
        <f>IF(H265="","",VLOOKUP(H265,DB!A:B,2,0))</f>
        <v>openGear X</v>
      </c>
      <c r="J265" s="6">
        <v>1.0</v>
      </c>
      <c r="K265" s="6" t="s">
        <v>403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6" t="s">
        <v>182</v>
      </c>
      <c r="B266" s="6" t="str">
        <f>IF(A266="","",VLOOKUP(A266,DB!A:B,2,0))</f>
        <v>openGear X</v>
      </c>
      <c r="C266" s="6">
        <v>1.0</v>
      </c>
      <c r="D266" s="6" t="s">
        <v>316</v>
      </c>
      <c r="E266" s="6" t="s">
        <v>404</v>
      </c>
      <c r="F266" s="6" t="s">
        <v>242</v>
      </c>
      <c r="G266" s="6" t="s">
        <v>403</v>
      </c>
      <c r="H266" s="6" t="s">
        <v>182</v>
      </c>
      <c r="I266" s="5" t="str">
        <f>IF(H266="","",VLOOKUP(H266,DB!A:B,2,0))</f>
        <v>openGear X</v>
      </c>
      <c r="J266" s="6" t="s">
        <v>183</v>
      </c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6" t="s">
        <v>182</v>
      </c>
      <c r="B267" s="6" t="str">
        <f>IF(A267="","",VLOOKUP(A267,DB!A:B,2,0))</f>
        <v>openGear X</v>
      </c>
      <c r="C267" s="6">
        <v>1.0</v>
      </c>
      <c r="D267" s="6" t="s">
        <v>316</v>
      </c>
      <c r="E267" s="6" t="s">
        <v>405</v>
      </c>
      <c r="F267" s="6" t="s">
        <v>242</v>
      </c>
      <c r="G267" s="6" t="s">
        <v>403</v>
      </c>
      <c r="H267" s="6" t="s">
        <v>182</v>
      </c>
      <c r="I267" s="5" t="str">
        <f>IF(H267="","",VLOOKUP(H267,DB!A:B,2,0))</f>
        <v>openGear X</v>
      </c>
      <c r="J267" s="6" t="s">
        <v>183</v>
      </c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6" t="s">
        <v>182</v>
      </c>
      <c r="B268" s="6" t="str">
        <f>IF(A268="","",VLOOKUP(A268,DB!A:B,2,0))</f>
        <v>openGear X</v>
      </c>
      <c r="C268" s="6">
        <v>1.0</v>
      </c>
      <c r="D268" s="6" t="s">
        <v>316</v>
      </c>
      <c r="E268" s="6" t="s">
        <v>406</v>
      </c>
      <c r="F268" s="6" t="s">
        <v>242</v>
      </c>
      <c r="G268" s="6" t="s">
        <v>403</v>
      </c>
      <c r="H268" s="6" t="s">
        <v>182</v>
      </c>
      <c r="I268" s="5" t="str">
        <f>IF(H268="","",VLOOKUP(H268,DB!A:B,2,0))</f>
        <v>openGear X</v>
      </c>
      <c r="J268" s="6" t="s">
        <v>183</v>
      </c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6" t="s">
        <v>182</v>
      </c>
      <c r="B269" s="6" t="str">
        <f>IF(A269="","",VLOOKUP(A269,DB!A:B,2,0))</f>
        <v>openGear X</v>
      </c>
      <c r="C269" s="6">
        <v>1.0</v>
      </c>
      <c r="D269" s="6" t="s">
        <v>316</v>
      </c>
      <c r="E269" s="6" t="s">
        <v>407</v>
      </c>
      <c r="F269" s="6" t="s">
        <v>242</v>
      </c>
      <c r="G269" s="6" t="s">
        <v>403</v>
      </c>
      <c r="H269" s="6" t="s">
        <v>182</v>
      </c>
      <c r="I269" s="5" t="str">
        <f>IF(H269="","",VLOOKUP(H269,DB!A:B,2,0))</f>
        <v>openGear X</v>
      </c>
      <c r="J269" s="6">
        <v>3.0</v>
      </c>
      <c r="K269" s="6" t="s">
        <v>108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6" t="s">
        <v>182</v>
      </c>
      <c r="B270" s="6" t="str">
        <f>IF(A270="","",VLOOKUP(A270,DB!A:B,2,0))</f>
        <v>openGear X</v>
      </c>
      <c r="C270" s="6">
        <v>1.0</v>
      </c>
      <c r="D270" s="6" t="s">
        <v>316</v>
      </c>
      <c r="E270" s="6" t="s">
        <v>408</v>
      </c>
      <c r="F270" s="6" t="s">
        <v>242</v>
      </c>
      <c r="G270" s="6" t="s">
        <v>403</v>
      </c>
      <c r="H270" s="6" t="s">
        <v>182</v>
      </c>
      <c r="I270" s="5" t="str">
        <f>IF(H270="","",VLOOKUP(H270,DB!A:B,2,0))</f>
        <v>openGear X</v>
      </c>
      <c r="J270" s="6">
        <v>2.0</v>
      </c>
      <c r="K270" s="6" t="s">
        <v>108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6" t="s">
        <v>182</v>
      </c>
      <c r="B271" s="6" t="str">
        <f>IF(A271="","",VLOOKUP(A271,DB!A:B,2,0))</f>
        <v>openGear X</v>
      </c>
      <c r="C271" s="6">
        <v>1.0</v>
      </c>
      <c r="D271" s="6" t="s">
        <v>316</v>
      </c>
      <c r="E271" s="6" t="s">
        <v>409</v>
      </c>
      <c r="F271" s="6" t="s">
        <v>242</v>
      </c>
      <c r="G271" s="6" t="s">
        <v>403</v>
      </c>
      <c r="H271" s="6" t="s">
        <v>182</v>
      </c>
      <c r="I271" s="5" t="str">
        <f>IF(H271="","",VLOOKUP(H271,DB!A:B,2,0))</f>
        <v>openGear X</v>
      </c>
      <c r="J271" s="6">
        <v>5.0</v>
      </c>
      <c r="K271" s="6" t="s">
        <v>108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6" t="s">
        <v>182</v>
      </c>
      <c r="B272" s="6" t="str">
        <f>IF(A272="","",VLOOKUP(A272,DB!A:B,2,0))</f>
        <v>openGear X</v>
      </c>
      <c r="C272" s="6">
        <v>1.0</v>
      </c>
      <c r="D272" s="6" t="s">
        <v>316</v>
      </c>
      <c r="E272" s="6" t="s">
        <v>410</v>
      </c>
      <c r="F272" s="6" t="s">
        <v>242</v>
      </c>
      <c r="G272" s="6" t="s">
        <v>403</v>
      </c>
      <c r="H272" s="6" t="s">
        <v>183</v>
      </c>
      <c r="I272" s="5" t="str">
        <f>IF(H272="","",VLOOKUP(H272,DB!A:B,2,0))</f>
        <v>?????</v>
      </c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6" t="s">
        <v>182</v>
      </c>
      <c r="B273" s="6" t="str">
        <f>IF(A273="","",VLOOKUP(A273,DB!A:B,2,0))</f>
        <v>openGear X</v>
      </c>
      <c r="C273" s="6">
        <v>1.0</v>
      </c>
      <c r="D273" s="6" t="s">
        <v>316</v>
      </c>
      <c r="E273" s="6" t="s">
        <v>411</v>
      </c>
      <c r="F273" s="6" t="s">
        <v>242</v>
      </c>
      <c r="G273" s="6" t="s">
        <v>403</v>
      </c>
      <c r="H273" s="6" t="s">
        <v>348</v>
      </c>
      <c r="I273" s="5" t="str">
        <f>IF(H273="","",VLOOKUP(H273,DB!A:B,2,0))</f>
        <v>VIDEObit 3G-LINK-TD</v>
      </c>
      <c r="J273" s="6"/>
      <c r="K273" s="6" t="s">
        <v>70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6" t="s">
        <v>182</v>
      </c>
      <c r="B274" s="6" t="str">
        <f>IF(A274="","",VLOOKUP(A274,DB!A:B,2,0))</f>
        <v>openGear X</v>
      </c>
      <c r="C274" s="6">
        <v>1.0</v>
      </c>
      <c r="D274" s="6" t="s">
        <v>316</v>
      </c>
      <c r="E274" s="6" t="s">
        <v>412</v>
      </c>
      <c r="F274" s="6" t="s">
        <v>242</v>
      </c>
      <c r="G274" s="6" t="s">
        <v>403</v>
      </c>
      <c r="H274" s="6" t="s">
        <v>90</v>
      </c>
      <c r="I274" s="5" t="str">
        <f>IF(H274="","",VLOOKUP(H274,DB!A:B,2,0))</f>
        <v/>
      </c>
      <c r="J274" s="6"/>
      <c r="K274" s="6"/>
      <c r="L274" s="5"/>
      <c r="M274" s="6" t="s">
        <v>213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dxfId="0" priority="1" operator="equal">
      <formula>"N/D"</formula>
    </cfRule>
  </conditionalFormatting>
  <conditionalFormatting sqref="A1:AB500">
    <cfRule type="cellIs" dxfId="1" priority="2" operator="equal">
      <formula>"N/C"</formula>
    </cfRule>
  </conditionalFormatting>
  <conditionalFormatting sqref="A1:AB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4" t="s">
        <v>413</v>
      </c>
      <c r="B1" s="15" t="s">
        <v>414</v>
      </c>
      <c r="C1" s="16" t="s">
        <v>415</v>
      </c>
      <c r="D1" s="17" t="s">
        <v>416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417</v>
      </c>
      <c r="B2" s="7" t="s">
        <v>418</v>
      </c>
      <c r="C2" s="18" t="s">
        <v>419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420</v>
      </c>
      <c r="C3" s="18" t="s">
        <v>421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192</v>
      </c>
      <c r="B4" s="7" t="s">
        <v>422</v>
      </c>
      <c r="C4" s="18" t="s">
        <v>423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194</v>
      </c>
      <c r="B5" s="7" t="s">
        <v>424</v>
      </c>
      <c r="C5" s="18" t="s">
        <v>425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426</v>
      </c>
      <c r="C6" s="19" t="s">
        <v>183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427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428</v>
      </c>
      <c r="B9" s="7" t="s">
        <v>429</v>
      </c>
      <c r="C9" s="18" t="s">
        <v>430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74</v>
      </c>
      <c r="B10" s="7" t="s">
        <v>431</v>
      </c>
      <c r="C10" s="18" t="s">
        <v>432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433</v>
      </c>
      <c r="C11" s="18" t="s">
        <v>434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435</v>
      </c>
      <c r="C12" s="18" t="s">
        <v>436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437</v>
      </c>
      <c r="B14" s="11" t="s">
        <v>438</v>
      </c>
      <c r="C14" s="19" t="s">
        <v>183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439</v>
      </c>
      <c r="B15" s="7" t="s">
        <v>440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</v>
      </c>
      <c r="B16" s="7" t="s">
        <v>441</v>
      </c>
      <c r="C16" s="18" t="s">
        <v>442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50</v>
      </c>
      <c r="B17" s="7" t="s">
        <v>443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</v>
      </c>
      <c r="B18" s="7" t="s">
        <v>444</v>
      </c>
      <c r="C18" s="19" t="s">
        <v>183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445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445</v>
      </c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370</v>
      </c>
      <c r="B22" s="11" t="s">
        <v>446</v>
      </c>
      <c r="C22" s="19" t="s">
        <v>447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372</v>
      </c>
      <c r="B23" s="11" t="s">
        <v>448</v>
      </c>
      <c r="C23" s="19" t="s">
        <v>449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450</v>
      </c>
      <c r="B24" s="7"/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451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452</v>
      </c>
      <c r="B27" s="7" t="s">
        <v>453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454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454</v>
      </c>
      <c r="C29" s="19" t="s">
        <v>183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455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202</v>
      </c>
      <c r="B31" s="7" t="s">
        <v>456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457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362</v>
      </c>
      <c r="B33" s="7" t="s">
        <v>453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186</v>
      </c>
      <c r="B34" s="7" t="s">
        <v>457</v>
      </c>
      <c r="C34" s="18" t="s">
        <v>458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393</v>
      </c>
      <c r="B35" s="7" t="s">
        <v>459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69</v>
      </c>
      <c r="B36" s="7" t="s">
        <v>460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461</v>
      </c>
      <c r="C37" s="19" t="s">
        <v>183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461</v>
      </c>
      <c r="C38" s="18" t="s">
        <v>462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388</v>
      </c>
      <c r="B39" s="7" t="s">
        <v>463</v>
      </c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391</v>
      </c>
      <c r="B40" s="7" t="s">
        <v>464</v>
      </c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465</v>
      </c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466</v>
      </c>
      <c r="B43" s="7" t="s">
        <v>467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468</v>
      </c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469</v>
      </c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470</v>
      </c>
      <c r="C46" s="18" t="s">
        <v>471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472</v>
      </c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473</v>
      </c>
      <c r="B49" s="7" t="s">
        <v>474</v>
      </c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475</v>
      </c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476</v>
      </c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477</v>
      </c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478</v>
      </c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479</v>
      </c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480</v>
      </c>
      <c r="C55" s="19" t="s">
        <v>183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382</v>
      </c>
      <c r="B56" s="7" t="s">
        <v>481</v>
      </c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482</v>
      </c>
      <c r="B58" s="11"/>
      <c r="C58" s="18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8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369</v>
      </c>
      <c r="B60" s="6" t="s">
        <v>483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484</v>
      </c>
      <c r="B61" s="11" t="s">
        <v>485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486</v>
      </c>
      <c r="B62" s="11" t="s">
        <v>487</v>
      </c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348</v>
      </c>
      <c r="B63" s="11" t="s">
        <v>488</v>
      </c>
      <c r="C63" s="18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489</v>
      </c>
      <c r="B64" s="7"/>
      <c r="C64" s="18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182</v>
      </c>
      <c r="B65" s="7" t="s">
        <v>457</v>
      </c>
      <c r="C65" s="18" t="s">
        <v>490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209</v>
      </c>
      <c r="B67" s="6" t="s">
        <v>491</v>
      </c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492</v>
      </c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493</v>
      </c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258</v>
      </c>
      <c r="B71" s="7" t="s">
        <v>494</v>
      </c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385</v>
      </c>
      <c r="B72" s="7" t="s">
        <v>495</v>
      </c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351</v>
      </c>
      <c r="B73" s="7" t="s">
        <v>496</v>
      </c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347</v>
      </c>
      <c r="B75" s="7" t="s">
        <v>497</v>
      </c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354</v>
      </c>
      <c r="B76" s="7" t="s">
        <v>498</v>
      </c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349</v>
      </c>
      <c r="B77" s="7" t="s">
        <v>499</v>
      </c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375</v>
      </c>
      <c r="B78" s="7" t="s">
        <v>500</v>
      </c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501</v>
      </c>
      <c r="B79" s="7" t="s">
        <v>502</v>
      </c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378</v>
      </c>
      <c r="B80" s="7" t="s">
        <v>503</v>
      </c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149</v>
      </c>
      <c r="B81" s="7" t="s">
        <v>504</v>
      </c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350</v>
      </c>
      <c r="B82" s="7" t="s">
        <v>505</v>
      </c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380</v>
      </c>
      <c r="B83" s="7" t="s">
        <v>506</v>
      </c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507</v>
      </c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374</v>
      </c>
      <c r="B85" s="11" t="s">
        <v>508</v>
      </c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509</v>
      </c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183</v>
      </c>
      <c r="B89" s="11" t="s">
        <v>510</v>
      </c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346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343</v>
      </c>
      <c r="B94" s="6" t="s">
        <v>344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340</v>
      </c>
      <c r="B95" s="6" t="s">
        <v>341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511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512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49")</f>
        <v>Out 49</v>
      </c>
      <c r="F3" s="5"/>
      <c r="G3" s="5"/>
      <c r="H3" s="5" t="str">
        <f>IFERROR(__xludf.DUMMYFUNCTION("""COMPUTED_VALUE"""),"D.7")</f>
        <v>D.7</v>
      </c>
      <c r="I3" s="5" t="str">
        <f>IFERROR(__xludf.DUMMYFUNCTION("""COMPUTED_VALUE"""),"openGear X")</f>
        <v>openGear X</v>
      </c>
      <c r="J3" s="5">
        <f>IFERROR(__xludf.DUMMYFUNCTION("""COMPUTED_VALUE"""),9.0)</f>
        <v>9</v>
      </c>
      <c r="K3" s="5" t="str">
        <f>IFERROR(__xludf.DUMMYFUNCTION("""COMPUTED_VALUE"""),"J2 (in)")</f>
        <v>J2 (in)</v>
      </c>
      <c r="L3" s="5" t="str">
        <f>IFERROR(__xludf.DUMMYFUNCTION("""COMPUTED_VALUE"""),"MON PISO")</f>
        <v>MON PISO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IFERROR(__xludf.DUMMYFUNCTION("""COMPUTED_VALUE"""),"C.4")</f>
        <v>C.4</v>
      </c>
      <c r="B4" s="5" t="str">
        <f>IFERROR(__xludf.DUMMYFUNCTION("""COMPUTED_VALUE"""),"Blackmagic Multiview 16")</f>
        <v>Blackmagic Multiview 16</v>
      </c>
      <c r="C4" s="5"/>
      <c r="D4" s="5"/>
      <c r="E4" s="5" t="str">
        <f>IFERROR(__xludf.DUMMYFUNCTION("""COMPUTED_VALUE"""),"Out 13")</f>
        <v>Out 13</v>
      </c>
      <c r="F4" s="5" t="str">
        <f>IFERROR(__xludf.DUMMYFUNCTION("""COMPUTED_VALUE"""),"T")</f>
        <v>T</v>
      </c>
      <c r="G4" s="5" t="str">
        <f>IFERROR(__xludf.DUMMYFUNCTION("""COMPUTED_VALUE"""),"In 13")</f>
        <v>In 13</v>
      </c>
      <c r="H4" s="5" t="str">
        <f>IFERROR(__xludf.DUMMYFUNCTION("""COMPUTED_VALUE"""),"D.7")</f>
        <v>D.7</v>
      </c>
      <c r="I4" s="5" t="str">
        <f>IFERROR(__xludf.DUMMYFUNCTION("""COMPUTED_VALUE"""),"openGear X")</f>
        <v>openGear X</v>
      </c>
      <c r="J4" s="5">
        <f>IFERROR(__xludf.DUMMYFUNCTION("""COMPUTED_VALUE"""),4.0)</f>
        <v>4</v>
      </c>
      <c r="K4" s="5" t="str">
        <f>IFERROR(__xludf.DUMMYFUNCTION("""COMPUTED_VALUE"""),"SDI In")</f>
        <v>SDI In</v>
      </c>
      <c r="L4" s="5" t="str">
        <f>IFERROR(__xludf.DUMMYFUNCTION("""COMPUTED_VALUE"""),"Source 13")</f>
        <v>Source 13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IFERROR(__xludf.DUMMYFUNCTION("""COMPUTED_VALUE"""),"C.4")</f>
        <v>C.4</v>
      </c>
      <c r="B5" s="5" t="str">
        <f>IFERROR(__xludf.DUMMYFUNCTION("""COMPUTED_VALUE"""),"Blackmagic Multiview 16")</f>
        <v>Blackmagic Multiview 16</v>
      </c>
      <c r="C5" s="5"/>
      <c r="D5" s="5"/>
      <c r="E5" s="5" t="str">
        <f>IFERROR(__xludf.DUMMYFUNCTION("""COMPUTED_VALUE"""),"Out 14")</f>
        <v>Out 14</v>
      </c>
      <c r="F5" s="5" t="str">
        <f>IFERROR(__xludf.DUMMYFUNCTION("""COMPUTED_VALUE"""),"T")</f>
        <v>T</v>
      </c>
      <c r="G5" s="5" t="str">
        <f>IFERROR(__xludf.DUMMYFUNCTION("""COMPUTED_VALUE"""),"In 14")</f>
        <v>In 14</v>
      </c>
      <c r="H5" s="5" t="str">
        <f>IFERROR(__xludf.DUMMYFUNCTION("""COMPUTED_VALUE"""),"D.7")</f>
        <v>D.7</v>
      </c>
      <c r="I5" s="5" t="str">
        <f>IFERROR(__xludf.DUMMYFUNCTION("""COMPUTED_VALUE"""),"openGear X")</f>
        <v>openGear X</v>
      </c>
      <c r="J5" s="5">
        <f>IFERROR(__xludf.DUMMYFUNCTION("""COMPUTED_VALUE"""),5.0)</f>
        <v>5</v>
      </c>
      <c r="K5" s="5" t="str">
        <f>IFERROR(__xludf.DUMMYFUNCTION("""COMPUTED_VALUE"""),"SDI In")</f>
        <v>SDI In</v>
      </c>
      <c r="L5" s="5" t="str">
        <f>IFERROR(__xludf.DUMMYFUNCTION("""COMPUTED_VALUE"""),"Source 14")</f>
        <v>Source 14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IFERROR(__xludf.DUMMYFUNCTION("""COMPUTED_VALUE"""),"C.4")</f>
        <v>C.4</v>
      </c>
      <c r="B6" s="5" t="str">
        <f>IFERROR(__xludf.DUMMYFUNCTION("""COMPUTED_VALUE"""),"Blackmagic Multiview 16")</f>
        <v>Blackmagic Multiview 16</v>
      </c>
      <c r="C6" s="5"/>
      <c r="D6" s="5"/>
      <c r="E6" s="5" t="str">
        <f>IFERROR(__xludf.DUMMYFUNCTION("""COMPUTED_VALUE"""),"Out 15")</f>
        <v>Out 15</v>
      </c>
      <c r="F6" s="5" t="str">
        <f>IFERROR(__xludf.DUMMYFUNCTION("""COMPUTED_VALUE"""),"T")</f>
        <v>T</v>
      </c>
      <c r="G6" s="5" t="str">
        <f>IFERROR(__xludf.DUMMYFUNCTION("""COMPUTED_VALUE"""),"In 15")</f>
        <v>In 15</v>
      </c>
      <c r="H6" s="5" t="str">
        <f>IFERROR(__xludf.DUMMYFUNCTION("""COMPUTED_VALUE"""),"D.7")</f>
        <v>D.7</v>
      </c>
      <c r="I6" s="5" t="str">
        <f>IFERROR(__xludf.DUMMYFUNCTION("""COMPUTED_VALUE"""),"openGear X")</f>
        <v>openGear X</v>
      </c>
      <c r="J6" s="5">
        <f>IFERROR(__xludf.DUMMYFUNCTION("""COMPUTED_VALUE"""),6.0)</f>
        <v>6</v>
      </c>
      <c r="K6" s="5" t="str">
        <f>IFERROR(__xludf.DUMMYFUNCTION("""COMPUTED_VALUE"""),"SDI In")</f>
        <v>SDI In</v>
      </c>
      <c r="L6" s="5" t="str">
        <f>IFERROR(__xludf.DUMMYFUNCTION("""COMPUTED_VALUE"""),"Source 15")</f>
        <v>Source 15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IFERROR(__xludf.DUMMYFUNCTION("""COMPUTED_VALUE"""),"C.4")</f>
        <v>C.4</v>
      </c>
      <c r="B7" s="5" t="str">
        <f>IFERROR(__xludf.DUMMYFUNCTION("""COMPUTED_VALUE"""),"Blackmagic Multiview 16")</f>
        <v>Blackmagic Multiview 16</v>
      </c>
      <c r="C7" s="5"/>
      <c r="D7" s="5"/>
      <c r="E7" s="5" t="str">
        <f>IFERROR(__xludf.DUMMYFUNCTION("""COMPUTED_VALUE"""),"Out 16")</f>
        <v>Out 16</v>
      </c>
      <c r="F7" s="5" t="str">
        <f>IFERROR(__xludf.DUMMYFUNCTION("""COMPUTED_VALUE"""),"T")</f>
        <v>T</v>
      </c>
      <c r="G7" s="5" t="str">
        <f>IFERROR(__xludf.DUMMYFUNCTION("""COMPUTED_VALUE"""),"In 16")</f>
        <v>In 16</v>
      </c>
      <c r="H7" s="5" t="str">
        <f>IFERROR(__xludf.DUMMYFUNCTION("""COMPUTED_VALUE"""),"D.7")</f>
        <v>D.7</v>
      </c>
      <c r="I7" s="5" t="str">
        <f>IFERROR(__xludf.DUMMYFUNCTION("""COMPUTED_VALUE"""),"openGear X")</f>
        <v>openGear X</v>
      </c>
      <c r="J7" s="5">
        <f>IFERROR(__xludf.DUMMYFUNCTION("""COMPUTED_VALUE"""),7.0)</f>
        <v>7</v>
      </c>
      <c r="K7" s="5" t="str">
        <f>IFERROR(__xludf.DUMMYFUNCTION("""COMPUTED_VALUE"""),"SDI In")</f>
        <v>SDI In</v>
      </c>
      <c r="L7" s="5" t="str">
        <f>IFERROR(__xludf.DUMMYFUNCTION("""COMPUTED_VALUE"""),"Source 16")</f>
        <v>Source 16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IFERROR(__xludf.DUMMYFUNCTION("""COMPUTED_VALUE"""),"D.BACK.1")</f>
        <v>D.BACK.1</v>
      </c>
      <c r="B8" s="5" t="str">
        <f>IFERROR(__xludf.DUMMYFUNCTION("""COMPUTED_VALUE"""),"Raspberry PI 1")</f>
        <v>Raspberry PI 1</v>
      </c>
      <c r="C8" s="5"/>
      <c r="D8" s="5"/>
      <c r="E8" s="5" t="str">
        <f>IFERROR(__xludf.DUMMYFUNCTION("""COMPUTED_VALUE"""),"HDMI Out")</f>
        <v>HDMI Out</v>
      </c>
      <c r="F8" s="5"/>
      <c r="G8" s="5"/>
      <c r="H8" s="5" t="str">
        <f>IFERROR(__xludf.DUMMYFUNCTION("""COMPUTED_VALUE"""),"D.7")</f>
        <v>D.7</v>
      </c>
      <c r="I8" s="5" t="str">
        <f>IFERROR(__xludf.DUMMYFUNCTION("""COMPUTED_VALUE"""),"openGear X")</f>
        <v>openGear X</v>
      </c>
      <c r="J8" s="5">
        <f>IFERROR(__xludf.DUMMYFUNCTION("""COMPUTED_VALUE"""),1.0)</f>
        <v>1</v>
      </c>
      <c r="K8" s="5" t="str">
        <f>IFERROR(__xludf.DUMMYFUNCTION("""COMPUTED_VALUE"""),"HDMI In")</f>
        <v>HDMI In</v>
      </c>
      <c r="L8" s="5"/>
      <c r="M8" s="5" t="str">
        <f>IFERROR(__xludf.DUMMYFUNCTION("""COMPUTED_VALUE"""),"SRT La Casa del Streaming")</f>
        <v>SRT La Casa del Streaming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IFERROR(__xludf.DUMMYFUNCTION("""COMPUTED_VALUE"""),"D.BACK.2")</f>
        <v>D.BACK.2</v>
      </c>
      <c r="B9" s="5" t="str">
        <f>IFERROR(__xludf.DUMMYFUNCTION("""COMPUTED_VALUE"""),"Raspberry PI 2")</f>
        <v>Raspberry PI 2</v>
      </c>
      <c r="C9" s="5"/>
      <c r="D9" s="5"/>
      <c r="E9" s="5" t="str">
        <f>IFERROR(__xludf.DUMMYFUNCTION("""COMPUTED_VALUE"""),"HDMI Out")</f>
        <v>HDMI Out</v>
      </c>
      <c r="F9" s="5"/>
      <c r="G9" s="5"/>
      <c r="H9" s="5" t="str">
        <f>IFERROR(__xludf.DUMMYFUNCTION("""COMPUTED_VALUE"""),"D.7")</f>
        <v>D.7</v>
      </c>
      <c r="I9" s="5" t="str">
        <f>IFERROR(__xludf.DUMMYFUNCTION("""COMPUTED_VALUE"""),"openGear X")</f>
        <v>openGear X</v>
      </c>
      <c r="J9" s="5">
        <f>IFERROR(__xludf.DUMMYFUNCTION("""COMPUTED_VALUE"""),2.0)</f>
        <v>2</v>
      </c>
      <c r="K9" s="5" t="str">
        <f>IFERROR(__xludf.DUMMYFUNCTION("""COMPUTED_VALUE"""),"HDMI In")</f>
        <v>HDMI In</v>
      </c>
      <c r="L9" s="5"/>
      <c r="M9" s="5" t="str">
        <f>IFERROR(__xludf.DUMMYFUNCTION("""COMPUTED_VALUE"""),"SRT Mochila LiveU Posadas")</f>
        <v>SRT Mochila LiveU Posadas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IFERROR(__xludf.DUMMYFUNCTION("""COMPUTED_VALUE"""),"N/C")</f>
        <v>N/C</v>
      </c>
      <c r="B10" s="5"/>
      <c r="C10" s="5"/>
      <c r="D10" s="5"/>
      <c r="E10" s="5"/>
      <c r="F10" s="5"/>
      <c r="G10" s="5"/>
      <c r="H10" s="5" t="str">
        <f>IFERROR(__xludf.DUMMYFUNCTION("""COMPUTED_VALUE"""),"D.7")</f>
        <v>D.7</v>
      </c>
      <c r="I10" s="5" t="str">
        <f>IFERROR(__xludf.DUMMYFUNCTION("""COMPUTED_VALUE"""),"openGear X")</f>
        <v>openGear X</v>
      </c>
      <c r="J10" s="5">
        <f>IFERROR(__xludf.DUMMYFUNCTION("""COMPUTED_VALUE"""),3.0)</f>
        <v>3</v>
      </c>
      <c r="K10" s="5" t="str">
        <f>IFERROR(__xludf.DUMMYFUNCTION("""COMPUTED_VALUE"""),"HDMI In")</f>
        <v>HDMI In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