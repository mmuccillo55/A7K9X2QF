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<sst xmlns="http://schemas.openxmlformats.org/spreadsheetml/2006/main" count="1755" uniqueCount="533">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</sst>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90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244</v>
      </c>
      <c r="G91" s="6" t="s">
        <v>245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246</v>
      </c>
      <c r="M91" s="6" t="s">
        <v>247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244</v>
      </c>
      <c r="G92" s="6" t="s">
        <v>245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248</v>
      </c>
      <c r="M92" s="6" t="s">
        <v>249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244</v>
      </c>
      <c r="G93" s="6" t="s">
        <v>245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251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244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244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244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244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244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244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244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90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90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90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301</v>
      </c>
      <c r="M118" s="6" t="s">
        <v>302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90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303</v>
      </c>
      <c r="M119" s="6" t="s">
        <v>304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305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306</v>
      </c>
      <c r="M120" s="6" t="s">
        <v>307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308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309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90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310</v>
      </c>
      <c r="M123" s="6" t="s">
        <v>167</v>
      </c>
      <c r="N123" s="6" t="s">
        <v>168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311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312</v>
      </c>
      <c r="M124" s="6" t="s">
        <v>313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314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315</v>
      </c>
      <c r="M125" s="6" t="s">
        <v>316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317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318</v>
      </c>
      <c r="E127" s="6" t="s">
        <v>319</v>
      </c>
      <c r="F127" s="6" t="s">
        <v>244</v>
      </c>
      <c r="G127" s="6" t="s">
        <v>320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321</v>
      </c>
      <c r="M127" s="6" t="s">
        <v>322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323</v>
      </c>
      <c r="M128" s="6" t="s">
        <v>324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325</v>
      </c>
      <c r="M129" s="6" t="s">
        <v>326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327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244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330</v>
      </c>
      <c r="L136" s="6" t="s">
        <v>108</v>
      </c>
      <c r="M136" s="6" t="s">
        <v>331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244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330</v>
      </c>
      <c r="L137" s="6" t="s">
        <v>108</v>
      </c>
      <c r="M137" s="6" t="s">
        <v>332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244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330</v>
      </c>
      <c r="L138" s="6" t="s">
        <v>108</v>
      </c>
      <c r="M138" s="6" t="s">
        <v>333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244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330</v>
      </c>
      <c r="L139" s="6" t="s">
        <v>108</v>
      </c>
      <c r="M139" s="6" t="s">
        <v>334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336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337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340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341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244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342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244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244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244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244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244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244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244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244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244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244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244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244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244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244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244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244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244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244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244</v>
      </c>
      <c r="G168" s="6" t="s">
        <v>18</v>
      </c>
      <c r="H168" s="6" t="s">
        <v>343</v>
      </c>
      <c r="I168" s="5" t="str">
        <f>IF(H168="","",VLOOKUP(H168,DB!A:B,2,0))</f>
        <v>Monitor Pvw TX</v>
      </c>
      <c r="J168" s="5"/>
      <c r="K168" s="6"/>
      <c r="L168" s="6" t="s">
        <v>245</v>
      </c>
      <c r="M168" s="5"/>
      <c r="N168" s="5"/>
      <c r="O168" s="6" t="s">
        <v>344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244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244</v>
      </c>
      <c r="G170" s="6" t="s">
        <v>25</v>
      </c>
      <c r="H170" s="6" t="s">
        <v>345</v>
      </c>
      <c r="I170" s="5" t="str">
        <f>IF(H170="","",VLOOKUP(H170,DB!A:B,2,0))</f>
        <v>Monitor Linea TX</v>
      </c>
      <c r="J170" s="5"/>
      <c r="K170" s="6"/>
      <c r="L170" s="6" t="s">
        <v>245</v>
      </c>
      <c r="M170" s="5"/>
      <c r="N170" s="5"/>
      <c r="O170" s="6" t="s">
        <v>344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244</v>
      </c>
      <c r="G171" s="6" t="s">
        <v>28</v>
      </c>
      <c r="H171" s="6" t="s">
        <v>346</v>
      </c>
      <c r="I171" s="5" t="str">
        <f>IF(H171="","",VLOOKUP(H171,DB!A:B,2,0))</f>
        <v>Monitor MV TX</v>
      </c>
      <c r="J171" s="5"/>
      <c r="K171" s="6"/>
      <c r="L171" s="6" t="s">
        <v>245</v>
      </c>
      <c r="M171" s="5"/>
      <c r="N171" s="5"/>
      <c r="O171" s="6" t="s">
        <v>344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244</v>
      </c>
      <c r="G172" s="6" t="s">
        <v>31</v>
      </c>
      <c r="H172" s="6" t="s">
        <v>347</v>
      </c>
      <c r="I172" s="5" t="str">
        <f>IF(H172="","",VLOOKUP(H172,DB!A:B,2,0))</f>
        <v>Monitor Sonidista</v>
      </c>
      <c r="J172" s="5"/>
      <c r="K172" s="6"/>
      <c r="L172" s="6" t="s">
        <v>245</v>
      </c>
      <c r="M172" s="5"/>
      <c r="N172" s="5"/>
      <c r="O172" s="6" t="s">
        <v>344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244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244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244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244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244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244</v>
      </c>
      <c r="G178" s="6" t="s">
        <v>50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244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244</v>
      </c>
      <c r="G180" s="6" t="s">
        <v>56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245</v>
      </c>
      <c r="M180" s="5"/>
      <c r="N180" s="5"/>
      <c r="O180" s="6" t="s">
        <v>344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244</v>
      </c>
      <c r="G181" s="6" t="s">
        <v>59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245</v>
      </c>
      <c r="M181" s="5"/>
      <c r="N181" s="5"/>
      <c r="O181" s="6" t="s">
        <v>344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244</v>
      </c>
      <c r="G182" s="6" t="s">
        <v>62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245</v>
      </c>
      <c r="M182" s="5"/>
      <c r="N182" s="5"/>
      <c r="O182" s="6" t="s">
        <v>344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244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244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318</v>
      </c>
      <c r="L185" s="6" t="s">
        <v>320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330</v>
      </c>
      <c r="E186" s="6" t="s">
        <v>207</v>
      </c>
      <c r="F186" s="6" t="s">
        <v>244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330</v>
      </c>
      <c r="E187" s="6" t="s">
        <v>352</v>
      </c>
      <c r="F187" s="6" t="s">
        <v>244</v>
      </c>
      <c r="G187" s="6" t="s">
        <v>108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330</v>
      </c>
      <c r="E188" s="6" t="s">
        <v>355</v>
      </c>
      <c r="F188" s="6" t="s">
        <v>244</v>
      </c>
      <c r="G188" s="6" t="s">
        <v>108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330</v>
      </c>
      <c r="E189" s="6" t="s">
        <v>207</v>
      </c>
      <c r="F189" s="6" t="s">
        <v>244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330</v>
      </c>
      <c r="E190" s="6" t="s">
        <v>352</v>
      </c>
      <c r="F190" s="6" t="s">
        <v>244</v>
      </c>
      <c r="G190" s="6" t="s">
        <v>108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330</v>
      </c>
      <c r="E191" s="6" t="s">
        <v>355</v>
      </c>
      <c r="F191" s="6" t="s">
        <v>244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330</v>
      </c>
      <c r="E192" s="6" t="s">
        <v>207</v>
      </c>
      <c r="F192" s="6" t="s">
        <v>244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330</v>
      </c>
      <c r="E193" s="6" t="s">
        <v>352</v>
      </c>
      <c r="F193" s="6" t="s">
        <v>244</v>
      </c>
      <c r="G193" s="6" t="s">
        <v>108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330</v>
      </c>
      <c r="E194" s="6" t="s">
        <v>355</v>
      </c>
      <c r="F194" s="6" t="s">
        <v>244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330</v>
      </c>
      <c r="E195" s="6" t="s">
        <v>207</v>
      </c>
      <c r="F195" s="6" t="s">
        <v>244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330</v>
      </c>
      <c r="E196" s="6" t="s">
        <v>352</v>
      </c>
      <c r="F196" s="6" t="s">
        <v>244</v>
      </c>
      <c r="G196" s="6" t="s">
        <v>108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330</v>
      </c>
      <c r="E197" s="6" t="s">
        <v>355</v>
      </c>
      <c r="F197" s="6" t="s">
        <v>244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244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330</v>
      </c>
      <c r="E199" s="6" t="s">
        <v>352</v>
      </c>
      <c r="F199" s="6" t="s">
        <v>244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330</v>
      </c>
      <c r="E200" s="6" t="s">
        <v>355</v>
      </c>
      <c r="F200" s="6" t="s">
        <v>244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360</v>
      </c>
      <c r="F201" s="6" t="s">
        <v>244</v>
      </c>
      <c r="G201" s="6" t="s">
        <v>147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362</v>
      </c>
      <c r="F202" s="6" t="s">
        <v>244</v>
      </c>
      <c r="G202" s="6" t="s">
        <v>147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364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244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318</v>
      </c>
      <c r="E213" s="6" t="s">
        <v>368</v>
      </c>
      <c r="F213" s="6" t="s">
        <v>244</v>
      </c>
      <c r="G213" s="6" t="s">
        <v>320</v>
      </c>
      <c r="H213" s="6" t="s">
        <v>369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261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243</v>
      </c>
      <c r="L214" s="6" t="s">
        <v>245</v>
      </c>
      <c r="M214" s="5"/>
      <c r="N214" s="6" t="s">
        <v>371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261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243</v>
      </c>
      <c r="L215" s="6" t="s">
        <v>245</v>
      </c>
      <c r="M215" s="5"/>
      <c r="N215" s="6" t="s">
        <v>373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261</v>
      </c>
      <c r="F216" s="5"/>
      <c r="G216" s="5"/>
      <c r="H216" s="6" t="s">
        <v>265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264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376</v>
      </c>
      <c r="F217" s="5"/>
      <c r="G217" s="5"/>
      <c r="H217" s="6" t="s">
        <v>265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280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254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280</v>
      </c>
      <c r="B219" s="6" t="str">
        <f>IF(A219="","",VLOOKUP(A219,DB!A:B,2,0))</f>
        <v>Sony HXCU-100 Cam 1</v>
      </c>
      <c r="C219" s="5"/>
      <c r="D219" s="5"/>
      <c r="E219" s="6" t="s">
        <v>311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283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254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283</v>
      </c>
      <c r="B221" s="6" t="str">
        <f>IF(A221="","",VLOOKUP(A221,DB!A:B,2,0))</f>
        <v>Sony HXCU-100 Cam 2</v>
      </c>
      <c r="C221" s="5"/>
      <c r="D221" s="5"/>
      <c r="E221" s="6" t="s">
        <v>311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286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254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286</v>
      </c>
      <c r="B223" s="6" t="str">
        <f>IF(A223="","",VLOOKUP(A223,DB!A:B,2,0))</f>
        <v>Sony HXCU-100 Cam 3</v>
      </c>
      <c r="C223" s="5"/>
      <c r="D223" s="5"/>
      <c r="E223" s="6" t="s">
        <v>311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289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254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289</v>
      </c>
      <c r="B225" s="6" t="str">
        <f>IF(A225="","",VLOOKUP(A225,DB!A:B,2,0))</f>
        <v>Sony HXCU-100 Cam 4</v>
      </c>
      <c r="C225" s="5"/>
      <c r="D225" s="5"/>
      <c r="E225" s="6" t="s">
        <v>311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/>
      <c r="L226" s="6" t="s">
        <v>245</v>
      </c>
      <c r="M226" s="5"/>
      <c r="N226" s="5"/>
      <c r="O226" s="6" t="s">
        <v>344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/>
      <c r="L227" s="6" t="s">
        <v>245</v>
      </c>
      <c r="M227" s="5"/>
      <c r="N227" s="5"/>
      <c r="O227" s="6" t="s">
        <v>381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244</v>
      </c>
      <c r="G229" s="6" t="s">
        <v>108</v>
      </c>
      <c r="H229" s="6" t="s">
        <v>280</v>
      </c>
      <c r="I229" s="5" t="str">
        <f>IF(H229="","",VLOOKUP(H229,DB!A:B,2,0))</f>
        <v>Sony HXCU-100 Cam 1</v>
      </c>
      <c r="J229" s="5"/>
      <c r="K229" s="6"/>
      <c r="L229" s="6" t="s">
        <v>384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244</v>
      </c>
      <c r="G230" s="6" t="s">
        <v>108</v>
      </c>
      <c r="H230" s="6" t="s">
        <v>283</v>
      </c>
      <c r="I230" s="5" t="str">
        <f>IF(H230="","",VLOOKUP(H230,DB!A:B,2,0))</f>
        <v>Sony HXCU-100 Cam 2</v>
      </c>
      <c r="J230" s="5"/>
      <c r="K230" s="6"/>
      <c r="L230" s="6" t="s">
        <v>384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311</v>
      </c>
      <c r="F231" s="6" t="s">
        <v>244</v>
      </c>
      <c r="G231" s="6" t="s">
        <v>108</v>
      </c>
      <c r="H231" s="6" t="s">
        <v>286</v>
      </c>
      <c r="I231" s="5" t="str">
        <f>IF(H231="","",VLOOKUP(H231,DB!A:B,2,0))</f>
        <v>Sony HXCU-100 Cam 3</v>
      </c>
      <c r="J231" s="5"/>
      <c r="K231" s="6"/>
      <c r="L231" s="6" t="s">
        <v>384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314</v>
      </c>
      <c r="F232" s="6" t="s">
        <v>244</v>
      </c>
      <c r="G232" s="6" t="s">
        <v>108</v>
      </c>
      <c r="H232" s="6" t="s">
        <v>289</v>
      </c>
      <c r="I232" s="5" t="str">
        <f>IF(H232="","",VLOOKUP(H232,DB!A:B,2,0))</f>
        <v>Sony HXCU-100 Cam 4</v>
      </c>
      <c r="J232" s="5"/>
      <c r="K232" s="6"/>
      <c r="L232" s="6" t="s">
        <v>384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265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265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265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265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265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243</v>
      </c>
      <c r="L249" s="6" t="s">
        <v>245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/>
      <c r="L250" s="6" t="s">
        <v>389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/>
      <c r="L251" s="6" t="s">
        <v>392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395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241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397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241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398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244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399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398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244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399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398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244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399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398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244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399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398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244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399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398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244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399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398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244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400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398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244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401</v>
      </c>
      <c r="F263" s="5"/>
      <c r="G263" s="5"/>
      <c r="H263" s="6" t="s">
        <v>353</v>
      </c>
      <c r="I263" s="5" t="str">
        <f>IF(H263="","",VLOOKUP(H263,DB!A:B,2,0))</f>
        <v>Yamaha QL5</v>
      </c>
      <c r="J263" s="6"/>
      <c r="K263" s="6"/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318</v>
      </c>
      <c r="L264" s="6" t="s">
        <v>320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318</v>
      </c>
      <c r="E265" s="6" t="s">
        <v>403</v>
      </c>
      <c r="F265" s="6" t="s">
        <v>244</v>
      </c>
      <c r="G265" s="6" t="s">
        <v>320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318</v>
      </c>
      <c r="E266" s="6" t="s">
        <v>404</v>
      </c>
      <c r="F266" s="6" t="s">
        <v>244</v>
      </c>
      <c r="G266" s="6" t="s">
        <v>320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318</v>
      </c>
      <c r="E267" s="6" t="s">
        <v>405</v>
      </c>
      <c r="F267" s="6" t="s">
        <v>244</v>
      </c>
      <c r="G267" s="6" t="s">
        <v>320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318</v>
      </c>
      <c r="E268" s="6" t="s">
        <v>406</v>
      </c>
      <c r="F268" s="6" t="s">
        <v>244</v>
      </c>
      <c r="G268" s="6" t="s">
        <v>320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318</v>
      </c>
      <c r="E269" s="6" t="s">
        <v>407</v>
      </c>
      <c r="F269" s="6" t="s">
        <v>244</v>
      </c>
      <c r="G269" s="6" t="s">
        <v>320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318</v>
      </c>
      <c r="E270" s="6" t="s">
        <v>408</v>
      </c>
      <c r="F270" s="6" t="s">
        <v>244</v>
      </c>
      <c r="G270" s="6" t="s">
        <v>320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318</v>
      </c>
      <c r="E271" s="6" t="s">
        <v>409</v>
      </c>
      <c r="F271" s="6" t="s">
        <v>244</v>
      </c>
      <c r="G271" s="6" t="s">
        <v>320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318</v>
      </c>
      <c r="E272" s="6" t="s">
        <v>410</v>
      </c>
      <c r="F272" s="6" t="s">
        <v>244</v>
      </c>
      <c r="G272" s="6" t="s">
        <v>320</v>
      </c>
      <c r="H272" s="6" t="s">
        <v>348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318</v>
      </c>
      <c r="E273" s="6" t="s">
        <v>411</v>
      </c>
      <c r="F273" s="6" t="s">
        <v>244</v>
      </c>
      <c r="G273" s="6" t="s">
        <v>320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412</v>
      </c>
      <c r="B274" s="6" t="str">
        <f>IF(A274="","",VLOOKUP(A274,DB!A:B,2,0))</f>
        <v>Leader Sync Generator</v>
      </c>
      <c r="C274" s="5"/>
      <c r="D274" s="6"/>
      <c r="E274" s="6" t="s">
        <v>413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412</v>
      </c>
      <c r="B275" s="6" t="str">
        <f>IF(A275="","",VLOOKUP(A275,DB!A:B,2,0))</f>
        <v>Leader Sync Generator</v>
      </c>
      <c r="C275" s="5"/>
      <c r="D275" s="6"/>
      <c r="E275" s="6" t="s">
        <v>414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399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412</v>
      </c>
      <c r="B276" s="6" t="str">
        <f>IF(A276="","",VLOOKUP(A276,DB!A:B,2,0))</f>
        <v>Leader Sync Generator</v>
      </c>
      <c r="C276" s="5"/>
      <c r="D276" s="6"/>
      <c r="E276" s="6" t="s">
        <v>415</v>
      </c>
      <c r="F276" s="5"/>
      <c r="G276" s="5"/>
      <c r="H276" s="6" t="s">
        <v>416</v>
      </c>
      <c r="I276" s="5" t="str">
        <f>IF(H276="","",VLOOKUP(H276,DB!A:B,2,0))</f>
        <v>Miranda Densite3</v>
      </c>
      <c r="J276" s="6">
        <v>7.0</v>
      </c>
      <c r="K276" s="6" t="s">
        <v>417</v>
      </c>
      <c r="L276" s="6" t="s">
        <v>392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412</v>
      </c>
      <c r="B277" s="6" t="str">
        <f>IF(A277="","",VLOOKUP(A277,DB!A:B,2,0))</f>
        <v>Leader Sync Generator</v>
      </c>
      <c r="C277" s="5"/>
      <c r="D277" s="6"/>
      <c r="E277" s="6" t="s">
        <v>418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412</v>
      </c>
      <c r="B278" s="6" t="str">
        <f>IF(A278="","",VLOOKUP(A278,DB!A:B,2,0))</f>
        <v>Leader Sync Generator</v>
      </c>
      <c r="C278" s="5"/>
      <c r="D278" s="6"/>
      <c r="E278" s="6" t="s">
        <v>419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412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416</v>
      </c>
      <c r="B280" s="6" t="str">
        <f>IF(A280="","",VLOOKUP(A280,DB!A:B,2,0))</f>
        <v>Miranda Densite3</v>
      </c>
      <c r="C280" s="6">
        <v>7.0</v>
      </c>
      <c r="D280" s="6" t="s">
        <v>417</v>
      </c>
      <c r="E280" s="6" t="s">
        <v>421</v>
      </c>
      <c r="F280" s="6" t="s">
        <v>244</v>
      </c>
      <c r="G280" s="6" t="s">
        <v>392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416</v>
      </c>
      <c r="B281" s="6" t="str">
        <f>IF(A281="","",VLOOKUP(A281,DB!A:B,2,0))</f>
        <v>Miranda Densite3</v>
      </c>
      <c r="C281" s="6">
        <v>7.0</v>
      </c>
      <c r="D281" s="6" t="s">
        <v>417</v>
      </c>
      <c r="E281" s="6" t="s">
        <v>422</v>
      </c>
      <c r="F281" s="6" t="s">
        <v>244</v>
      </c>
      <c r="G281" s="6" t="s">
        <v>392</v>
      </c>
      <c r="H281" s="6" t="s">
        <v>398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416</v>
      </c>
      <c r="B282" s="6" t="str">
        <f>IF(A282="","",VLOOKUP(A282,DB!A:B,2,0))</f>
        <v>Miranda Densite3</v>
      </c>
      <c r="C282" s="6">
        <v>7.0</v>
      </c>
      <c r="D282" s="6" t="s">
        <v>417</v>
      </c>
      <c r="E282" s="6" t="s">
        <v>423</v>
      </c>
      <c r="F282" s="6" t="s">
        <v>244</v>
      </c>
      <c r="G282" s="6" t="s">
        <v>392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416</v>
      </c>
      <c r="B283" s="6" t="str">
        <f>IF(A283="","",VLOOKUP(A283,DB!A:B,2,0))</f>
        <v>Miranda Densite3</v>
      </c>
      <c r="C283" s="6">
        <v>7.0</v>
      </c>
      <c r="D283" s="6" t="s">
        <v>417</v>
      </c>
      <c r="E283" s="6" t="s">
        <v>424</v>
      </c>
      <c r="F283" s="6" t="s">
        <v>244</v>
      </c>
      <c r="G283" s="6" t="s">
        <v>392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425</v>
      </c>
      <c r="L283" s="6" t="s">
        <v>399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416</v>
      </c>
      <c r="B284" s="6" t="str">
        <f>IF(A284="","",VLOOKUP(A284,DB!A:B,2,0))</f>
        <v>Miranda Densite3</v>
      </c>
      <c r="C284" s="6">
        <v>7.0</v>
      </c>
      <c r="D284" s="6" t="s">
        <v>417</v>
      </c>
      <c r="E284" s="6" t="s">
        <v>426</v>
      </c>
      <c r="F284" s="6" t="s">
        <v>244</v>
      </c>
      <c r="G284" s="6" t="s">
        <v>392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416</v>
      </c>
      <c r="B285" s="6" t="str">
        <f>IF(A285="","",VLOOKUP(A285,DB!A:B,2,0))</f>
        <v>Miranda Densite3</v>
      </c>
      <c r="C285" s="6">
        <v>7.0</v>
      </c>
      <c r="D285" s="6" t="s">
        <v>417</v>
      </c>
      <c r="E285" s="6" t="s">
        <v>427</v>
      </c>
      <c r="F285" s="6" t="s">
        <v>244</v>
      </c>
      <c r="G285" s="6" t="s">
        <v>392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416</v>
      </c>
      <c r="B286" s="6" t="str">
        <f>IF(A286="","",VLOOKUP(A286,DB!A:B,2,0))</f>
        <v>Miranda Densite3</v>
      </c>
      <c r="C286" s="6">
        <v>7.0</v>
      </c>
      <c r="D286" s="6" t="s">
        <v>417</v>
      </c>
      <c r="E286" s="6" t="s">
        <v>428</v>
      </c>
      <c r="F286" s="6" t="s">
        <v>244</v>
      </c>
      <c r="G286" s="6" t="s">
        <v>392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416</v>
      </c>
      <c r="B287" s="6" t="str">
        <f>IF(A287="","",VLOOKUP(A287,DB!A:B,2,0))</f>
        <v>Miranda Densite3</v>
      </c>
      <c r="C287" s="6">
        <v>7.0</v>
      </c>
      <c r="D287" s="6" t="s">
        <v>417</v>
      </c>
      <c r="E287" s="6" t="s">
        <v>429</v>
      </c>
      <c r="F287" s="6" t="s">
        <v>244</v>
      </c>
      <c r="G287" s="6" t="s">
        <v>392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416</v>
      </c>
      <c r="B288" s="6" t="str">
        <f>IF(A288="","",VLOOKUP(A288,DB!A:B,2,0))</f>
        <v>Miranda Densite3</v>
      </c>
      <c r="C288" s="6">
        <v>7.0</v>
      </c>
      <c r="D288" s="6" t="s">
        <v>417</v>
      </c>
      <c r="E288" s="6" t="s">
        <v>430</v>
      </c>
      <c r="F288" s="6" t="s">
        <v>244</v>
      </c>
      <c r="G288" s="6" t="s">
        <v>392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431</v>
      </c>
      <c r="F289" s="6" t="s">
        <v>244</v>
      </c>
      <c r="G289" s="6" t="s">
        <v>399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399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280</v>
      </c>
      <c r="I290" s="5" t="str">
        <f>IF(H290="","",VLOOKUP(H290,DB!A:B,2,0))</f>
        <v>Sony HXCU-100 Cam 1</v>
      </c>
      <c r="J290" s="6"/>
      <c r="K290" s="6"/>
      <c r="L290" s="6" t="s">
        <v>399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280</v>
      </c>
      <c r="B291" s="6" t="str">
        <f>IF(A291="","",VLOOKUP(A291,DB!A:B,2,0))</f>
        <v>Sony HXCU-100 Cam 1</v>
      </c>
      <c r="C291" s="5"/>
      <c r="D291" s="6"/>
      <c r="E291" s="6" t="s">
        <v>431</v>
      </c>
      <c r="F291" s="6" t="s">
        <v>244</v>
      </c>
      <c r="G291" s="6" t="s">
        <v>399</v>
      </c>
      <c r="H291" s="6" t="s">
        <v>283</v>
      </c>
      <c r="I291" s="5" t="str">
        <f>IF(H291="","",VLOOKUP(H291,DB!A:B,2,0))</f>
        <v>Sony HXCU-100 Cam 2</v>
      </c>
      <c r="J291" s="6"/>
      <c r="K291" s="6"/>
      <c r="L291" s="6" t="s">
        <v>399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283</v>
      </c>
      <c r="B292" s="6" t="str">
        <f>IF(A292="","",VLOOKUP(A292,DB!A:B,2,0))</f>
        <v>Sony HXCU-100 Cam 2</v>
      </c>
      <c r="C292" s="5"/>
      <c r="D292" s="6"/>
      <c r="E292" s="6" t="s">
        <v>431</v>
      </c>
      <c r="F292" s="6" t="s">
        <v>244</v>
      </c>
      <c r="G292" s="6" t="s">
        <v>399</v>
      </c>
      <c r="H292" s="6" t="s">
        <v>286</v>
      </c>
      <c r="I292" s="5" t="str">
        <f>IF(H292="","",VLOOKUP(H292,DB!A:B,2,0))</f>
        <v>Sony HXCU-100 Cam 3</v>
      </c>
      <c r="J292" s="6"/>
      <c r="K292" s="6"/>
      <c r="L292" s="6" t="s">
        <v>399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286</v>
      </c>
      <c r="B293" s="6" t="str">
        <f>IF(A293="","",VLOOKUP(A293,DB!A:B,2,0))</f>
        <v>Sony HXCU-100 Cam 3</v>
      </c>
      <c r="C293" s="5"/>
      <c r="D293" s="6"/>
      <c r="E293" s="6" t="s">
        <v>431</v>
      </c>
      <c r="F293" s="6" t="s">
        <v>244</v>
      </c>
      <c r="G293" s="6" t="s">
        <v>399</v>
      </c>
      <c r="H293" s="6" t="s">
        <v>289</v>
      </c>
      <c r="I293" s="5" t="str">
        <f>IF(H293="","",VLOOKUP(H293,DB!A:B,2,0))</f>
        <v>Sony HXCU-100 Cam 4</v>
      </c>
      <c r="J293" s="6"/>
      <c r="K293" s="6"/>
      <c r="L293" s="6" t="s">
        <v>399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289</v>
      </c>
      <c r="B294" s="6" t="str">
        <f>IF(A294="","",VLOOKUP(A294,DB!A:B,2,0))</f>
        <v>Sony HXCU-100 Cam 4</v>
      </c>
      <c r="C294" s="5"/>
      <c r="D294" s="6"/>
      <c r="E294" s="6" t="s">
        <v>431</v>
      </c>
      <c r="F294" s="6" t="s">
        <v>244</v>
      </c>
      <c r="G294" s="6" t="s">
        <v>399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399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432</v>
      </c>
      <c r="B1" s="16" t="s">
        <v>433</v>
      </c>
      <c r="C1" s="17" t="s">
        <v>434</v>
      </c>
      <c r="D1" s="18" t="s">
        <v>435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436</v>
      </c>
      <c r="B2" s="7" t="s">
        <v>437</v>
      </c>
      <c r="C2" s="19" t="s">
        <v>438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439</v>
      </c>
      <c r="C3" s="19" t="s">
        <v>440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441</v>
      </c>
      <c r="C4" s="19" t="s">
        <v>442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443</v>
      </c>
      <c r="C5" s="19" t="s">
        <v>444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445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398</v>
      </c>
      <c r="B7" s="11" t="s">
        <v>446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447</v>
      </c>
      <c r="B9" s="7" t="s">
        <v>448</v>
      </c>
      <c r="C9" s="19" t="s">
        <v>449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450</v>
      </c>
      <c r="C10" s="19" t="s">
        <v>451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452</v>
      </c>
      <c r="C11" s="19" t="s">
        <v>453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454</v>
      </c>
      <c r="C12" s="19" t="s">
        <v>455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412</v>
      </c>
      <c r="B14" s="11" t="s">
        <v>456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416</v>
      </c>
      <c r="B15" s="7" t="s">
        <v>457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458</v>
      </c>
      <c r="C16" s="19" t="s">
        <v>459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460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461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462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462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463</v>
      </c>
      <c r="C22" s="20" t="s">
        <v>464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465</v>
      </c>
      <c r="C23" s="20" t="s">
        <v>466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467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468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469</v>
      </c>
      <c r="B27" s="7" t="s">
        <v>470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471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471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472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473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474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470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474</v>
      </c>
      <c r="C34" s="19" t="s">
        <v>475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476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477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478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478</v>
      </c>
      <c r="C38" s="19" t="s">
        <v>479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480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481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482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483</v>
      </c>
      <c r="B43" s="7" t="s">
        <v>484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485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486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487</v>
      </c>
      <c r="C46" s="19" t="s">
        <v>488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489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490</v>
      </c>
      <c r="B49" s="7" t="s">
        <v>491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492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493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494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495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496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497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498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499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500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501</v>
      </c>
      <c r="B61" s="11" t="s">
        <v>502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503</v>
      </c>
      <c r="B62" s="11" t="s">
        <v>504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348</v>
      </c>
      <c r="B63" s="11" t="s">
        <v>505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506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474</v>
      </c>
      <c r="C65" s="19" t="s">
        <v>507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508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509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510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260</v>
      </c>
      <c r="B71" s="7" t="s">
        <v>511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512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351</v>
      </c>
      <c r="B73" s="7" t="s">
        <v>513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347</v>
      </c>
      <c r="B75" s="7" t="s">
        <v>514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353</v>
      </c>
      <c r="B76" s="7" t="s">
        <v>515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349</v>
      </c>
      <c r="B77" s="7" t="s">
        <v>516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517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518</v>
      </c>
      <c r="B79" s="7" t="s">
        <v>519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520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521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350</v>
      </c>
      <c r="B82" s="7" t="s">
        <v>522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523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524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525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526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527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346</v>
      </c>
      <c r="B93" s="6" t="s">
        <v>528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345</v>
      </c>
      <c r="B94" s="6" t="s">
        <v>529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343</v>
      </c>
      <c r="B95" s="6" t="s">
        <v>530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531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532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IFERROR(__xludf.DUMMYFUNCTION("""COMPUTED_VALUE"""),"Dist. Amp. 2x4")</f>
        <v>Dist. Amp. 2x4</v>
      </c>
      <c r="L3" s="5" t="str">
        <f>IFERROR(__xludf.DUMMYFUNCTION("""COMPUTED_VALUE"""),"J2 (in)")</f>
        <v>J2 (in)</v>
      </c>
      <c r="M3" s="5" t="str">
        <f>IFERROR(__xludf.DUMMYFUNCTION("""COMPUTED_VALUE"""),"MON PISO")</f>
        <v>MON PISO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IFERROR(__xludf.DUMMYFUNCTION("""COMPUTED_VALUE"""),"C.4")</f>
        <v>C.4</v>
      </c>
      <c r="B4" s="5" t="str">
        <f>IFERROR(__xludf.DUMMYFUNCTION("""COMPUTED_VALUE"""),"Blackmagic Multiview 16")</f>
        <v>Blackmagic Multiview 16</v>
      </c>
      <c r="C4" s="5"/>
      <c r="D4" s="5"/>
      <c r="E4" s="5" t="str">
        <f>IFERROR(__xludf.DUMMYFUNCTION("""COMPUTED_VALUE"""),"Out 13")</f>
        <v>Out 13</v>
      </c>
      <c r="F4" s="5" t="str">
        <f>IFERROR(__xludf.DUMMYFUNCTION("""COMPUTED_VALUE"""),"T")</f>
        <v>T</v>
      </c>
      <c r="G4" s="5" t="str">
        <f>IFERROR(__xludf.DUMMYFUNCTION("""COMPUTED_VALUE"""),"In 13")</f>
        <v>In 13</v>
      </c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IFERROR(__xludf.DUMMYFUNCTION("""COMPUTED_VALUE"""),"De-embedder")</f>
        <v>De-embedder</v>
      </c>
      <c r="L4" s="5" t="str">
        <f>IFERROR(__xludf.DUMMYFUNCTION("""COMPUTED_VALUE"""),"SDI In")</f>
        <v>SDI In</v>
      </c>
      <c r="M4" s="5" t="str">
        <f>IFERROR(__xludf.DUMMYFUNCTION("""COMPUTED_VALUE"""),"Source 13")</f>
        <v>Source 13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IFERROR(__xludf.DUMMYFUNCTION("""COMPUTED_VALUE"""),"C.4")</f>
        <v>C.4</v>
      </c>
      <c r="B5" s="5" t="str">
        <f>IFERROR(__xludf.DUMMYFUNCTION("""COMPUTED_VALUE"""),"Blackmagic Multiview 16")</f>
        <v>Blackmagic Multiview 16</v>
      </c>
      <c r="C5" s="5"/>
      <c r="D5" s="5"/>
      <c r="E5" s="5" t="str">
        <f>IFERROR(__xludf.DUMMYFUNCTION("""COMPUTED_VALUE"""),"Out 14")</f>
        <v>Out 14</v>
      </c>
      <c r="F5" s="5" t="str">
        <f>IFERROR(__xludf.DUMMYFUNCTION("""COMPUTED_VALUE"""),"T")</f>
        <v>T</v>
      </c>
      <c r="G5" s="5" t="str">
        <f>IFERROR(__xludf.DUMMYFUNCTION("""COMPUTED_VALUE"""),"In 14")</f>
        <v>In 14</v>
      </c>
      <c r="H5" s="5" t="str">
        <f>IFERROR(__xludf.DUMMYFUNCTION("""COMPUTED_VALUE"""),"D.7")</f>
        <v>D.7</v>
      </c>
      <c r="I5" s="5" t="str">
        <f>IFERROR(__xludf.DUMMYFUNCTION("""COMPUTED_VALUE"""),"openGear X")</f>
        <v>openGear X</v>
      </c>
      <c r="J5" s="5">
        <f>IFERROR(__xludf.DUMMYFUNCTION("""COMPUTED_VALUE"""),5.0)</f>
        <v>5</v>
      </c>
      <c r="K5" s="5" t="str">
        <f>IFERROR(__xludf.DUMMYFUNCTION("""COMPUTED_VALUE"""),"De-embedder")</f>
        <v>De-embedder</v>
      </c>
      <c r="L5" s="5" t="str">
        <f>IFERROR(__xludf.DUMMYFUNCTION("""COMPUTED_VALUE"""),"SDI In")</f>
        <v>SDI In</v>
      </c>
      <c r="M5" s="5" t="str">
        <f>IFERROR(__xludf.DUMMYFUNCTION("""COMPUTED_VALUE"""),"Source 14")</f>
        <v>Source 14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IFERROR(__xludf.DUMMYFUNCTION("""COMPUTED_VALUE"""),"C.4")</f>
        <v>C.4</v>
      </c>
      <c r="B6" s="5" t="str">
        <f>IFERROR(__xludf.DUMMYFUNCTION("""COMPUTED_VALUE"""),"Blackmagic Multiview 16")</f>
        <v>Blackmagic Multiview 16</v>
      </c>
      <c r="C6" s="5"/>
      <c r="D6" s="5"/>
      <c r="E6" s="5" t="str">
        <f>IFERROR(__xludf.DUMMYFUNCTION("""COMPUTED_VALUE"""),"Out 15")</f>
        <v>Out 15</v>
      </c>
      <c r="F6" s="5" t="str">
        <f>IFERROR(__xludf.DUMMYFUNCTION("""COMPUTED_VALUE"""),"T")</f>
        <v>T</v>
      </c>
      <c r="G6" s="5" t="str">
        <f>IFERROR(__xludf.DUMMYFUNCTION("""COMPUTED_VALUE"""),"In 15")</f>
        <v>In 15</v>
      </c>
      <c r="H6" s="5" t="str">
        <f>IFERROR(__xludf.DUMMYFUNCTION("""COMPUTED_VALUE"""),"D.7")</f>
        <v>D.7</v>
      </c>
      <c r="I6" s="5" t="str">
        <f>IFERROR(__xludf.DUMMYFUNCTION("""COMPUTED_VALUE"""),"openGear X")</f>
        <v>openGear X</v>
      </c>
      <c r="J6" s="5">
        <f>IFERROR(__xludf.DUMMYFUNCTION("""COMPUTED_VALUE"""),6.0)</f>
        <v>6</v>
      </c>
      <c r="K6" s="5" t="str">
        <f>IFERROR(__xludf.DUMMYFUNCTION("""COMPUTED_VALUE"""),"De-embedder")</f>
        <v>De-embedder</v>
      </c>
      <c r="L6" s="5" t="str">
        <f>IFERROR(__xludf.DUMMYFUNCTION("""COMPUTED_VALUE"""),"SDI In")</f>
        <v>SDI In</v>
      </c>
      <c r="M6" s="5" t="str">
        <f>IFERROR(__xludf.DUMMYFUNCTION("""COMPUTED_VALUE"""),"Source 15")</f>
        <v>Source 15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IFERROR(__xludf.DUMMYFUNCTION("""COMPUTED_VALUE"""),"C.4")</f>
        <v>C.4</v>
      </c>
      <c r="B7" s="5" t="str">
        <f>IFERROR(__xludf.DUMMYFUNCTION("""COMPUTED_VALUE"""),"Blackmagic Multiview 16")</f>
        <v>Blackmagic Multiview 16</v>
      </c>
      <c r="C7" s="5"/>
      <c r="D7" s="5"/>
      <c r="E7" s="5" t="str">
        <f>IFERROR(__xludf.DUMMYFUNCTION("""COMPUTED_VALUE"""),"Out 16")</f>
        <v>Out 16</v>
      </c>
      <c r="F7" s="5" t="str">
        <f>IFERROR(__xludf.DUMMYFUNCTION("""COMPUTED_VALUE"""),"T")</f>
        <v>T</v>
      </c>
      <c r="G7" s="5" t="str">
        <f>IFERROR(__xludf.DUMMYFUNCTION("""COMPUTED_VALUE"""),"In 16")</f>
        <v>In 16</v>
      </c>
      <c r="H7" s="5" t="str">
        <f>IFERROR(__xludf.DUMMYFUNCTION("""COMPUTED_VALUE"""),"D.7")</f>
        <v>D.7</v>
      </c>
      <c r="I7" s="5" t="str">
        <f>IFERROR(__xludf.DUMMYFUNCTION("""COMPUTED_VALUE"""),"openGear X")</f>
        <v>openGear X</v>
      </c>
      <c r="J7" s="5">
        <f>IFERROR(__xludf.DUMMYFUNCTION("""COMPUTED_VALUE"""),7.0)</f>
        <v>7</v>
      </c>
      <c r="K7" s="5" t="str">
        <f>IFERROR(__xludf.DUMMYFUNCTION("""COMPUTED_VALUE"""),"De-embedder")</f>
        <v>De-embedder</v>
      </c>
      <c r="L7" s="5" t="str">
        <f>IFERROR(__xludf.DUMMYFUNCTION("""COMPUTED_VALUE"""),"SDI In")</f>
        <v>SDI In</v>
      </c>
      <c r="M7" s="5" t="str">
        <f>IFERROR(__xludf.DUMMYFUNCTION("""COMPUTED_VALUE"""),"Source 16")</f>
        <v>Source 16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IFERROR(__xludf.DUMMYFUNCTION("""COMPUTED_VALUE"""),"D.BACK.1")</f>
        <v>D.BACK.1</v>
      </c>
      <c r="B8" s="5" t="str">
        <f>IFERROR(__xludf.DUMMYFUNCTION("""COMPUTED_VALUE"""),"Raspberry PI 1")</f>
        <v>Raspberry PI 1</v>
      </c>
      <c r="C8" s="5"/>
      <c r="D8" s="5"/>
      <c r="E8" s="5" t="str">
        <f>IFERROR(__xludf.DUMMYFUNCTION("""COMPUTED_VALUE"""),"HDMI Out")</f>
        <v>HDMI Out</v>
      </c>
      <c r="F8" s="5"/>
      <c r="G8" s="5"/>
      <c r="H8" s="5" t="str">
        <f>IFERROR(__xludf.DUMMYFUNCTION("""COMPUTED_VALUE"""),"D.7")</f>
        <v>D.7</v>
      </c>
      <c r="I8" s="5" t="str">
        <f>IFERROR(__xludf.DUMMYFUNCTION("""COMPUTED_VALUE"""),"openGear X")</f>
        <v>openGear X</v>
      </c>
      <c r="J8" s="5">
        <f>IFERROR(__xludf.DUMMYFUNCTION("""COMPUTED_VALUE"""),1.0)</f>
        <v>1</v>
      </c>
      <c r="K8" s="5" t="str">
        <f>IFERROR(__xludf.DUMMYFUNCTION("""COMPUTED_VALUE"""),"HDMI to SDI")</f>
        <v>HDMI to SDI</v>
      </c>
      <c r="L8" s="5" t="str">
        <f>IFERROR(__xludf.DUMMYFUNCTION("""COMPUTED_VALUE"""),"HDMI In")</f>
        <v>HDMI In</v>
      </c>
      <c r="M8" s="5"/>
      <c r="N8" s="5" t="str">
        <f>IFERROR(__xludf.DUMMYFUNCTION("""COMPUTED_VALUE"""),"SRT La Casa del Streaming")</f>
        <v>SRT La Casa del Streaming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IFERROR(__xludf.DUMMYFUNCTION("""COMPUTED_VALUE"""),"D.BACK.2")</f>
        <v>D.BACK.2</v>
      </c>
      <c r="B9" s="5" t="str">
        <f>IFERROR(__xludf.DUMMYFUNCTION("""COMPUTED_VALUE"""),"Raspberry PI 2")</f>
        <v>Raspberry PI 2</v>
      </c>
      <c r="C9" s="5"/>
      <c r="D9" s="5"/>
      <c r="E9" s="5" t="str">
        <f>IFERROR(__xludf.DUMMYFUNCTION("""COMPUTED_VALUE"""),"HDMI Out")</f>
        <v>HDMI Out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IFERROR(__xludf.DUMMYFUNCTION("""COMPUTED_VALUE"""),"HDMI to SDI")</f>
        <v>HDMI to SDI</v>
      </c>
      <c r="L9" s="5" t="str">
        <f>IFERROR(__xludf.DUMMYFUNCTION("""COMPUTED_VALUE"""),"HDMI In")</f>
        <v>HDMI In</v>
      </c>
      <c r="M9" s="5"/>
      <c r="N9" s="5" t="str">
        <f>IFERROR(__xludf.DUMMYFUNCTION("""COMPUTED_VALUE"""),"SRT Mochila LiveU Posadas")</f>
        <v>SRT Mochila LiveU Posadas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IFERROR(__xludf.DUMMYFUNCTION("""COMPUTED_VALUE"""),"N/C")</f>
        <v>N/C</v>
      </c>
      <c r="B10" s="5"/>
      <c r="C10" s="5"/>
      <c r="D10" s="5"/>
      <c r="E10" s="5"/>
      <c r="F10" s="5"/>
      <c r="G10" s="5"/>
      <c r="H10" s="5" t="str">
        <f>IFERROR(__xludf.DUMMYFUNCTION("""COMPUTED_VALUE"""),"D.7")</f>
        <v>D.7</v>
      </c>
      <c r="I10" s="5" t="str">
        <f>IFERROR(__xludf.DUMMYFUNCTION("""COMPUTED_VALUE"""),"openGear X")</f>
        <v>openGear X</v>
      </c>
      <c r="J10" s="5">
        <f>IFERROR(__xludf.DUMMYFUNCTION("""COMPUTED_VALUE"""),3.0)</f>
        <v>3</v>
      </c>
      <c r="K10" s="5" t="str">
        <f>IFERROR(__xludf.DUMMYFUNCTION("""COMPUTED_VALUE"""),"HDMI to SDI")</f>
        <v>HDMI to SDI</v>
      </c>
      <c r="L10" s="5" t="str">
        <f>IFERROR(__xludf.DUMMYFUNCTION("""COMPUTED_VALUE"""),"HDMI In")</f>
        <v>HDMI In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