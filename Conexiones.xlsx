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<sst xmlns="http://schemas.openxmlformats.org/spreadsheetml/2006/main" count="1615" uniqueCount="509">
  <si>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</si>
  <si>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</si>
  <si>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</si>
  <si>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</si>
  <si>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</si>
  <si>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</si>
  <si>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</si>
  <si>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</si>
  <si>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</si>
  <si>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</si>
  <si>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</si>
  <si>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</si>
  <si>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</si>
  <si>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</si>
  <si>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</si>
  <si>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</si>
  <si>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</si>
  <si>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</si>
  <si>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</si>
  <si>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</si>
  <si>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</si>
  <si>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</si>
  <si>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</si>
  <si>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</si>
  <si>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</si>
  <si>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</si>
  <si>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</si>
  <si>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</si>
  <si>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</si>
  <si>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</si>
  <si>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</si>
  <si>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</si>
  <si>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</si>
  <si>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</si>
  <si>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</si>
  <si>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</si>
  <si>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</si>
  <si>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</si>
  <si>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</si>
  <si>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</si>
  <si>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</si>
  <si>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</si>
  <si>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</si>
  <si>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</si>
  <si>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</si>
  <si>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</si>
  <si>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</si>
  <si>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</si>
  <si>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</si>
  <si>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</si>
  <si>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</si>
  <si>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</si>
  <si>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</si>
  <si>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</si>
  <si>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</si>
  <si>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</si>
  <si>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</si>
  <si>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</si>
  <si>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</si>
  <si>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</si>
  <si>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</si>
  <si>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</si>
  <si>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</si>
  <si>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</si>
  <si>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</si>
  <si>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</si>
  <si>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</si>
  <si>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</si>
  <si>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</si>
  <si>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</si>
  <si>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</si>
  <si>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</si>
  <si>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</si>
  <si>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</si>
  <si>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</si>
  <si>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</si>
  <si>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</si>
  <si>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</si>
  <si>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</si>
  <si>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</si>
  <si>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</si>
  <si>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</si>
  <si>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</si>
  <si>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</si>
  <si>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</si>
  <si>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</si>
  <si>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</si>
  <si>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</si>
  <si>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</si>
  <si>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</si>
  <si>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</si>
  <si>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</si>
  <si>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</si>
  <si>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</si>
  <si>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</si>
  <si>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</si>
  <si>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</si>
  <si>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</si>
  <si>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</si>
  <si>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</si>
  <si>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</si>
  <si>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</si>
  <si>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</si>
  <si>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</si>
  <si>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</si>
  <si>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</si>
  <si>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</si>
  <si>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</si>
  <si>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</si>
  <si>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</si>
  <si>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</si>
  <si>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</si>
  <si>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</si>
  <si>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</si>
  <si>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</si>
  <si>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</si>
  <si>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</si>
  <si>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</si>
  <si>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</si>
  <si>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</si>
  <si>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</si>
  <si>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</si>
  <si>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</si>
  <si>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</si>
  <si>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</si>
  <si>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</si>
  <si>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</si>
  <si>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</si>
  <si>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</si>
  <si>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</si>
  <si>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</si>
  <si>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</si>
  <si>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</si>
  <si>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</si>
  <si>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</si>
  <si>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</si>
  <si>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</si>
  <si>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</si>
  <si>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</si>
  <si>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</si>
  <si>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</si>
  <si>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</si>
  <si>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</si>
  <si>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</si>
  <si>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</si>
  <si>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</si>
  <si>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</si>
  <si>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</si>
  <si>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</si>
  <si>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</si>
  <si>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</si>
  <si>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</si>
  <si>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</si>
  <si>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</si>
  <si>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</si>
  <si>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</si>
  <si>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</si>
  <si>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</si>
  <si>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</si>
  <si>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</si>
  <si>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</si>
  <si>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</si>
  <si>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</si>
  <si>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</si>
  <si>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</si>
  <si>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</si>
  <si>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</si>
  <si>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</si>
  <si>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</si>
  <si>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</si>
  <si>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</si>
  <si>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</si>
  <si>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</si>
  <si>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</si>
  <si>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</si>
  <si>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</si>
  <si>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</si>
  <si>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</si>
  <si>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</si>
  <si>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</si>
  <si>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</si>
  <si>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</si>
  <si>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</si>
  <si>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</si>
  <si>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</si>
  <si>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</si>
  <si>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</si>
  <si>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</si>
  <si>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</si>
  <si>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</si>
  <si>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</si>
  <si>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</si>
  <si>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</si>
  <si>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</si>
  <si>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</si>
  <si>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</si>
  <si>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</si>
  <si>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</si>
  <si>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</si>
  <si>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</si>
  <si>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</si>
  <si>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</si>
  <si>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</si>
  <si>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</si>
  <si>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</si>
  <si>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</si>
  <si>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</si>
  <si>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</si>
  <si>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</si>
  <si>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</si>
  <si>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</si>
  <si>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</si>
  <si>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</si>
  <si>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</si>
  <si>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</si>
  <si>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</si>
  <si>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</si>
  <si>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</si>
  <si>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</si>
  <si>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</si>
  <si>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</si>
  <si>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</si>
  <si>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</si>
  <si>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</si>
  <si>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</si>
  <si>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</si>
  <si>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</si>
  <si>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</si>
  <si>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</si>
  <si>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</si>
  <si>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</si>
  <si>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</si>
  <si>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</si>
  <si>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</si>
  <si>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</si>
  <si>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</si>
  <si>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</si>
  <si>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</si>
  <si>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</si>
  <si>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</si>
  <si>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</si>
  <si>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</si>
  <si>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</si>
  <si>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</si>
  <si>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</si>
  <si>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</si>
  <si>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</si>
  <si>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</si>
  <si>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</si>
  <si>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</si>
  <si>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</si>
  <si>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</si>
  <si>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</si>
  <si>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</si>
  <si>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</si>
  <si>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</si>
  <si>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</si>
  <si>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</si>
  <si>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</si>
  <si>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</si>
  <si>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</si>
  <si>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</si>
  <si>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</si>
  <si>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</si>
  <si>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</si>
  <si>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</si>
  <si>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</si>
  <si>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</si>
  <si>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</si>
  <si>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</si>
  <si>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</si>
  <si>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</si>
  <si>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</si>
  <si>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</si>
  <si>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</si>
  <si>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</si>
  <si>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</si>
  <si>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</si>
  <si>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</si>
  <si>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</si>
  <si>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</si>
  <si>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</si>
  <si>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</si>
  <si>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</si>
  <si>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</si>
  <si>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</si>
  <si>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</si>
  <si>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</si>
  <si>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</si>
  <si>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</si>
  <si>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</si>
  <si>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</si>
  <si>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</si>
  <si>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</si>
  <si>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</si>
  <si>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</si>
  <si>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</si>
  <si>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</si>
  <si>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</si>
  <si>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</si>
  <si>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</si>
  <si>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</si>
  <si>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</si>
  <si>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</si>
  <si>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</si>
  <si>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</si>
  <si>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</si>
  <si>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</si>
  <si>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</si>
  <si>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</si>
  <si>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</si>
  <si>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</si>
  <si>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</si>
  <si>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</si>
  <si>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</si>
  <si>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</si>
  <si>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</si>
  <si>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</si>
  <si>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</si>
  <si>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</si>
  <si>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</si>
  <si>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</si>
  <si>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</si>
  <si>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</si>
  <si>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</si>
  <si>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</si>
  <si>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</si>
  <si>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</si>
  <si>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</si>
  <si>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</si>
  <si>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</si>
  <si>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</si>
  <si>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</si>
  <si>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</si>
  <si>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</si>
  <si>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</si>
  <si>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</si>
  <si>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</si>
  <si>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</si>
  <si>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</si>
  <si>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</si>
  <si>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</si>
  <si>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</si>
  <si>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</si>
  <si>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</si>
  <si>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</si>
  <si>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</si>
  <si>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</si>
  <si>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</si>
  <si>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</si>
  <si>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</si>
  <si>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De-embbeder</t>
  </si>
  <si>
    <t>Dist. Amp. 2x4</t>
  </si>
  <si>
    <t>J4</t>
  </si>
  <si>
    <t>J2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</si>
  <si>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</si>
  <si>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</si>
  <si>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</si>
  <si>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</si>
  <si>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</si>
  <si>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</si>
  <si>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</si>
  <si>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</si>
  <si>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</si>
  <si>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</si>
  <si>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</si>
  <si>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</si>
  <si>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</si>
  <si>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</si>
  <si>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</si>
  <si>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</si>
  <si>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</si>
  <si>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</si>
  <si>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</si>
  <si>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</si>
  <si>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</si>
  <si>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</si>
  <si>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</si>
  <si>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</si>
  <si>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</si>
  <si>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</si>
  <si>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</si>
  <si>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</si>
  <si>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</si>
  <si>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</si>
  <si>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</si>
  <si>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</si>
  <si>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</si>
  <si>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</si>
  <si>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</t>
  </si>
  <si>
    <t>Balanced Out L</t>
  </si>
  <si>
    <t>Cable suelto en Rack D</t>
  </si>
  <si>
    <t>Balanced Out R</t>
  </si>
  <si>
    <t>A.6</t>
  </si>
  <si>
    <t>REF In</t>
  </si>
  <si>
    <t>Cable suelto en Rack A</t>
  </si>
  <si>
    <t>Audio Out Ch 2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</si>
  <si>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</si>
  <si>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</si>
  <si>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</si>
  <si>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</si>
  <si>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</si>
  <si>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</si>
  <si>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</si>
  <si>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</si>
  <si>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</si>
  <si>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</si>
  <si>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</si>
  <si>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</si>
  <si>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</si>
  <si>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</si>
  <si>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</si>
  <si>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</si>
  <si>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</si>
  <si>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</si>
  <si>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</si>
  <si>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</si>
  <si>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</si>
  <si>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</si>
  <si>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</si>
  <si>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</si>
  <si>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</si>
  <si>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</si>
  <si>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</si>
  <si>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</si>
  <si>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</si>
  <si>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</si>
  <si>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</si>
  <si>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</si>
  <si>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</si>
  <si>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</si>
  <si>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</si>
  <si>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</si>
  <si>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</si>
  <si>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</si>
  <si>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</si>
  <si>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</si>
  <si>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</si>
  <si>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</si>
  <si>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</si>
  <si>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</si>
  <si>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</si>
  <si>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</si>
  <si>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</si>
  <si>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</si>
  <si>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</si>
  <si>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</si>
  <si>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</si>
  <si>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</si>
  <si>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</si>
  <si>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</si>
  <si>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</si>
  <si>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</si>
  <si>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</si>
  <si>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</si>
  <si>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</si>
  <si>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</si>
  <si>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</si>
  <si>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</si>
  <si>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</si>
  <si>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</si>
  <si>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</si>
  <si>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</si>
  <si>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</si>
  <si>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</si>
  <si>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</si>
  <si>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</si>
  <si>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</si>
  <si>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</si>
  <si>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</si>
  <si>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</si>
  <si>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</si>
  <si>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</si>
  <si>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</si>
  <si>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</si>
  <si>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</si>
  <si>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</si>
  <si>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</si>
  <si>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</si>
  <si>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</si>
  <si>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</si>
  <si>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</si>
  <si>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</si>
  <si>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</si>
  <si>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</si>
  <si>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</si>
  <si>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</si>
  <si>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</si>
  <si>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</si>
  <si>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</si>
  <si>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</si>
  <si>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</si>
  <si>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</si>
  <si>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</si>
  <si>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</si>
  <si>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</si>
  <si>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</si>
  <si>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</si>
  <si>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</si>
  <si>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</si>
  <si>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</si>
  <si>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</si>
  <si>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</si>
  <si>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</si>
  <si>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</si>
  <si>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</si>
  <si>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</si>
  <si>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</si>
  <si>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J1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</si>
</sst>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5"/>
      <c r="N2" s="6" t="s">
        <v>19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21</v>
      </c>
      <c r="L3" s="6" t="s">
        <v>22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24</v>
      </c>
      <c r="L4" s="6" t="s">
        <v>25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27</v>
      </c>
      <c r="L5" s="6" t="s">
        <v>28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30</v>
      </c>
      <c r="L6" s="6" t="s">
        <v>31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33</v>
      </c>
      <c r="L7" s="6" t="s">
        <v>34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36</v>
      </c>
      <c r="L8" s="6" t="s">
        <v>37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39</v>
      </c>
      <c r="L9" s="6" t="s">
        <v>40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42</v>
      </c>
      <c r="L10" s="6" t="s">
        <v>43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45</v>
      </c>
      <c r="L11" s="6" t="s">
        <v>46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 t="s">
        <v>49</v>
      </c>
      <c r="L12" s="6" t="s">
        <v>50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 t="s">
        <v>52</v>
      </c>
      <c r="L13" s="6" t="s">
        <v>53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 t="s">
        <v>55</v>
      </c>
      <c r="L14" s="6" t="s">
        <v>56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 t="s">
        <v>58</v>
      </c>
      <c r="L15" s="6" t="s">
        <v>59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 t="s">
        <v>61</v>
      </c>
      <c r="L16" s="6" t="s">
        <v>62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 t="s">
        <v>64</v>
      </c>
      <c r="L17" s="6" t="s">
        <v>65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 t="s">
        <v>68</v>
      </c>
      <c r="L18" s="6" t="s">
        <v>69</v>
      </c>
      <c r="M18" s="6" t="s">
        <v>70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77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79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82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84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 t="s">
        <v>17</v>
      </c>
      <c r="L24" s="6" t="s">
        <v>86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 t="s">
        <v>49</v>
      </c>
      <c r="L26" s="6" t="s">
        <v>91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 t="s">
        <v>52</v>
      </c>
      <c r="L27" s="6" t="s">
        <v>93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 t="s">
        <v>55</v>
      </c>
      <c r="L28" s="6" t="s">
        <v>95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 t="s">
        <v>58</v>
      </c>
      <c r="L29" s="6" t="s">
        <v>97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 t="s">
        <v>99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102</v>
      </c>
      <c r="L31" s="6" t="s">
        <v>103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 t="s">
        <v>106</v>
      </c>
      <c r="L32" s="6" t="s">
        <v>107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6" t="s">
        <v>110</v>
      </c>
      <c r="M33" s="6" t="s">
        <v>111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 t="s">
        <v>64</v>
      </c>
      <c r="L34" s="6" t="s">
        <v>114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 t="s">
        <v>61</v>
      </c>
      <c r="L35" s="6" t="s">
        <v>116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 t="s">
        <v>58</v>
      </c>
      <c r="L36" s="6" t="s">
        <v>118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 t="s">
        <v>55</v>
      </c>
      <c r="L37" s="6" t="s">
        <v>120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 t="s">
        <v>52</v>
      </c>
      <c r="L38" s="6" t="s">
        <v>122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 t="s">
        <v>49</v>
      </c>
      <c r="L39" s="6" t="s">
        <v>124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 t="s">
        <v>45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 t="s">
        <v>42</v>
      </c>
      <c r="L41" s="6" t="s">
        <v>114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 t="s">
        <v>39</v>
      </c>
      <c r="L42" s="6" t="s">
        <v>128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 t="s">
        <v>36</v>
      </c>
      <c r="L43" s="6" t="s">
        <v>130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 t="s">
        <v>33</v>
      </c>
      <c r="L44" s="6" t="s">
        <v>132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 t="s">
        <v>30</v>
      </c>
      <c r="L45" s="6" t="s">
        <v>134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 t="s">
        <v>27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 t="s">
        <v>24</v>
      </c>
      <c r="L47" s="6" t="s">
        <v>137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 t="s">
        <v>21</v>
      </c>
      <c r="L48" s="6" t="s">
        <v>139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 t="s">
        <v>17</v>
      </c>
      <c r="L49" s="6" t="s">
        <v>141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116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145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146</v>
      </c>
      <c r="F52" s="5"/>
      <c r="G52" s="5"/>
      <c r="H52" s="6" t="s">
        <v>147</v>
      </c>
      <c r="I52" s="5" t="str">
        <f>IF(H52="","",VLOOKUP(H52,DB!A:B,2,0))</f>
        <v>GrassValley T2</v>
      </c>
      <c r="J52" s="5"/>
      <c r="K52" s="6" t="s">
        <v>17</v>
      </c>
      <c r="L52" s="6" t="s">
        <v>148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149</v>
      </c>
      <c r="F53" s="5"/>
      <c r="G53" s="5"/>
      <c r="H53" s="6" t="s">
        <v>150</v>
      </c>
      <c r="I53" s="5" t="str">
        <f>IF(H53="","",VLOOKUP(H53,DB!A:B,2,0))</f>
        <v>AJA FS2</v>
      </c>
      <c r="J53" s="5"/>
      <c r="K53" s="6" t="s">
        <v>68</v>
      </c>
      <c r="L53" s="6" t="s">
        <v>151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152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153</v>
      </c>
      <c r="F55" s="5"/>
      <c r="G55" s="5"/>
      <c r="H55" s="6" t="s">
        <v>154</v>
      </c>
      <c r="I55" s="5" t="str">
        <f>IF(H55="","",VLOOKUP(H55,DB!A:B,2,0))</f>
        <v>Thomson ViBE CP6100</v>
      </c>
      <c r="J55" s="5"/>
      <c r="K55" s="6" t="s">
        <v>17</v>
      </c>
      <c r="L55" s="6" t="s">
        <v>155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156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157</v>
      </c>
      <c r="F57" s="5"/>
      <c r="G57" s="5"/>
      <c r="H57" s="6" t="s">
        <v>158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159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160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 t="s">
        <v>161</v>
      </c>
      <c r="L58" s="6" t="s">
        <v>162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163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6" t="s">
        <v>164</v>
      </c>
      <c r="M59" s="6" t="s">
        <v>165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166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 t="s">
        <v>167</v>
      </c>
      <c r="L60" s="6" t="s">
        <v>168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169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 t="s">
        <v>170</v>
      </c>
      <c r="L61" s="6" t="s">
        <v>171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172</v>
      </c>
      <c r="F62" s="5"/>
      <c r="G62" s="5"/>
      <c r="H62" s="6" t="s">
        <v>173</v>
      </c>
      <c r="I62" s="5" t="str">
        <f>IF(H62="","",VLOOKUP(H62,DB!A:B,2,0))</f>
        <v>Leader LV 7770</v>
      </c>
      <c r="J62" s="5"/>
      <c r="K62" s="6" t="s">
        <v>174</v>
      </c>
      <c r="L62" s="6" t="s">
        <v>175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176</v>
      </c>
      <c r="F63" s="5"/>
      <c r="G63" s="5"/>
      <c r="H63" s="6" t="s">
        <v>173</v>
      </c>
      <c r="I63" s="5" t="str">
        <f>IF(H63="","",VLOOKUP(H63,DB!A:B,2,0))</f>
        <v>Leader LV 7770</v>
      </c>
      <c r="J63" s="5"/>
      <c r="K63" s="6" t="s">
        <v>177</v>
      </c>
      <c r="L63" s="6" t="s">
        <v>178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179</v>
      </c>
      <c r="F64" s="5"/>
      <c r="G64" s="5"/>
      <c r="H64" s="6" t="s">
        <v>180</v>
      </c>
      <c r="I64" s="5" t="str">
        <f>IF(H64="","",VLOOKUP(H64,DB!A:B,2,0))</f>
        <v>openGear X</v>
      </c>
      <c r="J64" s="6" t="s">
        <v>181</v>
      </c>
      <c r="K64" s="6" t="s">
        <v>106</v>
      </c>
      <c r="L64" s="6" t="s">
        <v>182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106</v>
      </c>
      <c r="L65" s="6" t="s">
        <v>185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186</v>
      </c>
      <c r="B66" s="6" t="str">
        <f>IF(A66="","",VLOOKUP(A66,DB!A:B,2,0))</f>
        <v>Player A</v>
      </c>
      <c r="C66" s="6">
        <v>1.0</v>
      </c>
      <c r="D66" s="6" t="s">
        <v>187</v>
      </c>
      <c r="E66" s="6" t="s">
        <v>188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189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187</v>
      </c>
      <c r="E67" s="6" t="s">
        <v>188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21</v>
      </c>
      <c r="L67" s="6" t="s">
        <v>191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187</v>
      </c>
      <c r="E68" s="7" t="s">
        <v>188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24</v>
      </c>
      <c r="L68" s="7" t="s">
        <v>193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187</v>
      </c>
      <c r="E69" s="9" t="s">
        <v>188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27</v>
      </c>
      <c r="L69" s="9" t="s">
        <v>194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90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30</v>
      </c>
      <c r="L70" s="7" t="s">
        <v>195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90</v>
      </c>
      <c r="B71" s="7" t="str">
        <f>IF(A71="","",VLOOKUP(A71,DB!A:B,2,0))</f>
        <v>FOR A HVS-390HS</v>
      </c>
      <c r="C71" s="7"/>
      <c r="D71" s="7"/>
      <c r="E71" s="7" t="s">
        <v>196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33</v>
      </c>
      <c r="L71" s="7" t="s">
        <v>197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150</v>
      </c>
      <c r="B72" s="7" t="str">
        <f>IF(A72="","",VLOOKUP(A72,DB!A:B,2,0))</f>
        <v>AJA FS2</v>
      </c>
      <c r="C72" s="7"/>
      <c r="D72" s="7"/>
      <c r="E72" s="11" t="s">
        <v>198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36</v>
      </c>
      <c r="L72" s="7" t="s">
        <v>199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200</v>
      </c>
      <c r="B73" s="9" t="str">
        <f>IF(A73="","",VLOOKUP(A73,DB!A:B,2,0))</f>
        <v>Telairity BE-IRD 5503</v>
      </c>
      <c r="C73" s="9"/>
      <c r="D73" s="9"/>
      <c r="E73" s="9" t="s">
        <v>201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39</v>
      </c>
      <c r="L73" s="9" t="s">
        <v>202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42</v>
      </c>
      <c r="L74" s="12" t="s">
        <v>88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180</v>
      </c>
      <c r="B75" s="6" t="str">
        <f>IF(A75="","",VLOOKUP(A75,DB!A:B,2,0))</f>
        <v>openGear X</v>
      </c>
      <c r="C75" s="6">
        <v>2.0</v>
      </c>
      <c r="D75" s="6" t="s">
        <v>203</v>
      </c>
      <c r="E75" s="6" t="s">
        <v>204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45</v>
      </c>
      <c r="L75" s="6" t="s">
        <v>205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180</v>
      </c>
      <c r="B76" s="6" t="str">
        <f>IF(A76="","",VLOOKUP(A76,DB!A:B,2,0))</f>
        <v>openGear X</v>
      </c>
      <c r="C76" s="6">
        <v>5.0</v>
      </c>
      <c r="D76" s="6" t="s">
        <v>203</v>
      </c>
      <c r="E76" s="6" t="s">
        <v>204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49</v>
      </c>
      <c r="L76" s="6" t="s">
        <v>206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207</v>
      </c>
      <c r="B77" s="6" t="str">
        <f>IF(A77="","",VLOOKUP(A77,DB!A:B,2,0))</f>
        <v>BM OF to SDI</v>
      </c>
      <c r="C77" s="5"/>
      <c r="D77" s="5"/>
      <c r="E77" s="6" t="s">
        <v>204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52</v>
      </c>
      <c r="L77" s="6" t="s">
        <v>208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180</v>
      </c>
      <c r="B78" s="6" t="str">
        <f>IF(A78="","",VLOOKUP(A78,DB!A:B,2,0))</f>
        <v>openGear X</v>
      </c>
      <c r="C78" s="6">
        <v>6.0</v>
      </c>
      <c r="D78" s="6" t="s">
        <v>203</v>
      </c>
      <c r="E78" s="6" t="s">
        <v>204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55</v>
      </c>
      <c r="L78" s="6" t="s">
        <v>209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180</v>
      </c>
      <c r="B79" s="6" t="str">
        <f>IF(A79="","",VLOOKUP(A79,DB!A:B,2,0))</f>
        <v>openGear X</v>
      </c>
      <c r="C79" s="6">
        <v>4.0</v>
      </c>
      <c r="D79" s="6" t="s">
        <v>203</v>
      </c>
      <c r="E79" s="6" t="s">
        <v>204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58</v>
      </c>
      <c r="L79" s="6" t="s">
        <v>210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61</v>
      </c>
      <c r="L80" s="6" t="s">
        <v>88</v>
      </c>
      <c r="M80" s="6" t="s">
        <v>211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180</v>
      </c>
      <c r="B81" s="6" t="str">
        <f>IF(A81="","",VLOOKUP(A81,DB!A:B,2,0))</f>
        <v>openGear X</v>
      </c>
      <c r="C81" s="6">
        <v>3.0</v>
      </c>
      <c r="D81" s="6" t="s">
        <v>203</v>
      </c>
      <c r="E81" s="6" t="s">
        <v>204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64</v>
      </c>
      <c r="L81" s="6" t="s">
        <v>212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213</v>
      </c>
      <c r="B82" s="6" t="str">
        <f>IF(A82="","",VLOOKUP(A82,DB!A:B,2,0))</f>
        <v>Telairity BE-IRD 5501</v>
      </c>
      <c r="C82" s="5"/>
      <c r="D82" s="5"/>
      <c r="E82" s="6" t="s">
        <v>198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214</v>
      </c>
      <c r="L82" s="6" t="s">
        <v>215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216</v>
      </c>
      <c r="B83" s="6" t="str">
        <f>IF(A83="","",VLOOKUP(A83,DB!A:B,2,0))</f>
        <v>Wellav UMH160R</v>
      </c>
      <c r="C83" s="5"/>
      <c r="D83" s="5"/>
      <c r="E83" s="6" t="s">
        <v>198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217</v>
      </c>
      <c r="L83" s="6" t="s">
        <v>218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219</v>
      </c>
      <c r="B84" s="6" t="str">
        <f>IF(A84="","",VLOOKUP(A84,DB!A:B,2,0))</f>
        <v>Wellav UMH160R</v>
      </c>
      <c r="C84" s="5"/>
      <c r="D84" s="5"/>
      <c r="E84" s="6" t="s">
        <v>198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220</v>
      </c>
      <c r="L84" s="6" t="s">
        <v>221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222</v>
      </c>
      <c r="B85" s="6" t="str">
        <f>IF(A85="","",VLOOKUP(A85,DB!A:B,2,0))</f>
        <v>AJA FS2</v>
      </c>
      <c r="C85" s="5"/>
      <c r="D85" s="5"/>
      <c r="E85" s="6" t="s">
        <v>198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223</v>
      </c>
      <c r="L85" s="6" t="s">
        <v>224</v>
      </c>
      <c r="M85" s="5"/>
      <c r="N85" s="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225</v>
      </c>
      <c r="B86" s="6" t="str">
        <f>IF(A86="","",VLOOKUP(A86,DB!A:B,2,0))</f>
        <v>CRD1000D</v>
      </c>
      <c r="C86" s="5"/>
      <c r="D86" s="5"/>
      <c r="E86" s="6" t="s">
        <v>226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227</v>
      </c>
      <c r="L86" s="6" t="s">
        <v>228</v>
      </c>
      <c r="M86" s="5"/>
      <c r="N86" s="6" t="s">
        <v>229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147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230</v>
      </c>
      <c r="L87" s="6" t="s">
        <v>231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232</v>
      </c>
      <c r="B88" s="6" t="str">
        <f>IF(A88="","",VLOOKUP(A88,DB!A:B,2,0))</f>
        <v>Videocasetera</v>
      </c>
      <c r="C88" s="5"/>
      <c r="D88" s="5"/>
      <c r="E88" s="6" t="s">
        <v>233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234</v>
      </c>
      <c r="L88" s="6" t="s">
        <v>235</v>
      </c>
      <c r="M88" s="5"/>
      <c r="N88" s="6" t="s">
        <v>236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237</v>
      </c>
      <c r="L89" s="6" t="s">
        <v>88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181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238</v>
      </c>
      <c r="L90" s="6" t="s">
        <v>181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239</v>
      </c>
      <c r="E91" s="6" t="s">
        <v>15</v>
      </c>
      <c r="F91" s="6" t="s">
        <v>240</v>
      </c>
      <c r="G91" s="6" t="s">
        <v>241</v>
      </c>
      <c r="H91" s="6" t="s">
        <v>14</v>
      </c>
      <c r="I91" s="5" t="str">
        <f>IF(H91="","",VLOOKUP(H91,DB!A:B,2,0))</f>
        <v>AJA KUMO 6464</v>
      </c>
      <c r="J91" s="5"/>
      <c r="K91" s="6" t="s">
        <v>242</v>
      </c>
      <c r="L91" s="6" t="s">
        <v>243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239</v>
      </c>
      <c r="E92" s="6" t="s">
        <v>15</v>
      </c>
      <c r="F92" s="6" t="s">
        <v>240</v>
      </c>
      <c r="G92" s="6" t="s">
        <v>241</v>
      </c>
      <c r="H92" s="6" t="s">
        <v>14</v>
      </c>
      <c r="I92" s="5" t="str">
        <f>IF(H92="","",VLOOKUP(H92,DB!A:B,2,0))</f>
        <v>AJA KUMO 6464</v>
      </c>
      <c r="J92" s="5"/>
      <c r="K92" s="6" t="s">
        <v>244</v>
      </c>
      <c r="L92" s="6" t="s">
        <v>245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239</v>
      </c>
      <c r="E93" s="6" t="s">
        <v>15</v>
      </c>
      <c r="F93" s="6" t="s">
        <v>240</v>
      </c>
      <c r="G93" s="6" t="s">
        <v>241</v>
      </c>
      <c r="H93" s="6" t="s">
        <v>14</v>
      </c>
      <c r="I93" s="5" t="str">
        <f>IF(H93="","",VLOOKUP(H93,DB!A:B,2,0))</f>
        <v>AJA KUMO 6464</v>
      </c>
      <c r="J93" s="5"/>
      <c r="K93" s="6" t="s">
        <v>246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187</v>
      </c>
      <c r="E94" s="6" t="s">
        <v>247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248</v>
      </c>
      <c r="L94" s="6" t="s">
        <v>249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250</v>
      </c>
      <c r="B95" s="6" t="str">
        <f>IF(A95="","",VLOOKUP(A95,DB!A:B,2,0))</f>
        <v>Blackmagic Multiview 4</v>
      </c>
      <c r="C95" s="5"/>
      <c r="D95" s="5"/>
      <c r="E95" s="6" t="s">
        <v>204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251</v>
      </c>
      <c r="L95" s="6" t="s">
        <v>252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204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253</v>
      </c>
      <c r="L96" s="6" t="s">
        <v>254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255</v>
      </c>
      <c r="L97" s="6" t="s">
        <v>88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256</v>
      </c>
      <c r="B98" s="6" t="str">
        <f>IF(A98="","",VLOOKUP(A98,DB!A:B,2,0))</f>
        <v>Apple TV</v>
      </c>
      <c r="C98" s="5"/>
      <c r="D98" s="5"/>
      <c r="E98" s="6" t="s">
        <v>257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258</v>
      </c>
      <c r="L98" s="6" t="s">
        <v>259</v>
      </c>
      <c r="M98" s="5"/>
      <c r="N98" s="6" t="s">
        <v>260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261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240</v>
      </c>
      <c r="G99" s="6" t="s">
        <v>61</v>
      </c>
      <c r="H99" s="6" t="s">
        <v>14</v>
      </c>
      <c r="I99" s="5" t="str">
        <f>IF(H99="","",VLOOKUP(H99,DB!A:B,2,0))</f>
        <v>AJA KUMO 6464</v>
      </c>
      <c r="J99" s="5"/>
      <c r="K99" s="6" t="s">
        <v>262</v>
      </c>
      <c r="L99" s="6" t="s">
        <v>263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261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240</v>
      </c>
      <c r="G100" s="6" t="s">
        <v>58</v>
      </c>
      <c r="H100" s="6" t="s">
        <v>14</v>
      </c>
      <c r="I100" s="5" t="str">
        <f>IF(H100="","",VLOOKUP(H100,DB!A:B,2,0))</f>
        <v>AJA KUMO 6464</v>
      </c>
      <c r="J100" s="5"/>
      <c r="K100" s="6" t="s">
        <v>264</v>
      </c>
      <c r="L100" s="6" t="s">
        <v>265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261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240</v>
      </c>
      <c r="G101" s="6" t="s">
        <v>55</v>
      </c>
      <c r="H101" s="6" t="s">
        <v>14</v>
      </c>
      <c r="I101" s="5" t="str">
        <f>IF(H101="","",VLOOKUP(H101,DB!A:B,2,0))</f>
        <v>AJA KUMO 6464</v>
      </c>
      <c r="J101" s="5"/>
      <c r="K101" s="6" t="s">
        <v>266</v>
      </c>
      <c r="L101" s="6" t="s">
        <v>267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261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240</v>
      </c>
      <c r="G102" s="6" t="s">
        <v>52</v>
      </c>
      <c r="H102" s="6" t="s">
        <v>14</v>
      </c>
      <c r="I102" s="5" t="str">
        <f>IF(H102="","",VLOOKUP(H102,DB!A:B,2,0))</f>
        <v>AJA KUMO 6464</v>
      </c>
      <c r="J102" s="5"/>
      <c r="K102" s="6" t="s">
        <v>268</v>
      </c>
      <c r="L102" s="6" t="s">
        <v>269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261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240</v>
      </c>
      <c r="G103" s="6" t="s">
        <v>49</v>
      </c>
      <c r="H103" s="6" t="s">
        <v>14</v>
      </c>
      <c r="I103" s="5" t="str">
        <f>IF(H103="","",VLOOKUP(H103,DB!A:B,2,0))</f>
        <v>AJA KUMO 6464</v>
      </c>
      <c r="J103" s="5"/>
      <c r="K103" s="6" t="s">
        <v>270</v>
      </c>
      <c r="L103" s="6" t="s">
        <v>271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261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240</v>
      </c>
      <c r="G104" s="6" t="s">
        <v>45</v>
      </c>
      <c r="H104" s="6" t="s">
        <v>14</v>
      </c>
      <c r="I104" s="5" t="str">
        <f>IF(H104="","",VLOOKUP(H104,DB!A:B,2,0))</f>
        <v>AJA KUMO 6464</v>
      </c>
      <c r="J104" s="5"/>
      <c r="K104" s="6" t="s">
        <v>272</v>
      </c>
      <c r="L104" s="6" t="s">
        <v>273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261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240</v>
      </c>
      <c r="G105" s="6" t="s">
        <v>42</v>
      </c>
      <c r="H105" s="6" t="s">
        <v>14</v>
      </c>
      <c r="I105" s="5" t="str">
        <f>IF(H105="","",VLOOKUP(H105,DB!A:B,2,0))</f>
        <v>AJA KUMO 6464</v>
      </c>
      <c r="J105" s="5"/>
      <c r="K105" s="6" t="s">
        <v>274</v>
      </c>
      <c r="L105" s="6" t="s">
        <v>275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276</v>
      </c>
      <c r="B106" s="6" t="str">
        <f>IF(A106="","",VLOOKUP(A106,DB!A:B,2,0))</f>
        <v>Sony HXCU-100 Cam 1</v>
      </c>
      <c r="C106" s="5"/>
      <c r="D106" s="5"/>
      <c r="E106" s="6" t="s">
        <v>198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277</v>
      </c>
      <c r="L106" s="6" t="s">
        <v>278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279</v>
      </c>
      <c r="B107" s="6" t="str">
        <f>IF(A107="","",VLOOKUP(A107,DB!A:B,2,0))</f>
        <v>Sony HXCU-100 Cam 2</v>
      </c>
      <c r="C107" s="5"/>
      <c r="D107" s="5"/>
      <c r="E107" s="6" t="s">
        <v>198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280</v>
      </c>
      <c r="L107" s="6" t="s">
        <v>281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282</v>
      </c>
      <c r="B108" s="6" t="str">
        <f>IF(A108="","",VLOOKUP(A108,DB!A:B,2,0))</f>
        <v>Sony HXCU-100 Cam 3</v>
      </c>
      <c r="C108" s="5"/>
      <c r="D108" s="5"/>
      <c r="E108" s="6" t="s">
        <v>198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283</v>
      </c>
      <c r="L108" s="6" t="s">
        <v>284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285</v>
      </c>
      <c r="B109" s="6" t="str">
        <f>IF(A109="","",VLOOKUP(A109,DB!A:B,2,0))</f>
        <v>Sony HXCU-100 Cam 4</v>
      </c>
      <c r="C109" s="5"/>
      <c r="D109" s="5"/>
      <c r="E109" s="6" t="s">
        <v>198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286</v>
      </c>
      <c r="L109" s="6" t="s">
        <v>287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288</v>
      </c>
      <c r="L110" s="6" t="s">
        <v>88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289</v>
      </c>
      <c r="L111" s="6" t="s">
        <v>88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290</v>
      </c>
      <c r="L112" s="6" t="s">
        <v>88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291</v>
      </c>
      <c r="L113" s="6" t="s">
        <v>88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181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292</v>
      </c>
      <c r="L114" s="6" t="s">
        <v>293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294</v>
      </c>
      <c r="L115" s="6" t="s">
        <v>88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295</v>
      </c>
      <c r="L116" s="6" t="s">
        <v>88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296</v>
      </c>
      <c r="L117" s="6" t="s">
        <v>88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187</v>
      </c>
      <c r="E118" s="6" t="s">
        <v>188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297</v>
      </c>
      <c r="L118" s="6" t="s">
        <v>298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181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299</v>
      </c>
      <c r="L119" s="6" t="s">
        <v>300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158</v>
      </c>
      <c r="B120" s="6" t="str">
        <f>IF(A120="","",VLOOKUP(A120,DB!A:B,2,0))</f>
        <v>CGX</v>
      </c>
      <c r="C120" s="6">
        <v>1.0</v>
      </c>
      <c r="D120" s="6" t="s">
        <v>187</v>
      </c>
      <c r="E120" s="6" t="s">
        <v>301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302</v>
      </c>
      <c r="L120" s="6" t="s">
        <v>303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304</v>
      </c>
      <c r="L121" s="6" t="s">
        <v>88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198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305</v>
      </c>
      <c r="L122" s="6" t="s">
        <v>162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181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306</v>
      </c>
      <c r="L123" s="6" t="s">
        <v>164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307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308</v>
      </c>
      <c r="L124" s="6" t="s">
        <v>309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310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311</v>
      </c>
      <c r="L125" s="6" t="s">
        <v>312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313</v>
      </c>
      <c r="L126" s="6" t="s">
        <v>88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314</v>
      </c>
      <c r="E127" s="6" t="s">
        <v>315</v>
      </c>
      <c r="F127" s="6" t="s">
        <v>240</v>
      </c>
      <c r="G127" s="6" t="s">
        <v>316</v>
      </c>
      <c r="H127" s="6" t="s">
        <v>14</v>
      </c>
      <c r="I127" s="5" t="str">
        <f>IF(H127="","",VLOOKUP(H127,DB!A:B,2,0))</f>
        <v>AJA KUMO 6464</v>
      </c>
      <c r="J127" s="5"/>
      <c r="K127" s="6" t="s">
        <v>317</v>
      </c>
      <c r="L127" s="6" t="s">
        <v>318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204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319</v>
      </c>
      <c r="L128" s="6" t="s">
        <v>320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321</v>
      </c>
      <c r="L129" s="6" t="s">
        <v>322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186</v>
      </c>
      <c r="B130" s="6" t="str">
        <f>IF(A130="","",VLOOKUP(A130,DB!A:B,2,0))</f>
        <v>Player A</v>
      </c>
      <c r="C130" s="6">
        <v>2.0</v>
      </c>
      <c r="D130" s="6" t="s">
        <v>187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 t="s">
        <v>30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187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 t="s">
        <v>33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88</v>
      </c>
      <c r="I132" s="5" t="str">
        <f>IF(H132="","",VLOOKUP(H132,DB!A:B,2,0))</f>
        <v/>
      </c>
      <c r="J132" s="6"/>
      <c r="K132" s="6"/>
      <c r="L132" s="6" t="s">
        <v>189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5"/>
      <c r="G133" s="5"/>
      <c r="H133" s="6" t="s">
        <v>88</v>
      </c>
      <c r="I133" s="5" t="str">
        <f>IF(H133="","",VLOOKUP(H133,DB!A:B,2,0))</f>
        <v/>
      </c>
      <c r="J133" s="6"/>
      <c r="K133" s="6"/>
      <c r="L133" s="6" t="s">
        <v>323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5"/>
      <c r="G134" s="5"/>
      <c r="H134" s="6" t="s">
        <v>88</v>
      </c>
      <c r="I134" s="5" t="str">
        <f>IF(H134="","",VLOOKUP(H134,DB!A:B,2,0))</f>
        <v/>
      </c>
      <c r="J134" s="6"/>
      <c r="K134" s="6"/>
      <c r="L134" s="6" t="s">
        <v>324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5"/>
      <c r="G135" s="5"/>
      <c r="H135" s="6" t="s">
        <v>88</v>
      </c>
      <c r="I135" s="5" t="str">
        <f>IF(H135="","",VLOOKUP(H135,DB!A:B,2,0))</f>
        <v/>
      </c>
      <c r="J135" s="6"/>
      <c r="K135" s="6"/>
      <c r="L135" s="6" t="s">
        <v>325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240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106</v>
      </c>
      <c r="L136" s="6" t="s">
        <v>326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240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106</v>
      </c>
      <c r="L137" s="6" t="s">
        <v>327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240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106</v>
      </c>
      <c r="L138" s="6" t="s">
        <v>328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240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106</v>
      </c>
      <c r="L139" s="6" t="s">
        <v>329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5"/>
      <c r="G140" s="5"/>
      <c r="H140" s="6" t="s">
        <v>88</v>
      </c>
      <c r="I140" s="5" t="str">
        <f>IF(H140="","",VLOOKUP(H140,DB!A:B,2,0))</f>
        <v/>
      </c>
      <c r="J140" s="6"/>
      <c r="K140" s="6"/>
      <c r="L140" s="6" t="s">
        <v>330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5"/>
      <c r="G141" s="5"/>
      <c r="H141" s="6" t="s">
        <v>88</v>
      </c>
      <c r="I141" s="5" t="str">
        <f>IF(H141="","",VLOOKUP(H141,DB!A:B,2,0))</f>
        <v/>
      </c>
      <c r="J141" s="6"/>
      <c r="K141" s="6"/>
      <c r="L141" s="6" t="s">
        <v>331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5"/>
      <c r="G142" s="5"/>
      <c r="H142" s="6" t="s">
        <v>88</v>
      </c>
      <c r="I142" s="5" t="str">
        <f>IF(H142="","",VLOOKUP(H142,DB!A:B,2,0))</f>
        <v/>
      </c>
      <c r="J142" s="6"/>
      <c r="K142" s="6"/>
      <c r="L142" s="6" t="s">
        <v>332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5"/>
      <c r="G143" s="5"/>
      <c r="H143" s="6" t="s">
        <v>88</v>
      </c>
      <c r="I143" s="5" t="str">
        <f>IF(H143="","",VLOOKUP(H143,DB!A:B,2,0))</f>
        <v/>
      </c>
      <c r="J143" s="6"/>
      <c r="K143" s="6"/>
      <c r="L143" s="6" t="s">
        <v>333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5"/>
      <c r="G144" s="5"/>
      <c r="H144" s="6" t="s">
        <v>88</v>
      </c>
      <c r="I144" s="5" t="str">
        <f>IF(H144="","",VLOOKUP(H144,DB!A:B,2,0))</f>
        <v/>
      </c>
      <c r="J144" s="6"/>
      <c r="K144" s="6"/>
      <c r="L144" s="6" t="s">
        <v>212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5"/>
      <c r="G145" s="5"/>
      <c r="H145" s="6" t="s">
        <v>88</v>
      </c>
      <c r="I145" s="5" t="str">
        <f>IF(H145="","",VLOOKUP(H145,DB!A:B,2,0))</f>
        <v/>
      </c>
      <c r="J145" s="6"/>
      <c r="K145" s="6"/>
      <c r="L145" s="6" t="s">
        <v>334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5"/>
      <c r="G146" s="5"/>
      <c r="H146" s="6" t="s">
        <v>88</v>
      </c>
      <c r="I146" s="5" t="str">
        <f>IF(H146="","",VLOOKUP(H146,DB!A:B,2,0))</f>
        <v/>
      </c>
      <c r="J146" s="6"/>
      <c r="K146" s="6"/>
      <c r="L146" s="6" t="s">
        <v>335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5"/>
      <c r="G147" s="5"/>
      <c r="H147" s="6" t="s">
        <v>88</v>
      </c>
      <c r="I147" s="5" t="str">
        <f>IF(H147="","",VLOOKUP(H147,DB!A:B,2,0))</f>
        <v/>
      </c>
      <c r="J147" s="6"/>
      <c r="K147" s="6"/>
      <c r="L147" s="6" t="s">
        <v>336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240</v>
      </c>
      <c r="G148" s="6" t="s">
        <v>17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6" t="s">
        <v>337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240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 t="s">
        <v>21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240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 t="s">
        <v>24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240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 t="s">
        <v>27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240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 t="s">
        <v>30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240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 t="s">
        <v>33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240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 t="s">
        <v>36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240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 t="s">
        <v>39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240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 t="s">
        <v>42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240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 t="s">
        <v>45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261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240</v>
      </c>
      <c r="G159" s="6" t="s">
        <v>17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261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240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261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240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261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240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261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240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261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240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261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240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261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240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261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240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240</v>
      </c>
      <c r="G168" s="6" t="s">
        <v>17</v>
      </c>
      <c r="H168" s="6" t="s">
        <v>338</v>
      </c>
      <c r="I168" s="5" t="str">
        <f>IF(H168="","",VLOOKUP(H168,DB!A:B,2,0))</f>
        <v>Monitor Pvw TX</v>
      </c>
      <c r="J168" s="5"/>
      <c r="K168" s="6" t="s">
        <v>241</v>
      </c>
      <c r="L168" s="5"/>
      <c r="M168" s="5"/>
      <c r="N168" s="6" t="s">
        <v>339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240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6" t="s">
        <v>139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240</v>
      </c>
      <c r="G170" s="6" t="s">
        <v>24</v>
      </c>
      <c r="H170" s="6" t="s">
        <v>340</v>
      </c>
      <c r="I170" s="5" t="str">
        <f>IF(H170="","",VLOOKUP(H170,DB!A:B,2,0))</f>
        <v>Monitor Linea TX</v>
      </c>
      <c r="J170" s="5"/>
      <c r="K170" s="6" t="s">
        <v>241</v>
      </c>
      <c r="L170" s="5"/>
      <c r="M170" s="5"/>
      <c r="N170" s="6" t="s">
        <v>339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240</v>
      </c>
      <c r="G171" s="6" t="s">
        <v>27</v>
      </c>
      <c r="H171" s="6" t="s">
        <v>341</v>
      </c>
      <c r="I171" s="5" t="str">
        <f>IF(H171="","",VLOOKUP(H171,DB!A:B,2,0))</f>
        <v>Monitor MV TX</v>
      </c>
      <c r="J171" s="5"/>
      <c r="K171" s="6" t="s">
        <v>241</v>
      </c>
      <c r="L171" s="5"/>
      <c r="M171" s="5"/>
      <c r="N171" s="6" t="s">
        <v>339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240</v>
      </c>
      <c r="G172" s="6" t="s">
        <v>30</v>
      </c>
      <c r="H172" s="6" t="s">
        <v>342</v>
      </c>
      <c r="I172" s="5" t="str">
        <f>IF(H172="","",VLOOKUP(H172,DB!A:B,2,0))</f>
        <v>Monitor Sonidista</v>
      </c>
      <c r="J172" s="5"/>
      <c r="K172" s="6" t="s">
        <v>241</v>
      </c>
      <c r="L172" s="5"/>
      <c r="M172" s="5"/>
      <c r="N172" s="6" t="s">
        <v>339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240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240</v>
      </c>
      <c r="G174" s="6" t="s">
        <v>36</v>
      </c>
      <c r="H174" s="6" t="s">
        <v>88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240</v>
      </c>
      <c r="G175" s="6" t="s">
        <v>39</v>
      </c>
      <c r="H175" s="6" t="s">
        <v>88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240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240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240</v>
      </c>
      <c r="G178" s="6" t="s">
        <v>49</v>
      </c>
      <c r="H178" s="6" t="s">
        <v>343</v>
      </c>
      <c r="I178" s="5" t="str">
        <f>IF(H178="","",VLOOKUP(H178,DB!A:B,2,0))</f>
        <v>VIDEObit 3G-LINK-TD</v>
      </c>
      <c r="J178" s="5"/>
      <c r="K178" s="6" t="s">
        <v>161</v>
      </c>
      <c r="L178" s="5"/>
      <c r="M178" s="5"/>
      <c r="N178" s="6" t="s">
        <v>124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240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240</v>
      </c>
      <c r="G180" s="6" t="s">
        <v>55</v>
      </c>
      <c r="H180" s="6" t="s">
        <v>344</v>
      </c>
      <c r="I180" s="5" t="str">
        <f>IF(H180="","",VLOOKUP(H180,DB!A:B,2,0))</f>
        <v>Monitor Titulos</v>
      </c>
      <c r="J180" s="5"/>
      <c r="K180" s="6" t="s">
        <v>241</v>
      </c>
      <c r="L180" s="5"/>
      <c r="M180" s="5"/>
      <c r="N180" s="6" t="s">
        <v>339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240</v>
      </c>
      <c r="G181" s="6" t="s">
        <v>58</v>
      </c>
      <c r="H181" s="6" t="s">
        <v>345</v>
      </c>
      <c r="I181" s="5" t="str">
        <f>IF(H181="","",VLOOKUP(H181,DB!A:B,2,0))</f>
        <v>Monitor Iluminador</v>
      </c>
      <c r="J181" s="5"/>
      <c r="K181" s="6" t="s">
        <v>241</v>
      </c>
      <c r="L181" s="5"/>
      <c r="M181" s="5"/>
      <c r="N181" s="6" t="s">
        <v>339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240</v>
      </c>
      <c r="G182" s="6" t="s">
        <v>61</v>
      </c>
      <c r="H182" s="6" t="s">
        <v>346</v>
      </c>
      <c r="I182" s="5" t="str">
        <f>IF(H182="","",VLOOKUP(H182,DB!A:B,2,0))</f>
        <v>Monitor Piso</v>
      </c>
      <c r="J182" s="5"/>
      <c r="K182" s="6" t="s">
        <v>241</v>
      </c>
      <c r="L182" s="5"/>
      <c r="M182" s="5"/>
      <c r="N182" s="6" t="s">
        <v>339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240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201</v>
      </c>
      <c r="F184" s="6" t="s">
        <v>240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222</v>
      </c>
      <c r="B185" s="6" t="str">
        <f>IF(A185="","",VLOOKUP(A185,DB!A:B,2,0))</f>
        <v>AJA FS2</v>
      </c>
      <c r="C185" s="5"/>
      <c r="D185" s="5"/>
      <c r="E185" s="6" t="s">
        <v>201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316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347</v>
      </c>
      <c r="E186" s="6" t="s">
        <v>204</v>
      </c>
      <c r="F186" s="6" t="s">
        <v>240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 t="s">
        <v>36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347</v>
      </c>
      <c r="E187" s="6" t="s">
        <v>348</v>
      </c>
      <c r="F187" s="6" t="s">
        <v>240</v>
      </c>
      <c r="G187" s="6" t="s">
        <v>106</v>
      </c>
      <c r="H187" s="6" t="s">
        <v>349</v>
      </c>
      <c r="I187" s="5" t="str">
        <f>IF(H187="","",VLOOKUP(H187,DB!A:B,2,0))</f>
        <v>Yamaha QL5</v>
      </c>
      <c r="J187" s="5"/>
      <c r="K187" s="6" t="s">
        <v>52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347</v>
      </c>
      <c r="E188" s="6" t="s">
        <v>350</v>
      </c>
      <c r="F188" s="6" t="s">
        <v>240</v>
      </c>
      <c r="G188" s="6" t="s">
        <v>106</v>
      </c>
      <c r="H188" s="6" t="s">
        <v>349</v>
      </c>
      <c r="I188" s="5" t="str">
        <f>IF(H188="","",VLOOKUP(H188,DB!A:B,2,0))</f>
        <v>Yamaha QL5</v>
      </c>
      <c r="J188" s="5"/>
      <c r="K188" s="6" t="s">
        <v>55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347</v>
      </c>
      <c r="E189" s="6" t="s">
        <v>204</v>
      </c>
      <c r="F189" s="6" t="s">
        <v>240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 t="s">
        <v>39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347</v>
      </c>
      <c r="E190" s="6" t="s">
        <v>348</v>
      </c>
      <c r="F190" s="6" t="s">
        <v>240</v>
      </c>
      <c r="G190" s="6" t="s">
        <v>106</v>
      </c>
      <c r="H190" s="6" t="s">
        <v>349</v>
      </c>
      <c r="I190" s="5" t="str">
        <f>IF(H190="","",VLOOKUP(H190,DB!A:B,2,0))</f>
        <v>Yamaha QL5</v>
      </c>
      <c r="J190" s="5"/>
      <c r="K190" s="6" t="s">
        <v>58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347</v>
      </c>
      <c r="E191" s="6" t="s">
        <v>350</v>
      </c>
      <c r="F191" s="6" t="s">
        <v>240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 t="s">
        <v>88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347</v>
      </c>
      <c r="E192" s="6" t="s">
        <v>204</v>
      </c>
      <c r="F192" s="6" t="s">
        <v>240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 t="s">
        <v>42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347</v>
      </c>
      <c r="E193" s="6" t="s">
        <v>348</v>
      </c>
      <c r="F193" s="6" t="s">
        <v>240</v>
      </c>
      <c r="G193" s="6" t="s">
        <v>106</v>
      </c>
      <c r="H193" s="6" t="s">
        <v>349</v>
      </c>
      <c r="I193" s="5" t="str">
        <f>IF(H193="","",VLOOKUP(H193,DB!A:B,2,0))</f>
        <v>Yamaha QL5</v>
      </c>
      <c r="J193" s="5"/>
      <c r="K193" s="6" t="s">
        <v>61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347</v>
      </c>
      <c r="E194" s="6" t="s">
        <v>350</v>
      </c>
      <c r="F194" s="6" t="s">
        <v>240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 t="s">
        <v>88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347</v>
      </c>
      <c r="E195" s="6" t="s">
        <v>204</v>
      </c>
      <c r="F195" s="6" t="s">
        <v>240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 t="s">
        <v>45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347</v>
      </c>
      <c r="E196" s="6" t="s">
        <v>348</v>
      </c>
      <c r="F196" s="6" t="s">
        <v>240</v>
      </c>
      <c r="G196" s="6" t="s">
        <v>106</v>
      </c>
      <c r="H196" s="6" t="s">
        <v>349</v>
      </c>
      <c r="I196" s="5" t="str">
        <f>IF(H196="","",VLOOKUP(H196,DB!A:B,2,0))</f>
        <v>Yamaha QL5</v>
      </c>
      <c r="J196" s="5"/>
      <c r="K196" s="6" t="s">
        <v>64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347</v>
      </c>
      <c r="E197" s="6" t="s">
        <v>350</v>
      </c>
      <c r="F197" s="6" t="s">
        <v>240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 t="s">
        <v>88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351</v>
      </c>
      <c r="E198" s="6" t="s">
        <v>204</v>
      </c>
      <c r="F198" s="6" t="s">
        <v>240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 t="s">
        <v>88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347</v>
      </c>
      <c r="E199" s="6" t="s">
        <v>348</v>
      </c>
      <c r="F199" s="6" t="s">
        <v>240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 t="s">
        <v>88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347</v>
      </c>
      <c r="E200" s="6" t="s">
        <v>350</v>
      </c>
      <c r="F200" s="6" t="s">
        <v>240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 t="s">
        <v>88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352</v>
      </c>
      <c r="E201" s="6" t="s">
        <v>353</v>
      </c>
      <c r="F201" s="6" t="s">
        <v>240</v>
      </c>
      <c r="G201" s="6" t="s">
        <v>354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6" t="s">
        <v>355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352</v>
      </c>
      <c r="E202" s="6" t="s">
        <v>356</v>
      </c>
      <c r="F202" s="6" t="s">
        <v>240</v>
      </c>
      <c r="G202" s="6" t="s">
        <v>354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6" t="s">
        <v>355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357</v>
      </c>
      <c r="B203" s="6" t="str">
        <f>IF(A203="","",VLOOKUP(A203,DB!A:B,2,0))</f>
        <v>Cisco D9865</v>
      </c>
      <c r="C203" s="5"/>
      <c r="D203" s="5"/>
      <c r="E203" s="6" t="s">
        <v>226</v>
      </c>
      <c r="F203" s="5"/>
      <c r="G203" s="5"/>
      <c r="H203" s="6" t="s">
        <v>222</v>
      </c>
      <c r="I203" s="5" t="str">
        <f>IF(H203="","",VLOOKUP(H203,DB!A:B,2,0))</f>
        <v>AJA FS2</v>
      </c>
      <c r="J203" s="5"/>
      <c r="K203" s="6" t="s">
        <v>358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184</v>
      </c>
      <c r="B204" s="6" t="str">
        <f>IF(A204="","",VLOOKUP(A204,DB!A:B,2,0))</f>
        <v>openGear X</v>
      </c>
      <c r="C204" s="6">
        <v>1.0</v>
      </c>
      <c r="D204" s="6" t="s">
        <v>359</v>
      </c>
      <c r="E204" s="6" t="s">
        <v>204</v>
      </c>
      <c r="F204" s="5"/>
      <c r="G204" s="6"/>
      <c r="H204" s="6" t="s">
        <v>181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184</v>
      </c>
      <c r="B205" s="6" t="str">
        <f>IF(A205="","",VLOOKUP(A205,DB!A:B,2,0))</f>
        <v>openGear X</v>
      </c>
      <c r="C205" s="6">
        <v>1.0</v>
      </c>
      <c r="D205" s="6" t="s">
        <v>359</v>
      </c>
      <c r="E205" s="6" t="s">
        <v>360</v>
      </c>
      <c r="F205" s="5"/>
      <c r="G205" s="6"/>
      <c r="H205" s="6" t="s">
        <v>181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184</v>
      </c>
      <c r="B206" s="6" t="str">
        <f>IF(A206="","",VLOOKUP(A206,DB!A:B,2,0))</f>
        <v>openGear X</v>
      </c>
      <c r="C206" s="6">
        <v>1.0</v>
      </c>
      <c r="D206" s="6" t="s">
        <v>359</v>
      </c>
      <c r="E206" s="6" t="s">
        <v>361</v>
      </c>
      <c r="F206" s="5"/>
      <c r="G206" s="6"/>
      <c r="H206" s="6" t="s">
        <v>181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184</v>
      </c>
      <c r="B207" s="6" t="str">
        <f>IF(A207="","",VLOOKUP(A207,DB!A:B,2,0))</f>
        <v>openGear X</v>
      </c>
      <c r="C207" s="6">
        <v>2.0</v>
      </c>
      <c r="D207" s="6" t="s">
        <v>359</v>
      </c>
      <c r="E207" s="6" t="s">
        <v>204</v>
      </c>
      <c r="F207" s="5"/>
      <c r="G207" s="6"/>
      <c r="H207" s="6" t="s">
        <v>181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184</v>
      </c>
      <c r="B208" s="6" t="str">
        <f>IF(A208="","",VLOOKUP(A208,DB!A:B,2,0))</f>
        <v>openGear X</v>
      </c>
      <c r="C208" s="6">
        <v>2.0</v>
      </c>
      <c r="D208" s="6" t="s">
        <v>359</v>
      </c>
      <c r="E208" s="6" t="s">
        <v>360</v>
      </c>
      <c r="F208" s="5"/>
      <c r="G208" s="6"/>
      <c r="H208" s="6" t="s">
        <v>181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184</v>
      </c>
      <c r="B209" s="6" t="str">
        <f>IF(A209="","",VLOOKUP(A209,DB!A:B,2,0))</f>
        <v>openGear X</v>
      </c>
      <c r="C209" s="6">
        <v>2.0</v>
      </c>
      <c r="D209" s="6" t="s">
        <v>359</v>
      </c>
      <c r="E209" s="6" t="s">
        <v>361</v>
      </c>
      <c r="F209" s="5"/>
      <c r="G209" s="6"/>
      <c r="H209" s="6" t="s">
        <v>181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184</v>
      </c>
      <c r="B210" s="6" t="str">
        <f>IF(A210="","",VLOOKUP(A210,DB!A:B,2,0))</f>
        <v>openGear X</v>
      </c>
      <c r="C210" s="6">
        <v>3.0</v>
      </c>
      <c r="D210" s="6" t="s">
        <v>359</v>
      </c>
      <c r="E210" s="6" t="s">
        <v>360</v>
      </c>
      <c r="F210" s="5"/>
      <c r="G210" s="6"/>
      <c r="H210" s="6" t="s">
        <v>181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184</v>
      </c>
      <c r="B211" s="6" t="str">
        <f>IF(A211="","",VLOOKUP(A211,DB!A:B,2,0))</f>
        <v>openGear X</v>
      </c>
      <c r="C211" s="6">
        <v>5.0</v>
      </c>
      <c r="D211" s="6" t="s">
        <v>351</v>
      </c>
      <c r="E211" s="6" t="s">
        <v>204</v>
      </c>
      <c r="F211" s="6" t="s">
        <v>240</v>
      </c>
      <c r="G211" s="6" t="s">
        <v>106</v>
      </c>
      <c r="H211" s="6" t="s">
        <v>222</v>
      </c>
      <c r="I211" s="5" t="str">
        <f>IF(H211="","",VLOOKUP(H211,DB!A:B,2,0))</f>
        <v>AJA FS2</v>
      </c>
      <c r="J211" s="5"/>
      <c r="K211" s="6" t="s">
        <v>161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184</v>
      </c>
      <c r="B212" s="6" t="str">
        <f>IF(A212="","",VLOOKUP(A212,DB!A:B,2,0))</f>
        <v>openGear X</v>
      </c>
      <c r="C212" s="6">
        <v>5.0</v>
      </c>
      <c r="D212" s="6" t="s">
        <v>359</v>
      </c>
      <c r="E212" s="6" t="s">
        <v>361</v>
      </c>
      <c r="F212" s="5"/>
      <c r="G212" s="6"/>
      <c r="H212" s="6" t="s">
        <v>181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314</v>
      </c>
      <c r="E213" s="6" t="s">
        <v>362</v>
      </c>
      <c r="F213" s="6" t="s">
        <v>240</v>
      </c>
      <c r="G213" s="6" t="s">
        <v>316</v>
      </c>
      <c r="H213" s="6" t="s">
        <v>363</v>
      </c>
      <c r="I213" s="5" t="str">
        <f>IF(H213="","",VLOOKUP(H213,DB!A:B,2,0))</f>
        <v>VIDEOTRON</v>
      </c>
      <c r="J213" s="5"/>
      <c r="K213" s="6" t="s">
        <v>161</v>
      </c>
      <c r="L213" s="5"/>
      <c r="M213" s="6" t="s">
        <v>181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364</v>
      </c>
      <c r="B214" s="6" t="str">
        <f>IF(A214="","",VLOOKUP(A214,DB!A:B,2,0))</f>
        <v>Raspberry PI 1</v>
      </c>
      <c r="C214" s="5"/>
      <c r="D214" s="6"/>
      <c r="E214" s="6" t="s">
        <v>257</v>
      </c>
      <c r="F214" s="5"/>
      <c r="G214" s="5"/>
      <c r="H214" s="6" t="s">
        <v>143</v>
      </c>
      <c r="I214" s="5" t="str">
        <f>IF(H214="","",VLOOKUP(H214,DB!A:B,2,0))</f>
        <v>openGear X</v>
      </c>
      <c r="J214" s="6">
        <v>1.0</v>
      </c>
      <c r="K214" s="6" t="s">
        <v>241</v>
      </c>
      <c r="L214" s="5"/>
      <c r="M214" s="6" t="s">
        <v>365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366</v>
      </c>
      <c r="B215" s="6" t="str">
        <f>IF(A215="","",VLOOKUP(A215,DB!A:B,2,0))</f>
        <v>Raspberry PI 2</v>
      </c>
      <c r="C215" s="5"/>
      <c r="D215" s="6"/>
      <c r="E215" s="6" t="s">
        <v>257</v>
      </c>
      <c r="F215" s="5"/>
      <c r="G215" s="5"/>
      <c r="H215" s="6" t="s">
        <v>143</v>
      </c>
      <c r="I215" s="5" t="str">
        <f>IF(H215="","",VLOOKUP(H215,DB!A:B,2,0))</f>
        <v>openGear X</v>
      </c>
      <c r="J215" s="6">
        <v>2.0</v>
      </c>
      <c r="K215" s="6" t="s">
        <v>241</v>
      </c>
      <c r="L215" s="5"/>
      <c r="M215" s="6" t="s">
        <v>367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368</v>
      </c>
      <c r="B216" s="6" t="str">
        <f>IF(A216="","",VLOOKUP(A216,DB!A:B,2,0))</f>
        <v>Deco Direccion</v>
      </c>
      <c r="C216" s="5"/>
      <c r="D216" s="5"/>
      <c r="E216" s="6" t="s">
        <v>257</v>
      </c>
      <c r="F216" s="5"/>
      <c r="G216" s="5"/>
      <c r="H216" s="6" t="s">
        <v>261</v>
      </c>
      <c r="I216" s="5" t="str">
        <f>IF(H216="","",VLOOKUP(H216,DB!A:B,2,0))</f>
        <v>Patch Panel</v>
      </c>
      <c r="J216" s="5"/>
      <c r="K216" s="6" t="s">
        <v>42</v>
      </c>
      <c r="L216" s="5"/>
      <c r="M216" s="5"/>
      <c r="N216" s="6" t="s">
        <v>260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369</v>
      </c>
      <c r="B217" s="6" t="str">
        <f>IF(A217="","",VLOOKUP(A217,DB!A:B,2,0))</f>
        <v>PC Videollamada</v>
      </c>
      <c r="C217" s="6">
        <v>1.0</v>
      </c>
      <c r="D217" s="6" t="s">
        <v>187</v>
      </c>
      <c r="E217" s="6" t="s">
        <v>370</v>
      </c>
      <c r="F217" s="5"/>
      <c r="G217" s="5"/>
      <c r="H217" s="6" t="s">
        <v>261</v>
      </c>
      <c r="I217" s="5" t="str">
        <f>IF(H217="","",VLOOKUP(H217,DB!A:B,2,0))</f>
        <v>Patch Panel</v>
      </c>
      <c r="J217" s="5"/>
      <c r="K217" s="6" t="s">
        <v>58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276</v>
      </c>
      <c r="B218" s="6" t="str">
        <f>IF(A218="","",VLOOKUP(A218,DB!A:B,2,0))</f>
        <v>Sony HXCU-100 Cam 1</v>
      </c>
      <c r="C218" s="5"/>
      <c r="D218" s="5"/>
      <c r="E218" s="6" t="s">
        <v>201</v>
      </c>
      <c r="F218" s="5"/>
      <c r="G218" s="5"/>
      <c r="H218" s="6" t="s">
        <v>250</v>
      </c>
      <c r="I218" s="5" t="str">
        <f>IF(H218="","",VLOOKUP(H218,DB!A:B,2,0))</f>
        <v>Blackmagic Multiview 4</v>
      </c>
      <c r="J218" s="5"/>
      <c r="K218" s="6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276</v>
      </c>
      <c r="B219" s="6" t="str">
        <f>IF(A219="","",VLOOKUP(A219,DB!A:B,2,0))</f>
        <v>Sony HXCU-100 Cam 1</v>
      </c>
      <c r="C219" s="5"/>
      <c r="D219" s="5"/>
      <c r="E219" s="6" t="s">
        <v>307</v>
      </c>
      <c r="F219" s="5"/>
      <c r="G219" s="5"/>
      <c r="H219" s="6" t="s">
        <v>90</v>
      </c>
      <c r="I219" s="5" t="str">
        <f>IF(H219="","",VLOOKUP(H219,DB!A:B,2,0))</f>
        <v>FOR A HVS-390HS</v>
      </c>
      <c r="J219" s="5"/>
      <c r="K219" s="6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279</v>
      </c>
      <c r="B220" s="6" t="str">
        <f>IF(A220="","",VLOOKUP(A220,DB!A:B,2,0))</f>
        <v>Sony HXCU-100 Cam 2</v>
      </c>
      <c r="C220" s="5"/>
      <c r="D220" s="5"/>
      <c r="E220" s="6" t="s">
        <v>201</v>
      </c>
      <c r="F220" s="5"/>
      <c r="G220" s="5"/>
      <c r="H220" s="6" t="s">
        <v>250</v>
      </c>
      <c r="I220" s="5" t="str">
        <f>IF(H220="","",VLOOKUP(H220,DB!A:B,2,0))</f>
        <v>Blackmagic Multiview 4</v>
      </c>
      <c r="J220" s="5"/>
      <c r="K220" s="6" t="s">
        <v>21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279</v>
      </c>
      <c r="B221" s="6" t="str">
        <f>IF(A221="","",VLOOKUP(A221,DB!A:B,2,0))</f>
        <v>Sony HXCU-100 Cam 2</v>
      </c>
      <c r="C221" s="5"/>
      <c r="D221" s="5"/>
      <c r="E221" s="6" t="s">
        <v>307</v>
      </c>
      <c r="F221" s="5"/>
      <c r="G221" s="5"/>
      <c r="H221" s="6" t="s">
        <v>90</v>
      </c>
      <c r="I221" s="5" t="str">
        <f>IF(H221="","",VLOOKUP(H221,DB!A:B,2,0))</f>
        <v>FOR A HVS-390HS</v>
      </c>
      <c r="J221" s="5"/>
      <c r="K221" s="6" t="s">
        <v>21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282</v>
      </c>
      <c r="B222" s="6" t="str">
        <f>IF(A222="","",VLOOKUP(A222,DB!A:B,2,0))</f>
        <v>Sony HXCU-100 Cam 3</v>
      </c>
      <c r="C222" s="5"/>
      <c r="D222" s="5"/>
      <c r="E222" s="6" t="s">
        <v>201</v>
      </c>
      <c r="F222" s="5"/>
      <c r="G222" s="5"/>
      <c r="H222" s="6" t="s">
        <v>250</v>
      </c>
      <c r="I222" s="5" t="str">
        <f>IF(H222="","",VLOOKUP(H222,DB!A:B,2,0))</f>
        <v>Blackmagic Multiview 4</v>
      </c>
      <c r="J222" s="5"/>
      <c r="K222" s="6" t="s">
        <v>24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282</v>
      </c>
      <c r="B223" s="6" t="str">
        <f>IF(A223="","",VLOOKUP(A223,DB!A:B,2,0))</f>
        <v>Sony HXCU-100 Cam 3</v>
      </c>
      <c r="C223" s="5"/>
      <c r="D223" s="5"/>
      <c r="E223" s="6" t="s">
        <v>307</v>
      </c>
      <c r="F223" s="5"/>
      <c r="G223" s="5"/>
      <c r="H223" s="6" t="s">
        <v>90</v>
      </c>
      <c r="I223" s="5" t="str">
        <f>IF(H223="","",VLOOKUP(H223,DB!A:B,2,0))</f>
        <v>FOR A HVS-390HS</v>
      </c>
      <c r="J223" s="5"/>
      <c r="K223" s="6" t="s">
        <v>24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285</v>
      </c>
      <c r="B224" s="6" t="str">
        <f>IF(A224="","",VLOOKUP(A224,DB!A:B,2,0))</f>
        <v>Sony HXCU-100 Cam 4</v>
      </c>
      <c r="C224" s="5"/>
      <c r="D224" s="5"/>
      <c r="E224" s="6" t="s">
        <v>201</v>
      </c>
      <c r="F224" s="5"/>
      <c r="G224" s="5"/>
      <c r="H224" s="6" t="s">
        <v>250</v>
      </c>
      <c r="I224" s="5" t="str">
        <f>IF(H224="","",VLOOKUP(H224,DB!A:B,2,0))</f>
        <v>Blackmagic Multiview 4</v>
      </c>
      <c r="J224" s="5"/>
      <c r="K224" s="6" t="s">
        <v>27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285</v>
      </c>
      <c r="B225" s="6" t="str">
        <f>IF(A225="","",VLOOKUP(A225,DB!A:B,2,0))</f>
        <v>Sony HXCU-100 Cam 4</v>
      </c>
      <c r="C225" s="5"/>
      <c r="D225" s="5"/>
      <c r="E225" s="6" t="s">
        <v>307</v>
      </c>
      <c r="F225" s="5"/>
      <c r="G225" s="5"/>
      <c r="H225" s="6" t="s">
        <v>90</v>
      </c>
      <c r="I225" s="5" t="str">
        <f>IF(H225="","",VLOOKUP(H225,DB!A:B,2,0))</f>
        <v>FOR A HVS-390HS</v>
      </c>
      <c r="J225" s="5"/>
      <c r="K225" s="6" t="s">
        <v>27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90</v>
      </c>
      <c r="B226" s="6" t="str">
        <f>IF(A226="","",VLOOKUP(A226,DB!A:B,2,0))</f>
        <v>FOR A HVS-390HS</v>
      </c>
      <c r="C226" s="5"/>
      <c r="D226" s="5"/>
      <c r="E226" s="6" t="s">
        <v>371</v>
      </c>
      <c r="F226" s="5"/>
      <c r="G226" s="5"/>
      <c r="H226" s="6" t="s">
        <v>372</v>
      </c>
      <c r="I226" s="5" t="str">
        <f>IF(H226="","",VLOOKUP(H226,DB!A:B,2,0))</f>
        <v>Monitor Director 2</v>
      </c>
      <c r="J226" s="5"/>
      <c r="K226" s="6" t="s">
        <v>241</v>
      </c>
      <c r="L226" s="5"/>
      <c r="M226" s="5"/>
      <c r="N226" s="6" t="s">
        <v>339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90</v>
      </c>
      <c r="B227" s="6" t="str">
        <f>IF(A227="","",VLOOKUP(A227,DB!A:B,2,0))</f>
        <v>FOR A HVS-390HS</v>
      </c>
      <c r="C227" s="5"/>
      <c r="D227" s="5"/>
      <c r="E227" s="6" t="s">
        <v>373</v>
      </c>
      <c r="F227" s="5"/>
      <c r="G227" s="5"/>
      <c r="H227" s="6" t="s">
        <v>374</v>
      </c>
      <c r="I227" s="5" t="str">
        <f>IF(H227="","",VLOOKUP(H227,DB!A:B,2,0))</f>
        <v>PC Pantalla</v>
      </c>
      <c r="J227" s="5"/>
      <c r="K227" s="6" t="s">
        <v>241</v>
      </c>
      <c r="L227" s="5"/>
      <c r="M227" s="5"/>
      <c r="N227" s="6" t="s">
        <v>375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90</v>
      </c>
      <c r="B228" s="6" t="str">
        <f>IF(A228="","",VLOOKUP(A228,DB!A:B,2,0))</f>
        <v>FOR A HVS-390HS</v>
      </c>
      <c r="C228" s="5"/>
      <c r="D228" s="5"/>
      <c r="E228" s="6" t="s">
        <v>20</v>
      </c>
      <c r="F228" s="5"/>
      <c r="G228" s="5"/>
      <c r="H228" s="6" t="s">
        <v>376</v>
      </c>
      <c r="I228" s="5" t="str">
        <f>IF(H228="","",VLOOKUP(H228,DB!A:B,2,0))</f>
        <v>AJA HD5DA</v>
      </c>
      <c r="J228" s="5"/>
      <c r="K228" s="6" t="s">
        <v>106</v>
      </c>
      <c r="L228" s="5"/>
      <c r="M228" s="5"/>
      <c r="N228" s="6" t="s">
        <v>377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376</v>
      </c>
      <c r="B229" s="6" t="str">
        <f>IF(A229="","",VLOOKUP(A229,DB!A:B,2,0))</f>
        <v>AJA HD5DA</v>
      </c>
      <c r="C229" s="5"/>
      <c r="D229" s="5"/>
      <c r="E229" s="6" t="s">
        <v>198</v>
      </c>
      <c r="F229" s="6" t="s">
        <v>240</v>
      </c>
      <c r="G229" s="6" t="s">
        <v>106</v>
      </c>
      <c r="H229" s="6" t="s">
        <v>276</v>
      </c>
      <c r="I229" s="5" t="str">
        <f>IF(H229="","",VLOOKUP(H229,DB!A:B,2,0))</f>
        <v>Sony HXCU-100 Cam 1</v>
      </c>
      <c r="J229" s="5"/>
      <c r="K229" s="6" t="s">
        <v>378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376</v>
      </c>
      <c r="B230" s="6" t="str">
        <f>IF(A230="","",VLOOKUP(A230,DB!A:B,2,0))</f>
        <v>AJA HD5DA</v>
      </c>
      <c r="C230" s="5"/>
      <c r="D230" s="5"/>
      <c r="E230" s="6" t="s">
        <v>201</v>
      </c>
      <c r="F230" s="6" t="s">
        <v>240</v>
      </c>
      <c r="G230" s="6" t="s">
        <v>106</v>
      </c>
      <c r="H230" s="6" t="s">
        <v>279</v>
      </c>
      <c r="I230" s="5" t="str">
        <f>IF(H230="","",VLOOKUP(H230,DB!A:B,2,0))</f>
        <v>Sony HXCU-100 Cam 2</v>
      </c>
      <c r="J230" s="5"/>
      <c r="K230" s="6" t="s">
        <v>378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376</v>
      </c>
      <c r="B231" s="6" t="str">
        <f>IF(A231="","",VLOOKUP(A231,DB!A:B,2,0))</f>
        <v>AJA HD5DA</v>
      </c>
      <c r="C231" s="5"/>
      <c r="D231" s="5"/>
      <c r="E231" s="6" t="s">
        <v>307</v>
      </c>
      <c r="F231" s="6" t="s">
        <v>240</v>
      </c>
      <c r="G231" s="6" t="s">
        <v>106</v>
      </c>
      <c r="H231" s="6" t="s">
        <v>282</v>
      </c>
      <c r="I231" s="5" t="str">
        <f>IF(H231="","",VLOOKUP(H231,DB!A:B,2,0))</f>
        <v>Sony HXCU-100 Cam 3</v>
      </c>
      <c r="J231" s="5"/>
      <c r="K231" s="6" t="s">
        <v>378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376</v>
      </c>
      <c r="B232" s="6" t="str">
        <f>IF(A232="","",VLOOKUP(A232,DB!A:B,2,0))</f>
        <v>AJA HD5DA</v>
      </c>
      <c r="C232" s="5"/>
      <c r="D232" s="5"/>
      <c r="E232" s="6" t="s">
        <v>310</v>
      </c>
      <c r="F232" s="6" t="s">
        <v>240</v>
      </c>
      <c r="G232" s="6" t="s">
        <v>106</v>
      </c>
      <c r="H232" s="6" t="s">
        <v>285</v>
      </c>
      <c r="I232" s="5" t="str">
        <f>IF(H232="","",VLOOKUP(H232,DB!A:B,2,0))</f>
        <v>Sony HXCU-100 Cam 4</v>
      </c>
      <c r="J232" s="5"/>
      <c r="K232" s="6" t="s">
        <v>378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379</v>
      </c>
      <c r="B233" s="6" t="str">
        <f>IF(A233="","",VLOOKUP(A233,DB!A:B,2,0))</f>
        <v>Patch Estudio</v>
      </c>
      <c r="C233" s="5"/>
      <c r="D233" s="5"/>
      <c r="E233" s="6" t="s">
        <v>380</v>
      </c>
      <c r="F233" s="5"/>
      <c r="G233" s="5"/>
      <c r="H233" s="6" t="s">
        <v>261</v>
      </c>
      <c r="I233" s="5" t="str">
        <f>IF(H233="","",VLOOKUP(H233,DB!A:B,2,0))</f>
        <v>Patch Panel</v>
      </c>
      <c r="J233" s="5"/>
      <c r="K233" s="6" t="s">
        <v>61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88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261</v>
      </c>
      <c r="I234" s="5" t="str">
        <f>IF(H234="","",VLOOKUP(H234,DB!A:B,2,0))</f>
        <v>Patch Panel</v>
      </c>
      <c r="J234" s="5"/>
      <c r="K234" s="6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88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261</v>
      </c>
      <c r="I235" s="5" t="str">
        <f>IF(H235="","",VLOOKUP(H235,DB!A:B,2,0))</f>
        <v>Patch Panel</v>
      </c>
      <c r="J235" s="5"/>
      <c r="K235" s="6" t="s">
        <v>21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88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261</v>
      </c>
      <c r="I236" s="5" t="str">
        <f>IF(H236="","",VLOOKUP(H236,DB!A:B,2,0))</f>
        <v>Patch Panel</v>
      </c>
      <c r="J236" s="5"/>
      <c r="K236" s="6" t="s">
        <v>24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88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261</v>
      </c>
      <c r="I237" s="5" t="str">
        <f>IF(H237="","",VLOOKUP(H237,DB!A:B,2,0))</f>
        <v>Patch Panel</v>
      </c>
      <c r="J237" s="5"/>
      <c r="K237" s="6" t="s">
        <v>27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88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261</v>
      </c>
      <c r="I238" s="5" t="str">
        <f>IF(H238="","",VLOOKUP(H238,DB!A:B,2,0))</f>
        <v>Patch Panel</v>
      </c>
      <c r="J238" s="5"/>
      <c r="K238" s="6" t="s">
        <v>30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261</v>
      </c>
      <c r="I239" s="5" t="str">
        <f>IF(H239="","",VLOOKUP(H239,DB!A:B,2,0))</f>
        <v>Patch Panel</v>
      </c>
      <c r="J239" s="5"/>
      <c r="K239" s="6" t="s">
        <v>33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261</v>
      </c>
      <c r="I240" s="5" t="str">
        <f>IF(H240="","",VLOOKUP(H240,DB!A:B,2,0))</f>
        <v>Patch Panel</v>
      </c>
      <c r="J240" s="5"/>
      <c r="K240" s="6" t="s">
        <v>36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261</v>
      </c>
      <c r="I241" s="5" t="str">
        <f>IF(H241="","",VLOOKUP(H241,DB!A:B,2,0))</f>
        <v>Patch Panel</v>
      </c>
      <c r="J241" s="5"/>
      <c r="K241" s="6" t="s">
        <v>39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261</v>
      </c>
      <c r="I242" s="5" t="str">
        <f>IF(H242="","",VLOOKUP(H242,DB!A:B,2,0))</f>
        <v>Patch Panel</v>
      </c>
      <c r="J242" s="5"/>
      <c r="K242" s="6" t="s">
        <v>45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261</v>
      </c>
      <c r="I243" s="5" t="str">
        <f>IF(H243="","",VLOOKUP(H243,DB!A:B,2,0))</f>
        <v>Patch Panel</v>
      </c>
      <c r="J243" s="5"/>
      <c r="K243" s="6" t="s">
        <v>49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261</v>
      </c>
      <c r="I244" s="5" t="str">
        <f>IF(H244="","",VLOOKUP(H244,DB!A:B,2,0))</f>
        <v>Patch Panel</v>
      </c>
      <c r="J244" s="5"/>
      <c r="K244" s="6" t="s">
        <v>52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261</v>
      </c>
      <c r="I245" s="5" t="str">
        <f>IF(H245="","",VLOOKUP(H245,DB!A:B,2,0))</f>
        <v>Patch Panel</v>
      </c>
      <c r="J245" s="5"/>
      <c r="K245" s="6" t="s">
        <v>55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261</v>
      </c>
      <c r="I246" s="5" t="str">
        <f>IF(H246="","",VLOOKUP(H246,DB!A:B,2,0))</f>
        <v>Patch Panel</v>
      </c>
      <c r="J246" s="5"/>
      <c r="K246" s="6" t="s">
        <v>64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16</v>
      </c>
      <c r="I247" s="5" t="str">
        <f>IF(H247="","",VLOOKUP(H247,DB!A:B,2,0))</f>
        <v>Blackmagic 12 x 12</v>
      </c>
      <c r="J247" s="5"/>
      <c r="K247" s="6" t="s">
        <v>49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16</v>
      </c>
      <c r="I248" s="5" t="str">
        <f>IF(H248="","",VLOOKUP(H248,DB!A:B,2,0))</f>
        <v>Blackmagic 12 x 12</v>
      </c>
      <c r="J248" s="5"/>
      <c r="K248" s="6" t="s">
        <v>52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88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143</v>
      </c>
      <c r="I249" s="5" t="str">
        <f>IF(H249="","",VLOOKUP(H249,DB!A:B,2,0))</f>
        <v>openGear X</v>
      </c>
      <c r="J249" s="6">
        <v>3.0</v>
      </c>
      <c r="K249" s="6" t="s">
        <v>241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222</v>
      </c>
      <c r="B250" s="6" t="str">
        <f>IF(A250="","",VLOOKUP(A250,DB!A:B,2,0))</f>
        <v>AJA FS2</v>
      </c>
      <c r="C250" s="5"/>
      <c r="D250" s="6"/>
      <c r="E250" s="6" t="s">
        <v>381</v>
      </c>
      <c r="F250" s="5"/>
      <c r="G250" s="5"/>
      <c r="H250" s="6" t="s">
        <v>382</v>
      </c>
      <c r="I250" s="5" t="str">
        <f>IF(H250="","",VLOOKUP(H250,DB!A:B,2,0))</f>
        <v>Digiwave DSC-131</v>
      </c>
      <c r="J250" s="6"/>
      <c r="K250" s="6" t="s">
        <v>383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382</v>
      </c>
      <c r="B251" s="6" t="str">
        <f>IF(A251="","",VLOOKUP(A251,DB!A:B,2,0))</f>
        <v>Digiwave DSC-131</v>
      </c>
      <c r="C251" s="5"/>
      <c r="D251" s="6"/>
      <c r="E251" s="6" t="s">
        <v>384</v>
      </c>
      <c r="F251" s="5"/>
      <c r="G251" s="5"/>
      <c r="H251" s="6" t="s">
        <v>385</v>
      </c>
      <c r="I251" s="5" t="str">
        <f>IF(H251="","",VLOOKUP(H251,DB!A:B,2,0))</f>
        <v>vidicraft vst2110</v>
      </c>
      <c r="J251" s="6"/>
      <c r="K251" s="6" t="s">
        <v>386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6" t="s">
        <v>387</v>
      </c>
      <c r="B252" s="6" t="str">
        <f>IF(A252="","",VLOOKUP(A252,DB!A:B,2,0))</f>
        <v>tc electronic Finalizer</v>
      </c>
      <c r="C252" s="5"/>
      <c r="D252" s="6"/>
      <c r="E252" s="6" t="s">
        <v>388</v>
      </c>
      <c r="F252" s="5"/>
      <c r="G252" s="5"/>
      <c r="H252" s="6" t="s">
        <v>222</v>
      </c>
      <c r="I252" s="5" t="str">
        <f>IF(H252="","",VLOOKUP(H252,DB!A:B,2,0))</f>
        <v>AJA FS2</v>
      </c>
      <c r="J252" s="6"/>
      <c r="K252" s="6" t="s">
        <v>389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6" t="s">
        <v>387</v>
      </c>
      <c r="B253" s="6" t="str">
        <f>IF(A253="","",VLOOKUP(A253,DB!A:B,2,0))</f>
        <v>tc electronic Finalizer</v>
      </c>
      <c r="C253" s="5"/>
      <c r="D253" s="6"/>
      <c r="E253" s="6" t="s">
        <v>390</v>
      </c>
      <c r="F253" s="5"/>
      <c r="G253" s="5"/>
      <c r="H253" s="6" t="s">
        <v>88</v>
      </c>
      <c r="I253" s="5" t="str">
        <f>IF(H253="","",VLOOKUP(H253,DB!A:B,2,0))</f>
        <v/>
      </c>
      <c r="J253" s="6"/>
      <c r="K253" s="6"/>
      <c r="L253" s="5"/>
      <c r="M253" s="6" t="s">
        <v>391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6" t="s">
        <v>387</v>
      </c>
      <c r="B254" s="6" t="str">
        <f>IF(A254="","",VLOOKUP(A254,DB!A:B,2,0))</f>
        <v>tc electronic Finalizer</v>
      </c>
      <c r="C254" s="5"/>
      <c r="D254" s="6"/>
      <c r="E254" s="6" t="s">
        <v>392</v>
      </c>
      <c r="F254" s="5"/>
      <c r="G254" s="5"/>
      <c r="H254" s="6" t="s">
        <v>88</v>
      </c>
      <c r="I254" s="5" t="str">
        <f>IF(H254="","",VLOOKUP(H254,DB!A:B,2,0))</f>
        <v/>
      </c>
      <c r="J254" s="6"/>
      <c r="K254" s="6"/>
      <c r="L254" s="5"/>
      <c r="M254" s="6" t="s">
        <v>391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6" t="s">
        <v>393</v>
      </c>
      <c r="B255" s="6" t="str">
        <f>IF(A255="","",VLOOKUP(A255,DB!A:B,2,0))</f>
        <v>Videotron DV100-EQ</v>
      </c>
      <c r="C255" s="5"/>
      <c r="D255" s="6"/>
      <c r="E255" s="6" t="s">
        <v>15</v>
      </c>
      <c r="F255" s="6" t="s">
        <v>240</v>
      </c>
      <c r="G255" s="6" t="s">
        <v>17</v>
      </c>
      <c r="H255" s="6" t="s">
        <v>186</v>
      </c>
      <c r="I255" s="5" t="str">
        <f>IF(H255="","",VLOOKUP(H255,DB!A:B,2,0))</f>
        <v>Player A</v>
      </c>
      <c r="J255" s="6">
        <v>1.0</v>
      </c>
      <c r="K255" s="6" t="s">
        <v>394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6" t="s">
        <v>393</v>
      </c>
      <c r="B256" s="6" t="str">
        <f>IF(A256="","",VLOOKUP(A256,DB!A:B,2,0))</f>
        <v>Videotron DV100-EQ</v>
      </c>
      <c r="C256" s="5"/>
      <c r="D256" s="6"/>
      <c r="E256" s="6" t="s">
        <v>20</v>
      </c>
      <c r="F256" s="6" t="s">
        <v>240</v>
      </c>
      <c r="G256" s="6" t="s">
        <v>17</v>
      </c>
      <c r="H256" s="6" t="s">
        <v>186</v>
      </c>
      <c r="I256" s="5" t="str">
        <f>IF(H256="","",VLOOKUP(H256,DB!A:B,2,0))</f>
        <v>Player A</v>
      </c>
      <c r="J256" s="6">
        <v>2.0</v>
      </c>
      <c r="K256" s="6" t="s">
        <v>394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6" t="s">
        <v>393</v>
      </c>
      <c r="B257" s="6" t="str">
        <f>IF(A257="","",VLOOKUP(A257,DB!A:B,2,0))</f>
        <v>Videotron DV100-EQ</v>
      </c>
      <c r="C257" s="5"/>
      <c r="D257" s="6"/>
      <c r="E257" s="6" t="s">
        <v>23</v>
      </c>
      <c r="F257" s="6" t="s">
        <v>240</v>
      </c>
      <c r="G257" s="6" t="s">
        <v>17</v>
      </c>
      <c r="H257" s="6" t="s">
        <v>190</v>
      </c>
      <c r="I257" s="5" t="str">
        <f>IF(H257="","",VLOOKUP(H257,DB!A:B,2,0))</f>
        <v>Player B</v>
      </c>
      <c r="J257" s="6">
        <v>1.0</v>
      </c>
      <c r="K257" s="6" t="s">
        <v>394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6" t="s">
        <v>393</v>
      </c>
      <c r="B258" s="6" t="str">
        <f>IF(A258="","",VLOOKUP(A258,DB!A:B,2,0))</f>
        <v>Videotron DV100-EQ</v>
      </c>
      <c r="C258" s="5"/>
      <c r="D258" s="6"/>
      <c r="E258" s="6" t="s">
        <v>26</v>
      </c>
      <c r="F258" s="6" t="s">
        <v>240</v>
      </c>
      <c r="G258" s="6" t="s">
        <v>17</v>
      </c>
      <c r="H258" s="6" t="s">
        <v>190</v>
      </c>
      <c r="I258" s="5" t="str">
        <f>IF(H258="","",VLOOKUP(H258,DB!A:B,2,0))</f>
        <v>Player B</v>
      </c>
      <c r="J258" s="6">
        <v>2.0</v>
      </c>
      <c r="K258" s="6" t="s">
        <v>394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6" t="s">
        <v>393</v>
      </c>
      <c r="B259" s="6" t="str">
        <f>IF(A259="","",VLOOKUP(A259,DB!A:B,2,0))</f>
        <v>Videotron DV100-EQ</v>
      </c>
      <c r="C259" s="5"/>
      <c r="D259" s="6"/>
      <c r="E259" s="6" t="s">
        <v>29</v>
      </c>
      <c r="F259" s="6" t="s">
        <v>240</v>
      </c>
      <c r="G259" s="6" t="s">
        <v>17</v>
      </c>
      <c r="H259" s="6" t="s">
        <v>192</v>
      </c>
      <c r="I259" s="5" t="str">
        <f>IF(H259="","",VLOOKUP(H259,DB!A:B,2,0))</f>
        <v>Player C</v>
      </c>
      <c r="J259" s="6">
        <v>1.0</v>
      </c>
      <c r="K259" s="6" t="s">
        <v>394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6" t="s">
        <v>393</v>
      </c>
      <c r="B260" s="6" t="str">
        <f>IF(A260="","",VLOOKUP(A260,DB!A:B,2,0))</f>
        <v>Videotron DV100-EQ</v>
      </c>
      <c r="C260" s="5"/>
      <c r="D260" s="6"/>
      <c r="E260" s="6" t="s">
        <v>32</v>
      </c>
      <c r="F260" s="6" t="s">
        <v>240</v>
      </c>
      <c r="G260" s="6" t="s">
        <v>17</v>
      </c>
      <c r="H260" s="6" t="s">
        <v>192</v>
      </c>
      <c r="I260" s="5" t="str">
        <f>IF(H260="","",VLOOKUP(H260,DB!A:B,2,0))</f>
        <v>Player C</v>
      </c>
      <c r="J260" s="6">
        <v>2.0</v>
      </c>
      <c r="K260" s="6" t="s">
        <v>394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6" t="s">
        <v>393</v>
      </c>
      <c r="B261" s="6" t="str">
        <f>IF(A261="","",VLOOKUP(A261,DB!A:B,2,0))</f>
        <v>Videotron DV100-EQ</v>
      </c>
      <c r="C261" s="5"/>
      <c r="D261" s="6"/>
      <c r="E261" s="6" t="s">
        <v>35</v>
      </c>
      <c r="F261" s="6" t="s">
        <v>240</v>
      </c>
      <c r="G261" s="6" t="s">
        <v>17</v>
      </c>
      <c r="H261" s="6" t="s">
        <v>88</v>
      </c>
      <c r="I261" s="5" t="str">
        <f>IF(H261="","",VLOOKUP(H261,DB!A:B,2,0))</f>
        <v/>
      </c>
      <c r="J261" s="6"/>
      <c r="K261" s="6"/>
      <c r="L261" s="5"/>
      <c r="M261" s="6" t="s">
        <v>395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6" t="s">
        <v>393</v>
      </c>
      <c r="B262" s="6" t="str">
        <f>IF(A262="","",VLOOKUP(A262,DB!A:B,2,0))</f>
        <v>Videotron DV100-EQ</v>
      </c>
      <c r="C262" s="5"/>
      <c r="D262" s="6"/>
      <c r="E262" s="6" t="s">
        <v>38</v>
      </c>
      <c r="F262" s="6" t="s">
        <v>240</v>
      </c>
      <c r="G262" s="6" t="s">
        <v>17</v>
      </c>
      <c r="H262" s="6" t="s">
        <v>88</v>
      </c>
      <c r="I262" s="5" t="str">
        <f>IF(H262="","",VLOOKUP(H262,DB!A:B,2,0))</f>
        <v/>
      </c>
      <c r="J262" s="6"/>
      <c r="K262" s="6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6" t="s">
        <v>181</v>
      </c>
      <c r="B263" s="6" t="str">
        <f>IF(A263="","",VLOOKUP(A263,DB!A:B,2,0))</f>
        <v>?????</v>
      </c>
      <c r="C263" s="5"/>
      <c r="D263" s="6"/>
      <c r="E263" s="6"/>
      <c r="F263" s="5"/>
      <c r="G263" s="5"/>
      <c r="H263" s="6" t="s">
        <v>393</v>
      </c>
      <c r="I263" s="5" t="str">
        <f>IF(H263="","",VLOOKUP(H263,DB!A:B,2,0))</f>
        <v>Videotron DV100-EQ</v>
      </c>
      <c r="J263" s="6"/>
      <c r="K263" s="6" t="s">
        <v>17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6" t="s">
        <v>186</v>
      </c>
      <c r="B264" s="6" t="str">
        <f>IF(A264="","",VLOOKUP(A264,DB!A:B,2,0))</f>
        <v>Player A</v>
      </c>
      <c r="C264" s="6">
        <v>2.0</v>
      </c>
      <c r="D264" s="6" t="s">
        <v>187</v>
      </c>
      <c r="E264" s="6" t="s">
        <v>396</v>
      </c>
      <c r="F264" s="5"/>
      <c r="G264" s="5"/>
      <c r="H264" s="6" t="s">
        <v>349</v>
      </c>
      <c r="I264" s="5" t="str">
        <f>IF(H264="","",VLOOKUP(H264,DB!A:B,2,0))</f>
        <v>Yamaha QL5</v>
      </c>
      <c r="J264" s="6"/>
      <c r="K264" s="6" t="s">
        <v>248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6" t="s">
        <v>181</v>
      </c>
      <c r="B265" s="6" t="str">
        <f>IF(A265="","",VLOOKUP(A265,DB!A:B,2,0))</f>
        <v>?????</v>
      </c>
      <c r="C265" s="5"/>
      <c r="D265" s="6"/>
      <c r="E265" s="6"/>
      <c r="F265" s="5"/>
      <c r="G265" s="5"/>
      <c r="H265" s="6" t="s">
        <v>180</v>
      </c>
      <c r="I265" s="5" t="str">
        <f>IF(H265="","",VLOOKUP(H265,DB!A:B,2,0))</f>
        <v>openGear X</v>
      </c>
      <c r="J265" s="6">
        <v>1.0</v>
      </c>
      <c r="K265" s="6" t="s">
        <v>316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6" t="s">
        <v>180</v>
      </c>
      <c r="B266" s="6" t="str">
        <f>IF(A266="","",VLOOKUP(A266,DB!A:B,2,0))</f>
        <v>openGear X</v>
      </c>
      <c r="C266" s="6">
        <v>1.0</v>
      </c>
      <c r="D266" s="6" t="s">
        <v>314</v>
      </c>
      <c r="E266" s="6" t="s">
        <v>397</v>
      </c>
      <c r="F266" s="6" t="s">
        <v>240</v>
      </c>
      <c r="G266" s="6" t="s">
        <v>316</v>
      </c>
      <c r="H266" s="6" t="s">
        <v>180</v>
      </c>
      <c r="I266" s="5" t="str">
        <f>IF(H266="","",VLOOKUP(H266,DB!A:B,2,0))</f>
        <v>openGear X</v>
      </c>
      <c r="J266" s="6" t="s">
        <v>181</v>
      </c>
      <c r="K266" s="6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6" t="s">
        <v>180</v>
      </c>
      <c r="B267" s="6" t="str">
        <f>IF(A267="","",VLOOKUP(A267,DB!A:B,2,0))</f>
        <v>openGear X</v>
      </c>
      <c r="C267" s="6">
        <v>1.0</v>
      </c>
      <c r="D267" s="6" t="s">
        <v>314</v>
      </c>
      <c r="E267" s="6" t="s">
        <v>398</v>
      </c>
      <c r="F267" s="6" t="s">
        <v>240</v>
      </c>
      <c r="G267" s="6" t="s">
        <v>316</v>
      </c>
      <c r="H267" s="6" t="s">
        <v>180</v>
      </c>
      <c r="I267" s="5" t="str">
        <f>IF(H267="","",VLOOKUP(H267,DB!A:B,2,0))</f>
        <v>openGear X</v>
      </c>
      <c r="J267" s="6" t="s">
        <v>181</v>
      </c>
      <c r="K267" s="6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6" t="s">
        <v>180</v>
      </c>
      <c r="B268" s="6" t="str">
        <f>IF(A268="","",VLOOKUP(A268,DB!A:B,2,0))</f>
        <v>openGear X</v>
      </c>
      <c r="C268" s="6">
        <v>1.0</v>
      </c>
      <c r="D268" s="6" t="s">
        <v>314</v>
      </c>
      <c r="E268" s="6" t="s">
        <v>399</v>
      </c>
      <c r="F268" s="6" t="s">
        <v>240</v>
      </c>
      <c r="G268" s="6" t="s">
        <v>316</v>
      </c>
      <c r="H268" s="6" t="s">
        <v>180</v>
      </c>
      <c r="I268" s="5" t="str">
        <f>IF(H268="","",VLOOKUP(H268,DB!A:B,2,0))</f>
        <v>openGear X</v>
      </c>
      <c r="J268" s="6" t="s">
        <v>181</v>
      </c>
      <c r="K268" s="6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6" t="s">
        <v>180</v>
      </c>
      <c r="B269" s="6" t="str">
        <f>IF(A269="","",VLOOKUP(A269,DB!A:B,2,0))</f>
        <v>openGear X</v>
      </c>
      <c r="C269" s="6">
        <v>1.0</v>
      </c>
      <c r="D269" s="6" t="s">
        <v>314</v>
      </c>
      <c r="E269" s="6" t="s">
        <v>400</v>
      </c>
      <c r="F269" s="6" t="s">
        <v>240</v>
      </c>
      <c r="G269" s="6" t="s">
        <v>316</v>
      </c>
      <c r="H269" s="6" t="s">
        <v>180</v>
      </c>
      <c r="I269" s="5" t="str">
        <f>IF(H269="","",VLOOKUP(H269,DB!A:B,2,0))</f>
        <v>openGear X</v>
      </c>
      <c r="J269" s="6">
        <v>3.0</v>
      </c>
      <c r="K269" s="6" t="s">
        <v>106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6" t="s">
        <v>180</v>
      </c>
      <c r="B270" s="6" t="str">
        <f>IF(A270="","",VLOOKUP(A270,DB!A:B,2,0))</f>
        <v>openGear X</v>
      </c>
      <c r="C270" s="6">
        <v>1.0</v>
      </c>
      <c r="D270" s="6" t="s">
        <v>314</v>
      </c>
      <c r="E270" s="6" t="s">
        <v>401</v>
      </c>
      <c r="F270" s="6" t="s">
        <v>240</v>
      </c>
      <c r="G270" s="6" t="s">
        <v>316</v>
      </c>
      <c r="H270" s="6" t="s">
        <v>180</v>
      </c>
      <c r="I270" s="5" t="str">
        <f>IF(H270="","",VLOOKUP(H270,DB!A:B,2,0))</f>
        <v>openGear X</v>
      </c>
      <c r="J270" s="6">
        <v>2.0</v>
      </c>
      <c r="K270" s="6" t="s">
        <v>106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6" t="s">
        <v>180</v>
      </c>
      <c r="B271" s="6" t="str">
        <f>IF(A271="","",VLOOKUP(A271,DB!A:B,2,0))</f>
        <v>openGear X</v>
      </c>
      <c r="C271" s="6">
        <v>1.0</v>
      </c>
      <c r="D271" s="6" t="s">
        <v>314</v>
      </c>
      <c r="E271" s="6" t="s">
        <v>402</v>
      </c>
      <c r="F271" s="6" t="s">
        <v>240</v>
      </c>
      <c r="G271" s="6" t="s">
        <v>316</v>
      </c>
      <c r="H271" s="6" t="s">
        <v>180</v>
      </c>
      <c r="I271" s="5" t="str">
        <f>IF(H271="","",VLOOKUP(H271,DB!A:B,2,0))</f>
        <v>openGear X</v>
      </c>
      <c r="J271" s="6">
        <v>5.0</v>
      </c>
      <c r="K271" s="6" t="s">
        <v>106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6" t="s">
        <v>180</v>
      </c>
      <c r="B272" s="6" t="str">
        <f>IF(A272="","",VLOOKUP(A272,DB!A:B,2,0))</f>
        <v>openGear X</v>
      </c>
      <c r="C272" s="6">
        <v>1.0</v>
      </c>
      <c r="D272" s="6" t="s">
        <v>314</v>
      </c>
      <c r="E272" s="6" t="s">
        <v>403</v>
      </c>
      <c r="F272" s="6" t="s">
        <v>240</v>
      </c>
      <c r="G272" s="6" t="s">
        <v>316</v>
      </c>
      <c r="H272" s="6" t="s">
        <v>181</v>
      </c>
      <c r="I272" s="5" t="str">
        <f>IF(H272="","",VLOOKUP(H272,DB!A:B,2,0))</f>
        <v>?????</v>
      </c>
      <c r="J272" s="6"/>
      <c r="K272" s="6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6" t="s">
        <v>180</v>
      </c>
      <c r="B273" s="6" t="str">
        <f>IF(A273="","",VLOOKUP(A273,DB!A:B,2,0))</f>
        <v>openGear X</v>
      </c>
      <c r="C273" s="6">
        <v>1.0</v>
      </c>
      <c r="D273" s="6" t="s">
        <v>314</v>
      </c>
      <c r="E273" s="6" t="s">
        <v>404</v>
      </c>
      <c r="F273" s="6" t="s">
        <v>240</v>
      </c>
      <c r="G273" s="6" t="s">
        <v>316</v>
      </c>
      <c r="H273" s="6" t="s">
        <v>343</v>
      </c>
      <c r="I273" s="5" t="str">
        <f>IF(H273="","",VLOOKUP(H273,DB!A:B,2,0))</f>
        <v>VIDEObit 3G-LINK-TD</v>
      </c>
      <c r="J273" s="6"/>
      <c r="K273" s="6" t="s">
        <v>68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6" t="s">
        <v>180</v>
      </c>
      <c r="B274" s="6" t="str">
        <f>IF(A274="","",VLOOKUP(A274,DB!A:B,2,0))</f>
        <v>openGear X</v>
      </c>
      <c r="C274" s="6">
        <v>1.0</v>
      </c>
      <c r="D274" s="6" t="s">
        <v>314</v>
      </c>
      <c r="E274" s="6" t="s">
        <v>405</v>
      </c>
      <c r="F274" s="6" t="s">
        <v>240</v>
      </c>
      <c r="G274" s="6" t="s">
        <v>316</v>
      </c>
      <c r="H274" s="6" t="s">
        <v>88</v>
      </c>
      <c r="I274" s="5" t="str">
        <f>IF(H274="","",VLOOKUP(H274,DB!A:B,2,0))</f>
        <v/>
      </c>
      <c r="J274" s="6"/>
      <c r="K274" s="6"/>
      <c r="L274" s="5"/>
      <c r="M274" s="6" t="s">
        <v>211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6"/>
      <c r="B275" s="6" t="str">
        <f>IF(A275="","",VLOOKUP(A275,DB!A:B,2,0))</f>
        <v/>
      </c>
      <c r="C275" s="5"/>
      <c r="D275" s="6"/>
      <c r="E275" s="6"/>
      <c r="F275" s="5"/>
      <c r="G275" s="5"/>
      <c r="H275" s="6"/>
      <c r="I275" s="5" t="str">
        <f>IF(H275="","",VLOOKUP(H275,DB!A:B,2,0))</f>
        <v/>
      </c>
      <c r="J275" s="6"/>
      <c r="K275" s="6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6"/>
      <c r="B276" s="6" t="str">
        <f>IF(A276="","",VLOOKUP(A276,DB!A:B,2,0))</f>
        <v/>
      </c>
      <c r="C276" s="5"/>
      <c r="D276" s="6"/>
      <c r="E276" s="6"/>
      <c r="F276" s="5"/>
      <c r="G276" s="5"/>
      <c r="H276" s="6"/>
      <c r="I276" s="5" t="str">
        <f>IF(H276="","",VLOOKUP(H276,DB!A:B,2,0))</f>
        <v/>
      </c>
      <c r="J276" s="6"/>
      <c r="K276" s="6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6"/>
      <c r="B277" s="6" t="str">
        <f>IF(A277="","",VLOOKUP(A277,DB!A:B,2,0))</f>
        <v/>
      </c>
      <c r="C277" s="5"/>
      <c r="D277" s="6"/>
      <c r="E277" s="6"/>
      <c r="F277" s="5"/>
      <c r="G277" s="5"/>
      <c r="H277" s="6"/>
      <c r="I277" s="5" t="str">
        <f>IF(H277="","",VLOOKUP(H277,DB!A:B,2,0))</f>
        <v/>
      </c>
      <c r="J277" s="6"/>
      <c r="K277" s="6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6"/>
      <c r="B278" s="6" t="str">
        <f>IF(A278="","",VLOOKUP(A278,DB!A:B,2,0))</f>
        <v/>
      </c>
      <c r="C278" s="5"/>
      <c r="D278" s="6"/>
      <c r="E278" s="6"/>
      <c r="F278" s="5"/>
      <c r="G278" s="5"/>
      <c r="H278" s="6"/>
      <c r="I278" s="5" t="str">
        <f>IF(H278="","",VLOOKUP(H278,DB!A:B,2,0))</f>
        <v/>
      </c>
      <c r="J278" s="6"/>
      <c r="K278" s="6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6"/>
      <c r="B279" s="6" t="str">
        <f>IF(A279="","",VLOOKUP(A279,DB!A:B,2,0))</f>
        <v/>
      </c>
      <c r="C279" s="5"/>
      <c r="D279" s="6"/>
      <c r="E279" s="6"/>
      <c r="F279" s="5"/>
      <c r="G279" s="5"/>
      <c r="H279" s="6"/>
      <c r="I279" s="5" t="str">
        <f>IF(H279="","",VLOOKUP(H279,DB!A:B,2,0))</f>
        <v/>
      </c>
      <c r="J279" s="6"/>
      <c r="K279" s="6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6"/>
      <c r="B280" s="6" t="str">
        <f>IF(A280="","",VLOOKUP(A280,DB!A:B,2,0))</f>
        <v/>
      </c>
      <c r="C280" s="5"/>
      <c r="D280" s="6"/>
      <c r="E280" s="6"/>
      <c r="F280" s="5"/>
      <c r="G280" s="5"/>
      <c r="H280" s="6"/>
      <c r="I280" s="5" t="str">
        <f>IF(H280="","",VLOOKUP(H280,DB!A:B,2,0))</f>
        <v/>
      </c>
      <c r="J280" s="6"/>
      <c r="K280" s="6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6"/>
      <c r="B281" s="6" t="str">
        <f>IF(A281="","",VLOOKUP(A281,DB!A:B,2,0))</f>
        <v/>
      </c>
      <c r="C281" s="5"/>
      <c r="D281" s="6"/>
      <c r="E281" s="6"/>
      <c r="F281" s="5"/>
      <c r="G281" s="5"/>
      <c r="H281" s="6"/>
      <c r="I281" s="5" t="str">
        <f>IF(H281="","",VLOOKUP(H281,DB!A:B,2,0))</f>
        <v/>
      </c>
      <c r="J281" s="6"/>
      <c r="K281" s="6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6"/>
      <c r="B282" s="6" t="str">
        <f>IF(A282="","",VLOOKUP(A282,DB!A:B,2,0))</f>
        <v/>
      </c>
      <c r="C282" s="5"/>
      <c r="D282" s="6"/>
      <c r="E282" s="6"/>
      <c r="F282" s="5"/>
      <c r="G282" s="5"/>
      <c r="H282" s="6"/>
      <c r="I282" s="5" t="str">
        <f>IF(H282="","",VLOOKUP(H282,DB!A:B,2,0))</f>
        <v/>
      </c>
      <c r="J282" s="6"/>
      <c r="K282" s="6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6"/>
      <c r="B283" s="6" t="str">
        <f>IF(A283="","",VLOOKUP(A283,DB!A:B,2,0))</f>
        <v/>
      </c>
      <c r="C283" s="5"/>
      <c r="D283" s="6"/>
      <c r="E283" s="6"/>
      <c r="F283" s="5"/>
      <c r="G283" s="5"/>
      <c r="H283" s="6"/>
      <c r="I283" s="5" t="str">
        <f>IF(H283="","",VLOOKUP(H283,DB!A:B,2,0))</f>
        <v/>
      </c>
      <c r="J283" s="6"/>
      <c r="K283" s="6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6"/>
      <c r="B284" s="6" t="str">
        <f>IF(A284="","",VLOOKUP(A284,DB!A:B,2,0))</f>
        <v/>
      </c>
      <c r="C284" s="5"/>
      <c r="D284" s="6"/>
      <c r="E284" s="6"/>
      <c r="F284" s="5"/>
      <c r="G284" s="5"/>
      <c r="H284" s="6"/>
      <c r="I284" s="5" t="str">
        <f>IF(H284="","",VLOOKUP(H284,DB!A:B,2,0))</f>
        <v/>
      </c>
      <c r="J284" s="6"/>
      <c r="K284" s="6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6"/>
      <c r="B285" s="6" t="str">
        <f>IF(A285="","",VLOOKUP(A285,DB!A:B,2,0))</f>
        <v/>
      </c>
      <c r="C285" s="5"/>
      <c r="D285" s="6"/>
      <c r="E285" s="6"/>
      <c r="F285" s="5"/>
      <c r="G285" s="5"/>
      <c r="H285" s="6"/>
      <c r="I285" s="5" t="str">
        <f>IF(H285="","",VLOOKUP(H285,DB!A:B,2,0))</f>
        <v/>
      </c>
      <c r="J285" s="6"/>
      <c r="K285" s="6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6"/>
      <c r="B286" s="6" t="str">
        <f>IF(A286="","",VLOOKUP(A286,DB!A:B,2,0))</f>
        <v/>
      </c>
      <c r="C286" s="5"/>
      <c r="D286" s="6"/>
      <c r="E286" s="6"/>
      <c r="F286" s="5"/>
      <c r="G286" s="5"/>
      <c r="H286" s="6"/>
      <c r="I286" s="5" t="str">
        <f>IF(H286="","",VLOOKUP(H286,DB!A:B,2,0))</f>
        <v/>
      </c>
      <c r="J286" s="6"/>
      <c r="K286" s="6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6"/>
      <c r="B287" s="6" t="str">
        <f>IF(A287="","",VLOOKUP(A287,DB!A:B,2,0))</f>
        <v/>
      </c>
      <c r="C287" s="5"/>
      <c r="D287" s="6"/>
      <c r="E287" s="6"/>
      <c r="F287" s="5"/>
      <c r="G287" s="5"/>
      <c r="H287" s="6"/>
      <c r="I287" s="5" t="str">
        <f>IF(H287="","",VLOOKUP(H287,DB!A:B,2,0))</f>
        <v/>
      </c>
      <c r="J287" s="6"/>
      <c r="K287" s="6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6"/>
      <c r="B288" s="6" t="str">
        <f>IF(A288="","",VLOOKUP(A288,DB!A:B,2,0))</f>
        <v/>
      </c>
      <c r="C288" s="5"/>
      <c r="D288" s="6"/>
      <c r="E288" s="6"/>
      <c r="F288" s="5"/>
      <c r="G288" s="5"/>
      <c r="H288" s="6"/>
      <c r="I288" s="5" t="str">
        <f>IF(H288="","",VLOOKUP(H288,DB!A:B,2,0))</f>
        <v/>
      </c>
      <c r="J288" s="6"/>
      <c r="K288" s="6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6"/>
      <c r="B289" s="6" t="str">
        <f>IF(A289="","",VLOOKUP(A289,DB!A:B,2,0))</f>
        <v/>
      </c>
      <c r="C289" s="5"/>
      <c r="D289" s="6"/>
      <c r="E289" s="6"/>
      <c r="F289" s="5"/>
      <c r="G289" s="5"/>
      <c r="H289" s="6"/>
      <c r="I289" s="5" t="str">
        <f>IF(H289="","",VLOOKUP(H289,DB!A:B,2,0))</f>
        <v/>
      </c>
      <c r="J289" s="6"/>
      <c r="K289" s="6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6"/>
      <c r="B290" s="6" t="str">
        <f>IF(A290="","",VLOOKUP(A290,DB!A:B,2,0))</f>
        <v/>
      </c>
      <c r="C290" s="5"/>
      <c r="D290" s="6"/>
      <c r="E290" s="6"/>
      <c r="F290" s="5"/>
      <c r="G290" s="5"/>
      <c r="H290" s="6"/>
      <c r="I290" s="5" t="str">
        <f>IF(H290="","",VLOOKUP(H290,DB!A:B,2,0))</f>
        <v/>
      </c>
      <c r="J290" s="6"/>
      <c r="K290" s="6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6"/>
      <c r="B291" s="6" t="str">
        <f>IF(A291="","",VLOOKUP(A291,DB!A:B,2,0))</f>
        <v/>
      </c>
      <c r="C291" s="5"/>
      <c r="D291" s="6"/>
      <c r="E291" s="6"/>
      <c r="F291" s="5"/>
      <c r="G291" s="5"/>
      <c r="H291" s="6"/>
      <c r="I291" s="5" t="str">
        <f>IF(H291="","",VLOOKUP(H291,DB!A:B,2,0))</f>
        <v/>
      </c>
      <c r="J291" s="6"/>
      <c r="K291" s="6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6"/>
      <c r="B292" s="6" t="str">
        <f>IF(A292="","",VLOOKUP(A292,DB!A:B,2,0))</f>
        <v/>
      </c>
      <c r="C292" s="5"/>
      <c r="D292" s="6"/>
      <c r="E292" s="6"/>
      <c r="F292" s="5"/>
      <c r="G292" s="5"/>
      <c r="H292" s="6"/>
      <c r="I292" s="5" t="str">
        <f>IF(H292="","",VLOOKUP(H292,DB!A:B,2,0))</f>
        <v/>
      </c>
      <c r="J292" s="6"/>
      <c r="K292" s="6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6"/>
      <c r="B293" s="6" t="str">
        <f>IF(A293="","",VLOOKUP(A293,DB!A:B,2,0))</f>
        <v/>
      </c>
      <c r="C293" s="5"/>
      <c r="D293" s="6"/>
      <c r="E293" s="6"/>
      <c r="F293" s="5"/>
      <c r="G293" s="5"/>
      <c r="H293" s="6"/>
      <c r="I293" s="5" t="str">
        <f>IF(H293="","",VLOOKUP(H293,DB!A:B,2,0))</f>
        <v/>
      </c>
      <c r="J293" s="6"/>
      <c r="K293" s="6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6"/>
      <c r="B294" s="6" t="str">
        <f>IF(A294="","",VLOOKUP(A294,DB!A:B,2,0))</f>
        <v/>
      </c>
      <c r="C294" s="5"/>
      <c r="D294" s="6"/>
      <c r="E294" s="6"/>
      <c r="F294" s="5"/>
      <c r="G294" s="5"/>
      <c r="H294" s="6"/>
      <c r="I294" s="5" t="str">
        <f>IF(H294="","",VLOOKUP(H294,DB!A:B,2,0))</f>
        <v/>
      </c>
      <c r="J294" s="6"/>
      <c r="K294" s="6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</sheetData>
  <conditionalFormatting sqref="A1:AB500">
    <cfRule type="cellIs" dxfId="0" priority="1" operator="equal">
      <formula>"N/D"</formula>
    </cfRule>
  </conditionalFormatting>
  <conditionalFormatting sqref="A1:AB500">
    <cfRule type="cellIs" dxfId="1" priority="2" operator="equal">
      <formula>"N/C"</formula>
    </cfRule>
  </conditionalFormatting>
  <conditionalFormatting sqref="A1:AB500">
    <cfRule type="expression" dxfId="2" priority="3">
      <formula>ISEVEN(ROW())</formula>
    </cfRule>
  </conditionalFormatting>
  <dataValidations>
    <dataValidation type="list" allowBlank="1" showErrorMessage="1" sqref="A2:A500 H2:H500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4" t="s">
        <v>406</v>
      </c>
      <c r="B1" s="15" t="s">
        <v>407</v>
      </c>
      <c r="C1" s="16" t="s">
        <v>408</v>
      </c>
      <c r="D1" s="17" t="s">
        <v>409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410</v>
      </c>
      <c r="B2" s="7" t="s">
        <v>411</v>
      </c>
      <c r="C2" s="18" t="s">
        <v>412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186</v>
      </c>
      <c r="B3" s="7" t="s">
        <v>413</v>
      </c>
      <c r="C3" s="18" t="s">
        <v>414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415</v>
      </c>
      <c r="C4" s="18" t="s">
        <v>416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417</v>
      </c>
      <c r="C5" s="18" t="s">
        <v>418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158</v>
      </c>
      <c r="B6" s="7" t="s">
        <v>419</v>
      </c>
      <c r="C6" s="19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393</v>
      </c>
      <c r="B7" s="11" t="s">
        <v>420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421</v>
      </c>
      <c r="B9" s="7" t="s">
        <v>422</v>
      </c>
      <c r="C9" s="18" t="s">
        <v>423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424</v>
      </c>
      <c r="C10" s="18" t="s">
        <v>425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426</v>
      </c>
      <c r="C11" s="18" t="s">
        <v>427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428</v>
      </c>
      <c r="C12" s="18" t="s">
        <v>429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430</v>
      </c>
      <c r="B14" s="11" t="s">
        <v>431</v>
      </c>
      <c r="C14" s="19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432</v>
      </c>
      <c r="B15" s="7" t="s">
        <v>433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</v>
      </c>
      <c r="B16" s="7" t="s">
        <v>434</v>
      </c>
      <c r="C16" s="18" t="s">
        <v>435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436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</v>
      </c>
      <c r="B18" s="7" t="s">
        <v>437</v>
      </c>
      <c r="C18" s="19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261</v>
      </c>
      <c r="B19" s="7" t="s">
        <v>438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438</v>
      </c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364</v>
      </c>
      <c r="B22" s="11" t="s">
        <v>439</v>
      </c>
      <c r="C22" s="19" t="s">
        <v>440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366</v>
      </c>
      <c r="B23" s="11" t="s">
        <v>441</v>
      </c>
      <c r="C23" s="19" t="s">
        <v>442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443</v>
      </c>
      <c r="B24" s="7"/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213</v>
      </c>
      <c r="B26" s="7" t="s">
        <v>444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445</v>
      </c>
      <c r="B27" s="7" t="s">
        <v>446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216</v>
      </c>
      <c r="B28" s="7" t="s">
        <v>447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219</v>
      </c>
      <c r="B29" s="7" t="s">
        <v>447</v>
      </c>
      <c r="C29" s="19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225</v>
      </c>
      <c r="B30" s="7" t="s">
        <v>448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200</v>
      </c>
      <c r="B31" s="7" t="s">
        <v>449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450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357</v>
      </c>
      <c r="B33" s="7" t="s">
        <v>446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450</v>
      </c>
      <c r="C34" s="18" t="s">
        <v>451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387</v>
      </c>
      <c r="B35" s="7" t="s">
        <v>452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453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150</v>
      </c>
      <c r="B37" s="7" t="s">
        <v>454</v>
      </c>
      <c r="C37" s="19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222</v>
      </c>
      <c r="B38" s="7" t="s">
        <v>454</v>
      </c>
      <c r="C38" s="18" t="s">
        <v>455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382</v>
      </c>
      <c r="B39" s="7" t="s">
        <v>456</v>
      </c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385</v>
      </c>
      <c r="B40" s="7" t="s">
        <v>457</v>
      </c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232</v>
      </c>
      <c r="B41" s="7" t="s">
        <v>458</v>
      </c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459</v>
      </c>
      <c r="B43" s="7" t="s">
        <v>460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154</v>
      </c>
      <c r="B44" s="7" t="s">
        <v>461</v>
      </c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173</v>
      </c>
      <c r="B45" s="7" t="s">
        <v>462</v>
      </c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463</v>
      </c>
      <c r="C46" s="18" t="s">
        <v>464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465</v>
      </c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466</v>
      </c>
      <c r="B49" s="7" t="s">
        <v>467</v>
      </c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276</v>
      </c>
      <c r="B50" s="11" t="s">
        <v>468</v>
      </c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279</v>
      </c>
      <c r="B51" s="11" t="s">
        <v>469</v>
      </c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282</v>
      </c>
      <c r="B52" s="11" t="s">
        <v>470</v>
      </c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285</v>
      </c>
      <c r="B53" s="11" t="s">
        <v>471</v>
      </c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250</v>
      </c>
      <c r="B54" s="7" t="s">
        <v>472</v>
      </c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473</v>
      </c>
      <c r="C55" s="19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376</v>
      </c>
      <c r="B56" s="7" t="s">
        <v>474</v>
      </c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475</v>
      </c>
      <c r="B58" s="11"/>
      <c r="C58" s="18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8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363</v>
      </c>
      <c r="B60" s="6" t="s">
        <v>476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477</v>
      </c>
      <c r="B61" s="11" t="s">
        <v>478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479</v>
      </c>
      <c r="B62" s="11" t="s">
        <v>480</v>
      </c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343</v>
      </c>
      <c r="B63" s="11" t="s">
        <v>481</v>
      </c>
      <c r="C63" s="18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482</v>
      </c>
      <c r="B64" s="7"/>
      <c r="C64" s="18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180</v>
      </c>
      <c r="B65" s="7" t="s">
        <v>450</v>
      </c>
      <c r="C65" s="18" t="s">
        <v>483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207</v>
      </c>
      <c r="B67" s="6" t="s">
        <v>484</v>
      </c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485</v>
      </c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486</v>
      </c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256</v>
      </c>
      <c r="B71" s="7" t="s">
        <v>487</v>
      </c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379</v>
      </c>
      <c r="B72" s="7" t="s">
        <v>488</v>
      </c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346</v>
      </c>
      <c r="B73" s="7" t="s">
        <v>489</v>
      </c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342</v>
      </c>
      <c r="B75" s="7" t="s">
        <v>490</v>
      </c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349</v>
      </c>
      <c r="B76" s="7" t="s">
        <v>491</v>
      </c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344</v>
      </c>
      <c r="B77" s="7" t="s">
        <v>492</v>
      </c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369</v>
      </c>
      <c r="B78" s="7" t="s">
        <v>493</v>
      </c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494</v>
      </c>
      <c r="B79" s="7" t="s">
        <v>495</v>
      </c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372</v>
      </c>
      <c r="B80" s="7" t="s">
        <v>496</v>
      </c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147</v>
      </c>
      <c r="B81" s="7" t="s">
        <v>497</v>
      </c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345</v>
      </c>
      <c r="B82" s="7" t="s">
        <v>498</v>
      </c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374</v>
      </c>
      <c r="B83" s="7" t="s">
        <v>499</v>
      </c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109</v>
      </c>
      <c r="B84" s="7" t="s">
        <v>500</v>
      </c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368</v>
      </c>
      <c r="B85" s="11" t="s">
        <v>501</v>
      </c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502</v>
      </c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181</v>
      </c>
      <c r="B89" s="11" t="s">
        <v>503</v>
      </c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88</v>
      </c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341</v>
      </c>
      <c r="B93" s="6" t="s">
        <v>504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340</v>
      </c>
      <c r="B94" s="6" t="s">
        <v>505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338</v>
      </c>
      <c r="B95" s="6" t="s">
        <v>506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507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6" t="s">
        <v>508</v>
      </c>
      <c r="H2" s="5"/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ROW(Conexiones!K2:"&amp;"K500)^0, ISNUMBER(SEARCH(K2, Conexiones!K2:K500))),
    IF(L2="""", ROW(Conexiones!L2:L500)^0, ISNUMBER(SEARCH(L2, Conexiones!L2:L500))),
    IF(M2="""", ROW(Conexiones!M2:M500)^0, ISNUMBER(SEARCH(M2, Conexiones!M2:M500))),
    IF(N2="""", ROW(Conexiones!"&amp;"N2:N500)^0, ISNUMBER(SEARCH(N2, Conexiones!N2:N500)))
  ),
  P2,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IFERROR(__xludf.DUMMYFUNCTION("""COMPUTED_VALUE"""),6.0)</f>
        <v>6</v>
      </c>
      <c r="D3" s="5" t="str">
        <f>IFERROR(__xludf.DUMMYFUNCTION("""COMPUTED_VALUE"""),"Dist. Amp. 1x9")</f>
        <v>Dist. Amp. 1x9</v>
      </c>
      <c r="E3" s="5" t="str">
        <f>IFERROR(__xludf.DUMMYFUNCTION("""COMPUTED_VALUE"""),"J3")</f>
        <v>J3</v>
      </c>
      <c r="F3" s="5" t="str">
        <f>IFERROR(__xludf.DUMMYFUNCTION("""COMPUTED_VALUE"""),"T")</f>
        <v>T</v>
      </c>
      <c r="G3" s="5" t="str">
        <f>IFERROR(__xludf.DUMMYFUNCTION("""COMPUTED_VALUE"""),"J1 (in)")</f>
        <v>J1 (in)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 t="str">
        <f>IFERROR(__xludf.DUMMYFUNCTION("""COMPUTED_VALUE"""),"In 62")</f>
        <v>In 62</v>
      </c>
      <c r="L3" s="5" t="str">
        <f>IFERROR(__xludf.DUMMYFUNCTION("""COMPUTED_VALUE"""),"LINEA 1X9")</f>
        <v>LINEA 1X9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IFERROR(__xludf.DUMMYFUNCTION("""COMPUTED_VALUE"""),6.0)</f>
        <v>6</v>
      </c>
      <c r="D4" s="5" t="str">
        <f>IFERROR(__xludf.DUMMYFUNCTION("""COMPUTED_VALUE"""),"Dist. Amp. 1x9")</f>
        <v>Dist. Amp. 1x9</v>
      </c>
      <c r="E4" s="5" t="str">
        <f>IFERROR(__xludf.DUMMYFUNCTION("""COMPUTED_VALUE"""),"J5")</f>
        <v>J5</v>
      </c>
      <c r="F4" s="5" t="str">
        <f>IFERROR(__xludf.DUMMYFUNCTION("""COMPUTED_VALUE"""),"T")</f>
        <v>T</v>
      </c>
      <c r="G4" s="5" t="str">
        <f>IFERROR(__xludf.DUMMYFUNCTION("""COMPUTED_VALUE"""),"J1 (in)")</f>
        <v>J1 (in)</v>
      </c>
      <c r="H4" s="5" t="str">
        <f>IFERROR(__xludf.DUMMYFUNCTION("""COMPUTED_VALUE"""),"L.1")</f>
        <v>L.1</v>
      </c>
      <c r="I4" s="5" t="str">
        <f>IFERROR(__xludf.DUMMYFUNCTION("""COMPUTED_VALUE"""),"VIDEOTRON")</f>
        <v>VIDEOTRON</v>
      </c>
      <c r="J4" s="5"/>
      <c r="K4" s="5" t="str">
        <f>IFERROR(__xludf.DUMMYFUNCTION("""COMPUTED_VALUE"""),"SDI In 1")</f>
        <v>SDI In 1</v>
      </c>
      <c r="L4" s="5"/>
      <c r="M4" s="5" t="str">
        <f>IFERROR(__xludf.DUMMYFUNCTION("""COMPUTED_VALUE"""),"N/D")</f>
        <v>N/D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IFERROR(__xludf.DUMMYFUNCTION("""COMPUTED_VALUE"""),"L.6")</f>
        <v>L.6</v>
      </c>
      <c r="B5" s="5" t="str">
        <f>IFERROR(__xludf.DUMMYFUNCTION("""COMPUTED_VALUE"""),"openGear X")</f>
        <v>openGear X</v>
      </c>
      <c r="C5" s="5">
        <f>IFERROR(__xludf.DUMMYFUNCTION("""COMPUTED_VALUE"""),1.0)</f>
        <v>1</v>
      </c>
      <c r="D5" s="5" t="str">
        <f>IFERROR(__xludf.DUMMYFUNCTION("""COMPUTED_VALUE"""),"Dist. Amp. 1x9")</f>
        <v>Dist. Amp. 1x9</v>
      </c>
      <c r="E5" s="5" t="str">
        <f>IFERROR(__xludf.DUMMYFUNCTION("""COMPUTED_VALUE"""),"J2 (out)")</f>
        <v>J2 (out)</v>
      </c>
      <c r="F5" s="5" t="str">
        <f>IFERROR(__xludf.DUMMYFUNCTION("""COMPUTED_VALUE"""),"T")</f>
        <v>T</v>
      </c>
      <c r="G5" s="5" t="str">
        <f>IFERROR(__xludf.DUMMYFUNCTION("""COMPUTED_VALUE"""),"J1 (in)")</f>
        <v>J1 (in)</v>
      </c>
      <c r="H5" s="5" t="str">
        <f>IFERROR(__xludf.DUMMYFUNCTION("""COMPUTED_VALUE"""),"L.6")</f>
        <v>L.6</v>
      </c>
      <c r="I5" s="5" t="str">
        <f>IFERROR(__xludf.DUMMYFUNCTION("""COMPUTED_VALUE"""),"openGear X")</f>
        <v>openGear X</v>
      </c>
      <c r="J5" s="5" t="str">
        <f>IFERROR(__xludf.DUMMYFUNCTION("""COMPUTED_VALUE"""),"N/D")</f>
        <v>N/D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IFERROR(__xludf.DUMMYFUNCTION("""COMPUTED_VALUE"""),"L.6")</f>
        <v>L.6</v>
      </c>
      <c r="B6" s="5" t="str">
        <f>IFERROR(__xludf.DUMMYFUNCTION("""COMPUTED_VALUE"""),"openGear X")</f>
        <v>openGear X</v>
      </c>
      <c r="C6" s="5">
        <f>IFERROR(__xludf.DUMMYFUNCTION("""COMPUTED_VALUE"""),1.0)</f>
        <v>1</v>
      </c>
      <c r="D6" s="5" t="str">
        <f>IFERROR(__xludf.DUMMYFUNCTION("""COMPUTED_VALUE"""),"Dist. Amp. 1x9")</f>
        <v>Dist. Amp. 1x9</v>
      </c>
      <c r="E6" s="5" t="str">
        <f>IFERROR(__xludf.DUMMYFUNCTION("""COMPUTED_VALUE"""),"J3 (out)")</f>
        <v>J3 (out)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IFERROR(__xludf.DUMMYFUNCTION("""COMPUTED_VALUE"""),"L.6")</f>
        <v>L.6</v>
      </c>
      <c r="I6" s="5" t="str">
        <f>IFERROR(__xludf.DUMMYFUNCTION("""COMPUTED_VALUE"""),"openGear X")</f>
        <v>openGear X</v>
      </c>
      <c r="J6" s="5" t="str">
        <f>IFERROR(__xludf.DUMMYFUNCTION("""COMPUTED_VALUE"""),"N/D")</f>
        <v>N/D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IFERROR(__xludf.DUMMYFUNCTION("""COMPUTED_VALUE"""),"L.6")</f>
        <v>L.6</v>
      </c>
      <c r="B7" s="5" t="str">
        <f>IFERROR(__xludf.DUMMYFUNCTION("""COMPUTED_VALUE"""),"openGear X")</f>
        <v>openGear X</v>
      </c>
      <c r="C7" s="5">
        <f>IFERROR(__xludf.DUMMYFUNCTION("""COMPUTED_VALUE"""),1.0)</f>
        <v>1</v>
      </c>
      <c r="D7" s="5" t="str">
        <f>IFERROR(__xludf.DUMMYFUNCTION("""COMPUTED_VALUE"""),"Dist. Amp. 1x9")</f>
        <v>Dist. Amp. 1x9</v>
      </c>
      <c r="E7" s="5" t="str">
        <f>IFERROR(__xludf.DUMMYFUNCTION("""COMPUTED_VALUE"""),"J4 (out)")</f>
        <v>J4 (out)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IFERROR(__xludf.DUMMYFUNCTION("""COMPUTED_VALUE"""),"L.6")</f>
        <v>L.6</v>
      </c>
      <c r="I7" s="5" t="str">
        <f>IFERROR(__xludf.DUMMYFUNCTION("""COMPUTED_VALUE"""),"openGear X")</f>
        <v>openGear X</v>
      </c>
      <c r="J7" s="5" t="str">
        <f>IFERROR(__xludf.DUMMYFUNCTION("""COMPUTED_VALUE"""),"N/D")</f>
        <v>N/D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IFERROR(__xludf.DUMMYFUNCTION("""COMPUTED_VALUE"""),"L.6")</f>
        <v>L.6</v>
      </c>
      <c r="B8" s="5" t="str">
        <f>IFERROR(__xludf.DUMMYFUNCTION("""COMPUTED_VALUE"""),"openGear X")</f>
        <v>openGear X</v>
      </c>
      <c r="C8" s="5">
        <f>IFERROR(__xludf.DUMMYFUNCTION("""COMPUTED_VALUE"""),1.0)</f>
        <v>1</v>
      </c>
      <c r="D8" s="5" t="str">
        <f>IFERROR(__xludf.DUMMYFUNCTION("""COMPUTED_VALUE"""),"Dist. Amp. 1x9")</f>
        <v>Dist. Amp. 1x9</v>
      </c>
      <c r="E8" s="5" t="str">
        <f>IFERROR(__xludf.DUMMYFUNCTION("""COMPUTED_VALUE"""),"J5 (out)")</f>
        <v>J5 (out)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IFERROR(__xludf.DUMMYFUNCTION("""COMPUTED_VALUE"""),"L.6")</f>
        <v>L.6</v>
      </c>
      <c r="I8" s="5" t="str">
        <f>IFERROR(__xludf.DUMMYFUNCTION("""COMPUTED_VALUE"""),"openGear X")</f>
        <v>openGear X</v>
      </c>
      <c r="J8" s="5">
        <f>IFERROR(__xludf.DUMMYFUNCTION("""COMPUTED_VALUE"""),3.0)</f>
        <v>3</v>
      </c>
      <c r="K8" s="5" t="str">
        <f>IFERROR(__xludf.DUMMYFUNCTION("""COMPUTED_VALUE"""),"SDI In")</f>
        <v>SDI In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IFERROR(__xludf.DUMMYFUNCTION("""COMPUTED_VALUE"""),"L.6")</f>
        <v>L.6</v>
      </c>
      <c r="B9" s="5" t="str">
        <f>IFERROR(__xludf.DUMMYFUNCTION("""COMPUTED_VALUE"""),"openGear X")</f>
        <v>openGear X</v>
      </c>
      <c r="C9" s="5">
        <f>IFERROR(__xludf.DUMMYFUNCTION("""COMPUTED_VALUE"""),1.0)</f>
        <v>1</v>
      </c>
      <c r="D9" s="5" t="str">
        <f>IFERROR(__xludf.DUMMYFUNCTION("""COMPUTED_VALUE"""),"Dist. Amp. 1x9")</f>
        <v>Dist. Amp. 1x9</v>
      </c>
      <c r="E9" s="5" t="str">
        <f>IFERROR(__xludf.DUMMYFUNCTION("""COMPUTED_VALUE"""),"J6 (out)")</f>
        <v>J6 (out)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IFERROR(__xludf.DUMMYFUNCTION("""COMPUTED_VALUE"""),"L.6")</f>
        <v>L.6</v>
      </c>
      <c r="I9" s="5" t="str">
        <f>IFERROR(__xludf.DUMMYFUNCTION("""COMPUTED_VALUE"""),"openGear X")</f>
        <v>openGear X</v>
      </c>
      <c r="J9" s="5">
        <f>IFERROR(__xludf.DUMMYFUNCTION("""COMPUTED_VALUE"""),2.0)</f>
        <v>2</v>
      </c>
      <c r="K9" s="5" t="str">
        <f>IFERROR(__xludf.DUMMYFUNCTION("""COMPUTED_VALUE"""),"SDI In")</f>
        <v>SDI In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IFERROR(__xludf.DUMMYFUNCTION("""COMPUTED_VALUE"""),"L.6")</f>
        <v>L.6</v>
      </c>
      <c r="B10" s="5" t="str">
        <f>IFERROR(__xludf.DUMMYFUNCTION("""COMPUTED_VALUE"""),"openGear X")</f>
        <v>openGear X</v>
      </c>
      <c r="C10" s="5">
        <f>IFERROR(__xludf.DUMMYFUNCTION("""COMPUTED_VALUE"""),1.0)</f>
        <v>1</v>
      </c>
      <c r="D10" s="5" t="str">
        <f>IFERROR(__xludf.DUMMYFUNCTION("""COMPUTED_VALUE"""),"Dist. Amp. 1x9")</f>
        <v>Dist. Amp. 1x9</v>
      </c>
      <c r="E10" s="5" t="str">
        <f>IFERROR(__xludf.DUMMYFUNCTION("""COMPUTED_VALUE"""),"J7 (out)")</f>
        <v>J7 (out)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IFERROR(__xludf.DUMMYFUNCTION("""COMPUTED_VALUE"""),"L.6")</f>
        <v>L.6</v>
      </c>
      <c r="I10" s="5" t="str">
        <f>IFERROR(__xludf.DUMMYFUNCTION("""COMPUTED_VALUE"""),"openGear X")</f>
        <v>openGear X</v>
      </c>
      <c r="J10" s="5">
        <f>IFERROR(__xludf.DUMMYFUNCTION("""COMPUTED_VALUE"""),5.0)</f>
        <v>5</v>
      </c>
      <c r="K10" s="5" t="str">
        <f>IFERROR(__xludf.DUMMYFUNCTION("""COMPUTED_VALUE"""),"SDI In")</f>
        <v>SDI In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IFERROR(__xludf.DUMMYFUNCTION("""COMPUTED_VALUE"""),"L.6")</f>
        <v>L.6</v>
      </c>
      <c r="B11" s="5" t="str">
        <f>IFERROR(__xludf.DUMMYFUNCTION("""COMPUTED_VALUE"""),"openGear X")</f>
        <v>openGear X</v>
      </c>
      <c r="C11" s="5">
        <f>IFERROR(__xludf.DUMMYFUNCTION("""COMPUTED_VALUE"""),1.0)</f>
        <v>1</v>
      </c>
      <c r="D11" s="5" t="str">
        <f>IFERROR(__xludf.DUMMYFUNCTION("""COMPUTED_VALUE"""),"Dist. Amp. 1x9")</f>
        <v>Dist. Amp. 1x9</v>
      </c>
      <c r="E11" s="5" t="str">
        <f>IFERROR(__xludf.DUMMYFUNCTION("""COMPUTED_VALUE"""),"J8 (out)")</f>
        <v>J8 (out)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IFERROR(__xludf.DUMMYFUNCTION("""COMPUTED_VALUE"""),"N/D")</f>
        <v>N/D</v>
      </c>
      <c r="I11" s="5" t="str">
        <f>IFERROR(__xludf.DUMMYFUNCTION("""COMPUTED_VALUE"""),"?????")</f>
        <v>?????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 t="str">
        <f>IFERROR(__xludf.DUMMYFUNCTION("""COMPUTED_VALUE"""),"L.6")</f>
        <v>L.6</v>
      </c>
      <c r="B12" s="5" t="str">
        <f>IFERROR(__xludf.DUMMYFUNCTION("""COMPUTED_VALUE"""),"openGear X")</f>
        <v>openGear X</v>
      </c>
      <c r="C12" s="5">
        <f>IFERROR(__xludf.DUMMYFUNCTION("""COMPUTED_VALUE"""),1.0)</f>
        <v>1</v>
      </c>
      <c r="D12" s="5" t="str">
        <f>IFERROR(__xludf.DUMMYFUNCTION("""COMPUTED_VALUE"""),"Dist. Amp. 1x9")</f>
        <v>Dist. Amp. 1x9</v>
      </c>
      <c r="E12" s="5" t="str">
        <f>IFERROR(__xludf.DUMMYFUNCTION("""COMPUTED_VALUE"""),"J9 (out)")</f>
        <v>J9 (out)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IFERROR(__xludf.DUMMYFUNCTION("""COMPUTED_VALUE"""),"L.4")</f>
        <v>L.4</v>
      </c>
      <c r="I12" s="5" t="str">
        <f>IFERROR(__xludf.DUMMYFUNCTION("""COMPUTED_VALUE"""),"VIDEObit 3G-LINK-TD")</f>
        <v>VIDEObit 3G-LINK-TD</v>
      </c>
      <c r="J12" s="5"/>
      <c r="K12" s="5" t="str">
        <f>IFERROR(__xludf.DUMMYFUNCTION("""COMPUTED_VALUE"""),"SDI In 2")</f>
        <v>SDI In 2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 t="str">
        <f>IFERROR(__xludf.DUMMYFUNCTION("""COMPUTED_VALUE"""),"L.6")</f>
        <v>L.6</v>
      </c>
      <c r="B13" s="5" t="str">
        <f>IFERROR(__xludf.DUMMYFUNCTION("""COMPUTED_VALUE"""),"openGear X")</f>
        <v>openGear X</v>
      </c>
      <c r="C13" s="5">
        <f>IFERROR(__xludf.DUMMYFUNCTION("""COMPUTED_VALUE"""),1.0)</f>
        <v>1</v>
      </c>
      <c r="D13" s="5" t="str">
        <f>IFERROR(__xludf.DUMMYFUNCTION("""COMPUTED_VALUE"""),"Dist. Amp. 1x9")</f>
        <v>Dist. Amp. 1x9</v>
      </c>
      <c r="E13" s="5" t="str">
        <f>IFERROR(__xludf.DUMMYFUNCTION("""COMPUTED_VALUE"""),"J10 (out)")</f>
        <v>J10 (out)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IFERROR(__xludf.DUMMYFUNCTION("""COMPUTED_VALUE"""),"N/C")</f>
        <v>N/C</v>
      </c>
      <c r="I13" s="5"/>
      <c r="J13" s="5"/>
      <c r="K13" s="5"/>
      <c r="L13" s="5"/>
      <c r="M13" s="5" t="str">
        <f>IFERROR(__xludf.DUMMYFUNCTION("""COMPUTED_VALUE"""),"Cable suelto en Rack L")</f>
        <v>Cable suelto en Rack L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