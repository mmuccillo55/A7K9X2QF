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<sst xmlns="http://schemas.openxmlformats.org/spreadsheetml/2006/main" count="1469" uniqueCount="481">
  <si>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</si>
  <si>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</si>
  <si>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</si>
  <si>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</si>
  <si>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</si>
  <si>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</si>
  <si>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</si>
  <si>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</si>
  <si>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</si>
  <si>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</si>
  <si>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</si>
  <si>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</si>
  <si>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</si>
  <si>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</si>
  <si>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</si>
  <si>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</si>
  <si>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</si>
  <si>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</si>
  <si>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</si>
  <si>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</si>
  <si>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</si>
  <si>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</si>
  <si>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</si>
  <si>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</si>
  <si>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</si>
  <si>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</si>
  <si>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</si>
  <si>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</si>
  <si>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</si>
  <si>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</si>
  <si>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</si>
  <si>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</si>
  <si>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</si>
  <si>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</si>
  <si>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</si>
  <si>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</si>
  <si>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</si>
  <si>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</si>
  <si>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</si>
  <si>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</si>
  <si>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</si>
  <si>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</si>
  <si>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</si>
  <si>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</si>
  <si>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</si>
  <si>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</si>
  <si>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</si>
  <si>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</si>
  <si>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</si>
  <si>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</si>
  <si>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</si>
  <si>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</si>
  <si>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</si>
  <si>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</si>
  <si>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</si>
  <si>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</si>
  <si>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</si>
  <si>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</si>
  <si>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</si>
  <si>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</si>
  <si>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</si>
  <si>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</si>
  <si>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</si>
  <si>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</si>
  <si>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</si>
  <si>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</si>
  <si>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</si>
  <si>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</si>
  <si>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</si>
  <si>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</si>
  <si>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</si>
  <si>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</si>
  <si>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</si>
  <si>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</si>
  <si>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</si>
  <si>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</si>
  <si>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</si>
  <si>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</si>
  <si>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</si>
  <si>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</si>
  <si>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</si>
  <si>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</si>
  <si>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</si>
  <si>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</si>
  <si>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</si>
  <si>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</si>
  <si>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</si>
  <si>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</si>
  <si>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</si>
  <si>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</si>
  <si>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</si>
  <si>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</si>
  <si>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</si>
  <si>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</si>
  <si>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</si>
  <si>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</si>
  <si>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</si>
  <si>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</si>
  <si>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</si>
  <si>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</si>
  <si>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</si>
  <si>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</si>
  <si>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</si>
  <si>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</si>
  <si>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</si>
  <si>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</si>
  <si>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</si>
  <si>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</si>
  <si>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</si>
  <si>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</si>
  <si>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</si>
  <si>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</si>
  <si>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</si>
  <si>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</si>
  <si>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</si>
  <si>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</si>
  <si>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</si>
  <si>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</si>
  <si>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</si>
  <si>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</si>
  <si>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</si>
  <si>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</si>
  <si>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</si>
  <si>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</si>
  <si>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</si>
  <si>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</si>
  <si>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</si>
  <si>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</si>
  <si>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</si>
  <si>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</si>
  <si>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</si>
  <si>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</si>
  <si>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</si>
  <si>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</si>
  <si>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</si>
  <si>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</si>
  <si>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</si>
  <si>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</si>
  <si>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</si>
  <si>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</si>
  <si>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</si>
  <si>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</si>
  <si>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</si>
  <si>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</si>
  <si>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</si>
  <si>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</si>
  <si>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</si>
  <si>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</si>
  <si>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</si>
  <si>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</si>
  <si>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</si>
  <si>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</si>
  <si>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</si>
  <si>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In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</si>
  <si>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</si>
  <si>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</si>
  <si>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</si>
  <si>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</si>
  <si>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</si>
  <si>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</si>
  <si>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</si>
  <si>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</si>
  <si>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</si>
  <si>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</si>
  <si>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</si>
  <si>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</si>
  <si>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</si>
  <si>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</si>
  <si>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</si>
  <si>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</si>
  <si>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</si>
  <si>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</si>
  <si>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</si>
  <si>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</si>
  <si>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</si>
  <si>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</si>
  <si>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</si>
  <si>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</si>
  <si>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</si>
  <si>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?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</si>
  <si>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</si>
  <si>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</si>
  <si>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</si>
  <si>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</si>
  <si>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</si>
  <si>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</si>
  <si>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</si>
  <si>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</si>
  <si>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</si>
  <si>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</si>
  <si>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</si>
  <si>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</si>
  <si>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</si>
  <si>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Out P3</t>
  </si>
  <si>
    <t>In 55</t>
  </si>
  <si>
    <t>Salida CGX</t>
  </si>
  <si>
    <t>DIR. CAM.</t>
  </si>
  <si>
    <t>CANAL 13</t>
  </si>
  <si>
    <t>TV PUBLICA</t>
  </si>
  <si>
    <t>MOV. SATELITAL</t>
  </si>
  <si>
    <t>FIBRA IPLYC</t>
  </si>
  <si>
    <t>Source 7</t>
  </si>
  <si>
    <t>Source 8</t>
  </si>
  <si>
    <t>Source 9</t>
  </si>
  <si>
    <t>Source 10</t>
  </si>
  <si>
    <t>RET. CABLEVISION</t>
  </si>
  <si>
    <t>RET. SATELITE</t>
  </si>
  <si>
    <t>T</t>
  </si>
  <si>
    <t>Source 13</t>
  </si>
  <si>
    <t>Source 14</t>
  </si>
  <si>
    <t>Source 15</t>
  </si>
  <si>
    <t>Source 16</t>
  </si>
  <si>
    <t>SDI Out</t>
  </si>
  <si>
    <t>In 63</t>
  </si>
  <si>
    <t>MV</t>
  </si>
  <si>
    <t>Cable suelto en Rack C.3</t>
  </si>
  <si>
    <t>In 64</t>
  </si>
  <si>
    <t>BM 1 PGM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</si>
  <si>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</si>
  <si>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</si>
  <si>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</si>
  <si>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</si>
  <si>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</si>
  <si>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</si>
  <si>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</si>
  <si>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</si>
  <si>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</si>
  <si>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</si>
  <si>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</si>
  <si>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</si>
  <si>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</si>
  <si>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</si>
  <si>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</si>
  <si>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P.3</t>
  </si>
  <si>
    <t>HDMI In</t>
  </si>
  <si>
    <t>BM SDI to HDMI</t>
  </si>
  <si>
    <t>DC.8</t>
  </si>
  <si>
    <t>DC.3</t>
  </si>
  <si>
    <t>L.4</t>
  </si>
  <si>
    <t>DC.1</t>
  </si>
  <si>
    <t>TX.1</t>
  </si>
  <si>
    <t>Monitor MV TX</t>
  </si>
  <si>
    <t>TX.2</t>
  </si>
  <si>
    <t>Monitor Linea TX</t>
  </si>
  <si>
    <t>TX.3</t>
  </si>
  <si>
    <t>Monitor Pvw TX</t>
  </si>
  <si>
    <t>D.BACK.1</t>
  </si>
  <si>
    <t>HDMI Out</t>
  </si>
  <si>
    <t>SRT La Casa del Streaming</t>
  </si>
  <si>
    <t>D.BACK.2</t>
  </si>
  <si>
    <t>SRT Mochila LiveU Posadas</t>
  </si>
  <si>
    <t>HDMI to SDI</t>
  </si>
  <si>
    <t>In 26</t>
  </si>
  <si>
    <t>Casa del Streaming</t>
  </si>
  <si>
    <t>In 27</t>
  </si>
  <si>
    <t>Deco m. Posadas</t>
  </si>
  <si>
    <t>In 28</t>
  </si>
  <si>
    <t>De-embedder</t>
  </si>
  <si>
    <t>Audio Out L</t>
  </si>
  <si>
    <t>DC.2</t>
  </si>
  <si>
    <t>Audio Out R</t>
  </si>
  <si>
    <t>Dist. Amp. 2x4</t>
  </si>
  <si>
    <t>J4</t>
  </si>
  <si>
    <t>J2</t>
  </si>
  <si>
    <t>Cable amarillo a Piso?</t>
  </si>
  <si>
    <t>J6</t>
  </si>
  <si>
    <t>Emb / De-emb</t>
  </si>
  <si>
    <t>A1</t>
  </si>
  <si>
    <t>A2</t>
  </si>
  <si>
    <t>Dist. Amp. 1x9</t>
  </si>
  <si>
    <t>J3</t>
  </si>
  <si>
    <t>J1</t>
  </si>
  <si>
    <t>In 62</t>
  </si>
  <si>
    <t>LINEA 1X9</t>
  </si>
  <si>
    <t>J5</t>
  </si>
  <si>
    <t>F.2</t>
  </si>
  <si>
    <t>SDI Out 1</t>
  </si>
  <si>
    <t>In 41</t>
  </si>
  <si>
    <t>CAM 1</t>
  </si>
  <si>
    <t>SDI Out 2</t>
  </si>
  <si>
    <t>F.6</t>
  </si>
  <si>
    <t>SDI Out 3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</si>
  <si>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</si>
  <si>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</si>
  <si>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</si>
  <si>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</si>
  <si>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</si>
  <si>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</si>
  <si>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</si>
  <si>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</si>
  <si>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</si>
  <si>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30</t>
  </si>
  <si>
    <t>MV CAM</t>
  </si>
  <si>
    <t>Aux 1</t>
  </si>
  <si>
    <t>DC.6</t>
  </si>
  <si>
    <t>Aux 3</t>
  </si>
  <si>
    <t>DC.9</t>
  </si>
  <si>
    <t>BM SDI to HDMI &gt; Capturadora USB</t>
  </si>
  <si>
    <t>Aux 6</t>
  </si>
  <si>
    <t>FOR A AUX 6</t>
  </si>
  <si>
    <t>FOR A PGM</t>
  </si>
  <si>
    <t>F.8</t>
  </si>
  <si>
    <t>Distribuidor PGM</t>
  </si>
  <si>
    <t>Ret In 1</t>
  </si>
  <si>
    <t>SDI Out 4</t>
  </si>
  <si>
    <t>AJA FS2 NTSC</t>
  </si>
  <si>
    <t>D.6</t>
  </si>
  <si>
    <t>IRD TELA</t>
  </si>
  <si>
    <t>L.6</t>
  </si>
  <si>
    <t>Optic to SDI</t>
  </si>
  <si>
    <t>FIBRA MOVIL</t>
  </si>
  <si>
    <t>FIBRA CAMARA</t>
  </si>
  <si>
    <t>L.BACK.1</t>
  </si>
  <si>
    <t>FIBRA canal 4</t>
  </si>
  <si>
    <t>FIBRA RADIO</t>
  </si>
  <si>
    <t>FIBRA MOL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</si>
  <si>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</si>
  <si>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</si>
  <si>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</si>
  <si>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</si>
  <si>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</si>
  <si>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</si>
  <si>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</si>
  <si>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</si>
  <si>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</si>
  <si>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</si>
  <si>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</si>
  <si>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</si>
  <si>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</si>
  <si>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</si>
  <si>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</si>
  <si>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</si>
  <si>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</si>
  <si>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</si>
  <si>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</si>
  <si>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</si>
  <si>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</si>
  <si>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</si>
  <si>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</si>
  <si>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Out P4</t>
  </si>
  <si>
    <t>In 29</t>
  </si>
  <si>
    <t>PC RACK 4</t>
  </si>
  <si>
    <t>In 31</t>
  </si>
  <si>
    <t>CG OUT</t>
  </si>
  <si>
    <t>In 32</t>
  </si>
  <si>
    <t>P.1</t>
  </si>
  <si>
    <t>In 33</t>
  </si>
  <si>
    <t>APPLE TV</t>
  </si>
  <si>
    <t>BM HDMI to SDI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</si>
  <si>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</si>
  <si>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</si>
  <si>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</si>
  <si>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</si>
  <si>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</si>
  <si>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</si>
  <si>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</si>
  <si>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</si>
  <si>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</si>
  <si>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</si>
  <si>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</si>
  <si>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</si>
  <si>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</si>
  <si>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In 56</t>
  </si>
  <si>
    <t>In 57</t>
  </si>
  <si>
    <t>In 59</t>
  </si>
  <si>
    <t>AJA FS4 3</t>
  </si>
  <si>
    <t>In 60</t>
  </si>
  <si>
    <t>AJA FS4 4</t>
  </si>
  <si>
    <t>In 61</t>
  </si>
  <si>
    <t>P.2</t>
  </si>
  <si>
    <t>SDI</t>
  </si>
  <si>
    <t>DC.4</t>
  </si>
  <si>
    <t>Out P?</t>
  </si>
  <si>
    <t>DC.11</t>
  </si>
  <si>
    <t>De-embbeder</t>
  </si>
  <si>
    <t>D.13</t>
  </si>
  <si>
    <t>In 20</t>
  </si>
  <si>
    <t>IRD CIS.H/V</t>
  </si>
  <si>
    <t>D.8</t>
  </si>
  <si>
    <t>Component Out</t>
  </si>
  <si>
    <t>Component In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</si>
  <si>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</si>
  <si>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</si>
  <si>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</si>
  <si>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</si>
  <si>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</si>
  <si>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</si>
  <si>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</si>
  <si>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</si>
  <si>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</si>
  <si>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</si>
  <si>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</si>
  <si>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</si>
  <si>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</si>
  <si>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</si>
  <si>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</si>
  <si>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</si>
  <si>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</si>
  <si>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</si>
  <si>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</si>
  <si>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</si>
  <si>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</si>
  <si>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</si>
  <si>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</si>
  <si>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</si>
  <si>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 LT4611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</si>
  <si>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</si>
  <si>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</si>
  <si>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</si>
  <si>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</si>
  <si>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</si>
  <si>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</si>
  <si>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</si>
  <si>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</si>
  <si>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</si>
  <si>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</si>
  <si>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</si>
  <si>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</si>
  <si>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</si>
  <si>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</si>
  <si>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</si>
  <si>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</si>
  <si>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</si>
  <si>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</si>
  <si>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</si>
  <si>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</si>
  <si>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D.10</t>
  </si>
  <si>
    <t>tc electronic Finalizer</t>
  </si>
  <si>
    <t>AJA FS4</t>
  </si>
  <si>
    <t>AJA FS2</t>
  </si>
  <si>
    <t>192.168.30.16</t>
  </si>
  <si>
    <t>D.14</t>
  </si>
  <si>
    <t>Digiwave DSC-131</t>
  </si>
  <si>
    <t>D.15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</si>
  <si>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</si>
  <si>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</si>
  <si>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</si>
  <si>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</si>
  <si>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</si>
  <si>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</si>
  <si>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</si>
  <si>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</si>
  <si>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</si>
  <si>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</si>
  <si>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</si>
  <si>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</si>
  <si>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</si>
  <si>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</si>
  <si>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</si>
  <si>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</si>
  <si>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</si>
  <si>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</si>
  <si>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L.1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</si>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</sst>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6" fontId="1" numFmtId="0" xfId="0" applyAlignment="1" applyFill="1" applyFont="1">
      <alignment readingOrder="0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44.88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19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20</v>
      </c>
      <c r="L3" s="6" t="s">
        <v>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22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23</v>
      </c>
      <c r="L4" s="6" t="s">
        <v>24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25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26</v>
      </c>
      <c r="L5" s="6" t="s">
        <v>27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28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29</v>
      </c>
      <c r="L6" s="6" t="s">
        <v>30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31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32</v>
      </c>
      <c r="L7" s="6" t="s">
        <v>33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34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35</v>
      </c>
      <c r="L8" s="6" t="s">
        <v>36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37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38</v>
      </c>
      <c r="L9" s="6" t="s">
        <v>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40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41</v>
      </c>
      <c r="L10" s="6" t="s">
        <v>42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43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44</v>
      </c>
      <c r="L11" s="6" t="s">
        <v>45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46</v>
      </c>
      <c r="F12" s="5"/>
      <c r="G12" s="5"/>
      <c r="H12" s="6" t="s">
        <v>47</v>
      </c>
      <c r="I12" s="5" t="str">
        <f>IF(H12="","",VLOOKUP(H12,DB!A:B,2,0))</f>
        <v>Blackmagic Multiview 16</v>
      </c>
      <c r="J12" s="5"/>
      <c r="K12" s="6" t="s">
        <v>48</v>
      </c>
      <c r="L12" s="6" t="s">
        <v>49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50</v>
      </c>
      <c r="F13" s="5"/>
      <c r="G13" s="5"/>
      <c r="H13" s="6" t="s">
        <v>47</v>
      </c>
      <c r="I13" s="5" t="str">
        <f>IF(H13="","",VLOOKUP(H13,DB!A:B,2,0))</f>
        <v>Blackmagic Multiview 16</v>
      </c>
      <c r="J13" s="5"/>
      <c r="K13" s="6" t="s">
        <v>51</v>
      </c>
      <c r="L13" s="6" t="s">
        <v>52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53</v>
      </c>
      <c r="F14" s="5"/>
      <c r="G14" s="5"/>
      <c r="H14" s="6" t="s">
        <v>47</v>
      </c>
      <c r="I14" s="5" t="str">
        <f>IF(H14="","",VLOOKUP(H14,DB!A:B,2,0))</f>
        <v>Blackmagic Multiview 16</v>
      </c>
      <c r="J14" s="5"/>
      <c r="K14" s="6" t="s">
        <v>54</v>
      </c>
      <c r="L14" s="6" t="s">
        <v>55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56</v>
      </c>
      <c r="F15" s="5"/>
      <c r="G15" s="5"/>
      <c r="H15" s="6" t="s">
        <v>47</v>
      </c>
      <c r="I15" s="5" t="str">
        <f>IF(H15="","",VLOOKUP(H15,DB!A:B,2,0))</f>
        <v>Blackmagic Multiview 16</v>
      </c>
      <c r="J15" s="5"/>
      <c r="K15" s="6" t="s">
        <v>57</v>
      </c>
      <c r="L15" s="6" t="s">
        <v>58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59</v>
      </c>
      <c r="F16" s="5"/>
      <c r="G16" s="5"/>
      <c r="H16" s="6" t="s">
        <v>47</v>
      </c>
      <c r="I16" s="5" t="str">
        <f>IF(H16="","",VLOOKUP(H16,DB!A:B,2,0))</f>
        <v>Blackmagic Multiview 16</v>
      </c>
      <c r="J16" s="5"/>
      <c r="K16" s="6" t="s">
        <v>60</v>
      </c>
      <c r="L16" s="6" t="s">
        <v>61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62</v>
      </c>
      <c r="F17" s="5"/>
      <c r="G17" s="5"/>
      <c r="H17" s="6" t="s">
        <v>47</v>
      </c>
      <c r="I17" s="5" t="str">
        <f>IF(H17="","",VLOOKUP(H17,DB!A:B,2,0))</f>
        <v>Blackmagic Multiview 16</v>
      </c>
      <c r="J17" s="5"/>
      <c r="K17" s="6" t="s">
        <v>63</v>
      </c>
      <c r="L17" s="6" t="s">
        <v>64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65</v>
      </c>
      <c r="F18" s="5"/>
      <c r="G18" s="5"/>
      <c r="H18" s="6" t="s">
        <v>66</v>
      </c>
      <c r="I18" s="5" t="str">
        <f>IF(H18="","",VLOOKUP(H18,DB!A:B,2,0))</f>
        <v>AJA FS4</v>
      </c>
      <c r="J18" s="5"/>
      <c r="K18" s="6" t="s">
        <v>67</v>
      </c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74</v>
      </c>
      <c r="F20" s="5"/>
      <c r="G20" s="5"/>
      <c r="H20" s="6" t="s">
        <v>75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76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77</v>
      </c>
      <c r="F21" s="5"/>
      <c r="G21" s="5"/>
      <c r="H21" s="6" t="s">
        <v>75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78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79</v>
      </c>
      <c r="F22" s="5"/>
      <c r="G22" s="5"/>
      <c r="H22" s="6" t="s">
        <v>80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81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82</v>
      </c>
      <c r="F23" s="5"/>
      <c r="G23" s="5"/>
      <c r="H23" s="6" t="s">
        <v>80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83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84</v>
      </c>
      <c r="F24" s="5"/>
      <c r="G24" s="5"/>
      <c r="H24" s="6" t="s">
        <v>47</v>
      </c>
      <c r="I24" s="5" t="str">
        <f>IF(H24="","",VLOOKUP(H24,DB!A:B,2,0))</f>
        <v>Blackmagic Multiview 16</v>
      </c>
      <c r="J24" s="5"/>
      <c r="K24" s="6" t="s">
        <v>17</v>
      </c>
      <c r="L24" s="6" t="s">
        <v>85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86</v>
      </c>
      <c r="F25" s="5"/>
      <c r="G25" s="5"/>
      <c r="H25" s="6" t="s">
        <v>87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88</v>
      </c>
      <c r="F26" s="5"/>
      <c r="G26" s="5"/>
      <c r="H26" s="6" t="s">
        <v>89</v>
      </c>
      <c r="I26" s="5" t="str">
        <f>IF(H26="","",VLOOKUP(H26,DB!A:B,2,0))</f>
        <v>FOR A HVS-390HS</v>
      </c>
      <c r="J26" s="5"/>
      <c r="K26" s="6" t="s">
        <v>48</v>
      </c>
      <c r="L26" s="6" t="s">
        <v>90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91</v>
      </c>
      <c r="F27" s="5"/>
      <c r="G27" s="5"/>
      <c r="H27" s="6" t="s">
        <v>89</v>
      </c>
      <c r="I27" s="5" t="str">
        <f>IF(H27="","",VLOOKUP(H27,DB!A:B,2,0))</f>
        <v>FOR A HVS-390HS</v>
      </c>
      <c r="J27" s="5"/>
      <c r="K27" s="6" t="s">
        <v>51</v>
      </c>
      <c r="L27" s="6" t="s">
        <v>92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93</v>
      </c>
      <c r="F28" s="5"/>
      <c r="G28" s="5"/>
      <c r="H28" s="6" t="s">
        <v>89</v>
      </c>
      <c r="I28" s="5" t="str">
        <f>IF(H28="","",VLOOKUP(H28,DB!A:B,2,0))</f>
        <v>FOR A HVS-390HS</v>
      </c>
      <c r="J28" s="5"/>
      <c r="K28" s="6" t="s">
        <v>54</v>
      </c>
      <c r="L28" s="6" t="s">
        <v>94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95</v>
      </c>
      <c r="F29" s="5"/>
      <c r="G29" s="5"/>
      <c r="H29" s="6" t="s">
        <v>89</v>
      </c>
      <c r="I29" s="5" t="str">
        <f>IF(H29="","",VLOOKUP(H29,DB!A:B,2,0))</f>
        <v>FOR A HVS-390HS</v>
      </c>
      <c r="J29" s="5"/>
      <c r="K29" s="6" t="s">
        <v>57</v>
      </c>
      <c r="L29" s="6" t="s">
        <v>96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97</v>
      </c>
      <c r="F30" s="5"/>
      <c r="G30" s="5"/>
      <c r="H30" s="6" t="s">
        <v>87</v>
      </c>
      <c r="I30" s="5" t="str">
        <f>IF(H30="","",VLOOKUP(H30,DB!A:B,2,0))</f>
        <v/>
      </c>
      <c r="J30" s="6"/>
      <c r="K30" s="6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98</v>
      </c>
      <c r="F31" s="5"/>
      <c r="G31" s="5"/>
      <c r="H31" s="6" t="s">
        <v>99</v>
      </c>
      <c r="I31" s="5" t="str">
        <f>IF(H31="","",VLOOKUP(H31,DB!A:B,2,0))</f>
        <v>PC Rack</v>
      </c>
      <c r="J31" s="6">
        <v>1.0</v>
      </c>
      <c r="K31" s="6" t="s">
        <v>100</v>
      </c>
      <c r="L31" s="6" t="s">
        <v>101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102</v>
      </c>
      <c r="F32" s="5"/>
      <c r="G32" s="5"/>
      <c r="H32" s="6" t="s">
        <v>103</v>
      </c>
      <c r="I32" s="5" t="str">
        <f>IF(H32="","",VLOOKUP(H32,DB!A:B,2,0))</f>
        <v>Datavideo TC-200</v>
      </c>
      <c r="J32" s="5"/>
      <c r="K32" s="6" t="s">
        <v>104</v>
      </c>
      <c r="L32" s="6" t="s">
        <v>105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106</v>
      </c>
      <c r="F33" s="5"/>
      <c r="G33" s="5"/>
      <c r="H33" s="6" t="s">
        <v>107</v>
      </c>
      <c r="I33" s="5" t="str">
        <f>IF(H33="","",VLOOKUP(H33,DB!A:B,2,0))</f>
        <v>Escalador Pantalla</v>
      </c>
      <c r="J33" s="5"/>
      <c r="K33" s="5"/>
      <c r="L33" s="6" t="s">
        <v>108</v>
      </c>
      <c r="M33" s="6" t="s">
        <v>109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110</v>
      </c>
      <c r="F34" s="5"/>
      <c r="G34" s="5"/>
      <c r="H34" s="6" t="s">
        <v>111</v>
      </c>
      <c r="I34" s="5" t="str">
        <f>IF(H34="","",VLOOKUP(H34,DB!A:B,2,0))</f>
        <v>Patch Panel</v>
      </c>
      <c r="J34" s="5"/>
      <c r="K34" s="6" t="s">
        <v>63</v>
      </c>
      <c r="L34" s="6" t="s">
        <v>112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113</v>
      </c>
      <c r="F35" s="5"/>
      <c r="G35" s="5"/>
      <c r="H35" s="6" t="s">
        <v>111</v>
      </c>
      <c r="I35" s="5" t="str">
        <f>IF(H35="","",VLOOKUP(H35,DB!A:B,2,0))</f>
        <v>Patch Panel</v>
      </c>
      <c r="J35" s="5"/>
      <c r="K35" s="6" t="s">
        <v>60</v>
      </c>
      <c r="L35" s="6" t="s">
        <v>114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115</v>
      </c>
      <c r="F36" s="5"/>
      <c r="G36" s="5"/>
      <c r="H36" s="6" t="s">
        <v>111</v>
      </c>
      <c r="I36" s="5" t="str">
        <f>IF(H36="","",VLOOKUP(H36,DB!A:B,2,0))</f>
        <v>Patch Panel</v>
      </c>
      <c r="J36" s="5"/>
      <c r="K36" s="6" t="s">
        <v>57</v>
      </c>
      <c r="L36" s="6" t="s">
        <v>116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117</v>
      </c>
      <c r="F37" s="5"/>
      <c r="G37" s="5"/>
      <c r="H37" s="6" t="s">
        <v>111</v>
      </c>
      <c r="I37" s="5" t="str">
        <f>IF(H37="","",VLOOKUP(H37,DB!A:B,2,0))</f>
        <v>Patch Panel</v>
      </c>
      <c r="J37" s="5"/>
      <c r="K37" s="6" t="s">
        <v>54</v>
      </c>
      <c r="L37" s="6" t="s">
        <v>118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119</v>
      </c>
      <c r="F38" s="5"/>
      <c r="G38" s="5"/>
      <c r="H38" s="6" t="s">
        <v>111</v>
      </c>
      <c r="I38" s="5" t="str">
        <f>IF(H38="","",VLOOKUP(H38,DB!A:B,2,0))</f>
        <v>Patch Panel</v>
      </c>
      <c r="J38" s="5"/>
      <c r="K38" s="6" t="s">
        <v>51</v>
      </c>
      <c r="L38" s="6" t="s">
        <v>120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121</v>
      </c>
      <c r="F39" s="5"/>
      <c r="G39" s="5"/>
      <c r="H39" s="6" t="s">
        <v>111</v>
      </c>
      <c r="I39" s="5" t="str">
        <f>IF(H39="","",VLOOKUP(H39,DB!A:B,2,0))</f>
        <v>Patch Panel</v>
      </c>
      <c r="J39" s="5"/>
      <c r="K39" s="6" t="s">
        <v>48</v>
      </c>
      <c r="L39" s="6" t="s">
        <v>122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123</v>
      </c>
      <c r="F40" s="5"/>
      <c r="G40" s="5"/>
      <c r="H40" s="6" t="s">
        <v>111</v>
      </c>
      <c r="I40" s="5" t="str">
        <f>IF(H40="","",VLOOKUP(H40,DB!A:B,2,0))</f>
        <v>Patch Panel</v>
      </c>
      <c r="J40" s="5"/>
      <c r="K40" s="6" t="s">
        <v>44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124</v>
      </c>
      <c r="F41" s="5"/>
      <c r="G41" s="5"/>
      <c r="H41" s="6" t="s">
        <v>111</v>
      </c>
      <c r="I41" s="5" t="str">
        <f>IF(H41="","",VLOOKUP(H41,DB!A:B,2,0))</f>
        <v>Patch Panel</v>
      </c>
      <c r="J41" s="5"/>
      <c r="K41" s="6" t="s">
        <v>41</v>
      </c>
      <c r="L41" s="6" t="s">
        <v>112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125</v>
      </c>
      <c r="F42" s="5"/>
      <c r="G42" s="5"/>
      <c r="H42" s="6" t="s">
        <v>111</v>
      </c>
      <c r="I42" s="5" t="str">
        <f>IF(H42="","",VLOOKUP(H42,DB!A:B,2,0))</f>
        <v>Patch Panel</v>
      </c>
      <c r="J42" s="5"/>
      <c r="K42" s="6" t="s">
        <v>38</v>
      </c>
      <c r="L42" s="6" t="s">
        <v>126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127</v>
      </c>
      <c r="F43" s="5"/>
      <c r="G43" s="5"/>
      <c r="H43" s="6" t="s">
        <v>111</v>
      </c>
      <c r="I43" s="5" t="str">
        <f>IF(H43="","",VLOOKUP(H43,DB!A:B,2,0))</f>
        <v>Patch Panel</v>
      </c>
      <c r="J43" s="5"/>
      <c r="K43" s="6" t="s">
        <v>35</v>
      </c>
      <c r="L43" s="6" t="s">
        <v>128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129</v>
      </c>
      <c r="F44" s="5"/>
      <c r="G44" s="5"/>
      <c r="H44" s="6" t="s">
        <v>111</v>
      </c>
      <c r="I44" s="5" t="str">
        <f>IF(H44="","",VLOOKUP(H44,DB!A:B,2,0))</f>
        <v>Patch Panel</v>
      </c>
      <c r="J44" s="5"/>
      <c r="K44" s="6" t="s">
        <v>32</v>
      </c>
      <c r="L44" s="6" t="s">
        <v>130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131</v>
      </c>
      <c r="F45" s="5"/>
      <c r="G45" s="5"/>
      <c r="H45" s="6" t="s">
        <v>111</v>
      </c>
      <c r="I45" s="5" t="str">
        <f>IF(H45="","",VLOOKUP(H45,DB!A:B,2,0))</f>
        <v>Patch Panel</v>
      </c>
      <c r="J45" s="5"/>
      <c r="K45" s="6" t="s">
        <v>29</v>
      </c>
      <c r="L45" s="6" t="s">
        <v>132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133</v>
      </c>
      <c r="F46" s="5"/>
      <c r="G46" s="5"/>
      <c r="H46" s="6" t="s">
        <v>111</v>
      </c>
      <c r="I46" s="5" t="str">
        <f>IF(H46="","",VLOOKUP(H46,DB!A:B,2,0))</f>
        <v>Patch Panel</v>
      </c>
      <c r="J46" s="5"/>
      <c r="K46" s="6" t="s">
        <v>26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134</v>
      </c>
      <c r="F47" s="5"/>
      <c r="G47" s="5"/>
      <c r="H47" s="6" t="s">
        <v>111</v>
      </c>
      <c r="I47" s="5" t="str">
        <f>IF(H47="","",VLOOKUP(H47,DB!A:B,2,0))</f>
        <v>Patch Panel</v>
      </c>
      <c r="J47" s="5"/>
      <c r="K47" s="6" t="s">
        <v>23</v>
      </c>
      <c r="L47" s="6" t="s">
        <v>135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136</v>
      </c>
      <c r="F48" s="5"/>
      <c r="G48" s="5"/>
      <c r="H48" s="6" t="s">
        <v>111</v>
      </c>
      <c r="I48" s="5" t="str">
        <f>IF(H48="","",VLOOKUP(H48,DB!A:B,2,0))</f>
        <v>Patch Panel</v>
      </c>
      <c r="J48" s="5"/>
      <c r="K48" s="6" t="s">
        <v>20</v>
      </c>
      <c r="L48" s="6" t="s">
        <v>137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138</v>
      </c>
      <c r="F49" s="5"/>
      <c r="G49" s="5"/>
      <c r="H49" s="6" t="s">
        <v>111</v>
      </c>
      <c r="I49" s="5" t="str">
        <f>IF(H49="","",VLOOKUP(H49,DB!A:B,2,0))</f>
        <v>Patch Panel</v>
      </c>
      <c r="J49" s="5"/>
      <c r="K49" s="6" t="s">
        <v>17</v>
      </c>
      <c r="L49" s="6" t="s">
        <v>139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140</v>
      </c>
      <c r="F50" s="5"/>
      <c r="G50" s="5"/>
      <c r="H50" s="6" t="s">
        <v>141</v>
      </c>
      <c r="I50" s="5" t="str">
        <f>IF(H50="","",VLOOKUP(H50,DB!A:B,2,0))</f>
        <v>openGear X</v>
      </c>
      <c r="J50" s="6">
        <v>9.0</v>
      </c>
      <c r="K50" s="6" t="s">
        <v>142</v>
      </c>
      <c r="L50" s="6" t="s">
        <v>114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143</v>
      </c>
      <c r="F51" s="5"/>
      <c r="G51" s="5"/>
      <c r="H51" s="6" t="s">
        <v>87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144</v>
      </c>
      <c r="F52" s="5"/>
      <c r="G52" s="5"/>
      <c r="H52" s="6" t="s">
        <v>145</v>
      </c>
      <c r="I52" s="5" t="str">
        <f>IF(H52="","",VLOOKUP(H52,DB!A:B,2,0))</f>
        <v>GrassValley T2</v>
      </c>
      <c r="J52" s="5"/>
      <c r="K52" s="6" t="s">
        <v>17</v>
      </c>
      <c r="L52" s="6" t="s">
        <v>146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147</v>
      </c>
      <c r="F53" s="5"/>
      <c r="G53" s="5"/>
      <c r="H53" s="6" t="s">
        <v>148</v>
      </c>
      <c r="I53" s="5" t="str">
        <f>IF(H53="","",VLOOKUP(H53,DB!A:B,2,0))</f>
        <v>AJA FS2</v>
      </c>
      <c r="J53" s="5"/>
      <c r="K53" s="6" t="s">
        <v>20</v>
      </c>
      <c r="L53" s="6" t="s">
        <v>149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150</v>
      </c>
      <c r="F54" s="5"/>
      <c r="G54" s="5"/>
      <c r="H54" s="6" t="s">
        <v>87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151</v>
      </c>
      <c r="F55" s="5"/>
      <c r="G55" s="5"/>
      <c r="H55" s="6" t="s">
        <v>152</v>
      </c>
      <c r="I55" s="5" t="str">
        <f>IF(H55="","",VLOOKUP(H55,DB!A:B,2,0))</f>
        <v>Thomson ViBE CP6100</v>
      </c>
      <c r="J55" s="5"/>
      <c r="K55" s="6" t="s">
        <v>153</v>
      </c>
      <c r="L55" s="6" t="s">
        <v>154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155</v>
      </c>
      <c r="F56" s="5"/>
      <c r="G56" s="5"/>
      <c r="H56" s="6" t="s">
        <v>87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156</v>
      </c>
      <c r="F57" s="5"/>
      <c r="G57" s="5"/>
      <c r="H57" s="6" t="s">
        <v>157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158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159</v>
      </c>
      <c r="F58" s="5"/>
      <c r="G58" s="5"/>
      <c r="H58" s="6" t="s">
        <v>66</v>
      </c>
      <c r="I58" s="5" t="str">
        <f>IF(H58="","",VLOOKUP(H58,DB!A:B,2,0))</f>
        <v>AJA FS4</v>
      </c>
      <c r="J58" s="5"/>
      <c r="K58" s="6" t="s">
        <v>160</v>
      </c>
      <c r="L58" s="6" t="s">
        <v>161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162</v>
      </c>
      <c r="F59" s="5"/>
      <c r="G59" s="5"/>
      <c r="H59" s="6" t="s">
        <v>87</v>
      </c>
      <c r="I59" s="5" t="str">
        <f>IF(H59="","",VLOOKUP(H59,DB!A:B,2,0))</f>
        <v/>
      </c>
      <c r="J59" s="5"/>
      <c r="K59" s="5"/>
      <c r="L59" s="6" t="s">
        <v>163</v>
      </c>
      <c r="M59" s="6" t="s">
        <v>164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165</v>
      </c>
      <c r="F60" s="5"/>
      <c r="G60" s="5"/>
      <c r="H60" s="6" t="s">
        <v>66</v>
      </c>
      <c r="I60" s="5" t="str">
        <f>IF(H60="","",VLOOKUP(H60,DB!A:B,2,0))</f>
        <v>AJA FS4</v>
      </c>
      <c r="J60" s="5"/>
      <c r="K60" s="6" t="s">
        <v>166</v>
      </c>
      <c r="L60" s="6" t="s">
        <v>167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168</v>
      </c>
      <c r="F61" s="5"/>
      <c r="G61" s="5"/>
      <c r="H61" s="6" t="s">
        <v>66</v>
      </c>
      <c r="I61" s="5" t="str">
        <f>IF(H61="","",VLOOKUP(H61,DB!A:B,2,0))</f>
        <v>AJA FS4</v>
      </c>
      <c r="J61" s="5"/>
      <c r="K61" s="6" t="s">
        <v>169</v>
      </c>
      <c r="L61" s="6" t="s">
        <v>170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171</v>
      </c>
      <c r="F62" s="5"/>
      <c r="G62" s="5"/>
      <c r="H62" s="6" t="s">
        <v>172</v>
      </c>
      <c r="I62" s="5" t="str">
        <f>IF(H62="","",VLOOKUP(H62,DB!A:B,2,0))</f>
        <v>Leader LV 7770</v>
      </c>
      <c r="J62" s="5"/>
      <c r="K62" s="6" t="s">
        <v>173</v>
      </c>
      <c r="L62" s="6" t="s">
        <v>174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175</v>
      </c>
      <c r="F63" s="5"/>
      <c r="G63" s="5"/>
      <c r="H63" s="6" t="s">
        <v>172</v>
      </c>
      <c r="I63" s="5" t="str">
        <f>IF(H63="","",VLOOKUP(H63,DB!A:B,2,0))</f>
        <v>Leader LV 7770</v>
      </c>
      <c r="J63" s="5"/>
      <c r="K63" s="6" t="s">
        <v>176</v>
      </c>
      <c r="L63" s="6" t="s">
        <v>177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178</v>
      </c>
      <c r="F64" s="5"/>
      <c r="G64" s="5"/>
      <c r="H64" s="6" t="s">
        <v>179</v>
      </c>
      <c r="I64" s="5" t="str">
        <f>IF(H64="","",VLOOKUP(H64,DB!A:B,2,0))</f>
        <v/>
      </c>
      <c r="J64" s="5"/>
      <c r="K64" s="5"/>
      <c r="L64" s="6" t="s">
        <v>180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181</v>
      </c>
      <c r="F65" s="5"/>
      <c r="G65" s="5"/>
      <c r="H65" s="6" t="s">
        <v>182</v>
      </c>
      <c r="I65" s="5" t="str">
        <f>IF(H65="","",VLOOKUP(H65,DB!A:B,2,0))</f>
        <v>openGear X</v>
      </c>
      <c r="J65" s="6">
        <v>5.0</v>
      </c>
      <c r="K65" s="6" t="s">
        <v>104</v>
      </c>
      <c r="L65" s="6" t="s">
        <v>183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184</v>
      </c>
      <c r="B66" s="6" t="str">
        <f>IF(A66="","",VLOOKUP(A66,DB!A:B,2,0))</f>
        <v>Player A</v>
      </c>
      <c r="C66" s="6">
        <v>1.0</v>
      </c>
      <c r="D66" s="6" t="s">
        <v>185</v>
      </c>
      <c r="E66" s="6" t="s">
        <v>186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187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184</v>
      </c>
      <c r="B67" s="6" t="str">
        <f>IF(A67="","",VLOOKUP(A67,DB!A:B,2,0))</f>
        <v>Player A</v>
      </c>
      <c r="C67" s="6">
        <v>2.0</v>
      </c>
      <c r="D67" s="6" t="s">
        <v>185</v>
      </c>
      <c r="E67" s="6" t="s">
        <v>186</v>
      </c>
      <c r="F67" s="5"/>
      <c r="G67" s="5"/>
      <c r="H67" s="6" t="s">
        <v>89</v>
      </c>
      <c r="I67" s="5" t="str">
        <f>IF(H67="","",VLOOKUP(H67,DB!A:B,2,0))</f>
        <v>FOR A HVS-390HS</v>
      </c>
      <c r="J67" s="5"/>
      <c r="K67" s="6" t="s">
        <v>29</v>
      </c>
      <c r="L67" s="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6" t="s">
        <v>188</v>
      </c>
      <c r="B68" s="6" t="str">
        <f>IF(A68="","",VLOOKUP(A68,DB!A:B,2,0))</f>
        <v>Player B</v>
      </c>
      <c r="C68" s="6">
        <v>1.0</v>
      </c>
      <c r="D68" s="6" t="s">
        <v>185</v>
      </c>
      <c r="E68" s="6" t="s">
        <v>186</v>
      </c>
      <c r="F68" s="5"/>
      <c r="G68" s="5"/>
      <c r="H68" s="6" t="s">
        <v>14</v>
      </c>
      <c r="I68" s="5" t="str">
        <f>IF(H68="","",VLOOKUP(H68,DB!A:B,2,0))</f>
        <v>AJA KUMO 6464</v>
      </c>
      <c r="J68" s="5"/>
      <c r="K68" s="6" t="s">
        <v>20</v>
      </c>
      <c r="L68" s="6" t="s">
        <v>189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6" t="s">
        <v>188</v>
      </c>
      <c r="B69" s="6" t="str">
        <f>IF(A69="","",VLOOKUP(A69,DB!A:B,2,0))</f>
        <v>Player B</v>
      </c>
      <c r="C69" s="6">
        <v>2.0</v>
      </c>
      <c r="D69" s="6" t="s">
        <v>185</v>
      </c>
      <c r="E69" s="6" t="s">
        <v>186</v>
      </c>
      <c r="F69" s="5"/>
      <c r="G69" s="5"/>
      <c r="H69" s="6" t="s">
        <v>89</v>
      </c>
      <c r="I69" s="5" t="str">
        <f>IF(H69="","",VLOOKUP(H69,DB!A:B,2,0))</f>
        <v>FOR A HVS-390HS</v>
      </c>
      <c r="J69" s="5"/>
      <c r="K69" s="6" t="s">
        <v>32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6" t="s">
        <v>190</v>
      </c>
      <c r="B70" s="6" t="str">
        <f>IF(A70="","",VLOOKUP(A70,DB!A:B,2,0))</f>
        <v>Player C</v>
      </c>
      <c r="C70" s="6">
        <v>1.0</v>
      </c>
      <c r="D70" s="6" t="s">
        <v>185</v>
      </c>
      <c r="E70" s="6" t="s">
        <v>186</v>
      </c>
      <c r="F70" s="5"/>
      <c r="G70" s="5"/>
      <c r="H70" s="6" t="s">
        <v>14</v>
      </c>
      <c r="I70" s="5" t="str">
        <f>IF(H70="","",VLOOKUP(H70,DB!A:B,2,0))</f>
        <v>AJA KUMO 6464</v>
      </c>
      <c r="J70" s="5"/>
      <c r="K70" s="6" t="s">
        <v>23</v>
      </c>
      <c r="L70" s="6" t="s">
        <v>191</v>
      </c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6" t="s">
        <v>190</v>
      </c>
      <c r="B71" s="6" t="str">
        <f>IF(A71="","",VLOOKUP(A71,DB!A:B,2,0))</f>
        <v>Player C</v>
      </c>
      <c r="C71" s="6">
        <v>2.0</v>
      </c>
      <c r="D71" s="6" t="s">
        <v>185</v>
      </c>
      <c r="E71" s="6" t="s">
        <v>186</v>
      </c>
      <c r="F71" s="5"/>
      <c r="G71" s="5"/>
      <c r="H71" s="6" t="s">
        <v>14</v>
      </c>
      <c r="I71" s="5" t="str">
        <f>IF(H71="","",VLOOKUP(H71,DB!A:B,2,0))</f>
        <v>AJA KUMO 6464</v>
      </c>
      <c r="J71" s="5"/>
      <c r="K71" s="6" t="s">
        <v>26</v>
      </c>
      <c r="L71" s="6" t="s">
        <v>192</v>
      </c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6" t="s">
        <v>157</v>
      </c>
      <c r="B72" s="6" t="str">
        <f>IF(A72="","",VLOOKUP(A72,DB!A:B,2,0))</f>
        <v>CGX</v>
      </c>
      <c r="C72" s="6">
        <v>1.0</v>
      </c>
      <c r="D72" s="6" t="s">
        <v>185</v>
      </c>
      <c r="E72" s="6" t="s">
        <v>193</v>
      </c>
      <c r="F72" s="5"/>
      <c r="G72" s="5"/>
      <c r="H72" s="6" t="s">
        <v>14</v>
      </c>
      <c r="I72" s="5" t="str">
        <f>IF(H72="","",VLOOKUP(H72,DB!A:B,2,0))</f>
        <v>AJA KUMO 6464</v>
      </c>
      <c r="J72" s="5"/>
      <c r="K72" s="6" t="s">
        <v>194</v>
      </c>
      <c r="L72" s="6" t="s">
        <v>195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6" t="s">
        <v>47</v>
      </c>
      <c r="B73" s="6" t="str">
        <f>IF(A73="","",VLOOKUP(A73,DB!A:B,2,0))</f>
        <v>Blackmagic Multiview 16</v>
      </c>
      <c r="C73" s="5"/>
      <c r="D73" s="6"/>
      <c r="E73" s="6" t="s">
        <v>15</v>
      </c>
      <c r="F73" s="5"/>
      <c r="G73" s="5"/>
      <c r="H73" s="6" t="s">
        <v>87</v>
      </c>
      <c r="I73" s="5" t="str">
        <f>IF(H73="","",VLOOKUP(H73,DB!A:B,2,0))</f>
        <v/>
      </c>
      <c r="J73" s="6"/>
      <c r="K73" s="6"/>
      <c r="L73" s="6" t="s">
        <v>187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6" t="s">
        <v>47</v>
      </c>
      <c r="B74" s="6" t="str">
        <f>IF(A74="","",VLOOKUP(A74,DB!A:B,2,0))</f>
        <v>Blackmagic Multiview 16</v>
      </c>
      <c r="C74" s="5"/>
      <c r="D74" s="6"/>
      <c r="E74" s="6" t="s">
        <v>19</v>
      </c>
      <c r="F74" s="5"/>
      <c r="G74" s="5"/>
      <c r="H74" s="6" t="s">
        <v>87</v>
      </c>
      <c r="I74" s="5" t="str">
        <f>IF(H74="","",VLOOKUP(H74,DB!A:B,2,0))</f>
        <v/>
      </c>
      <c r="J74" s="6"/>
      <c r="K74" s="6"/>
      <c r="L74" s="6" t="s">
        <v>196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47</v>
      </c>
      <c r="B75" s="6" t="str">
        <f>IF(A75="","",VLOOKUP(A75,DB!A:B,2,0))</f>
        <v>Blackmagic Multiview 16</v>
      </c>
      <c r="C75" s="5"/>
      <c r="D75" s="6"/>
      <c r="E75" s="6" t="s">
        <v>22</v>
      </c>
      <c r="F75" s="5"/>
      <c r="G75" s="5"/>
      <c r="H75" s="6" t="s">
        <v>87</v>
      </c>
      <c r="I75" s="5" t="str">
        <f>IF(H75="","",VLOOKUP(H75,DB!A:B,2,0))</f>
        <v/>
      </c>
      <c r="J75" s="6"/>
      <c r="K75" s="6"/>
      <c r="L75" s="6" t="s">
        <v>197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47</v>
      </c>
      <c r="B76" s="6" t="str">
        <f>IF(A76="","",VLOOKUP(A76,DB!A:B,2,0))</f>
        <v>Blackmagic Multiview 16</v>
      </c>
      <c r="C76" s="5"/>
      <c r="D76" s="6"/>
      <c r="E76" s="6" t="s">
        <v>25</v>
      </c>
      <c r="F76" s="5"/>
      <c r="G76" s="5"/>
      <c r="H76" s="6" t="s">
        <v>87</v>
      </c>
      <c r="I76" s="5" t="str">
        <f>IF(H76="","",VLOOKUP(H76,DB!A:B,2,0))</f>
        <v/>
      </c>
      <c r="J76" s="6"/>
      <c r="K76" s="6"/>
      <c r="L76" s="6" t="s">
        <v>198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47</v>
      </c>
      <c r="B77" s="6" t="str">
        <f>IF(A77="","",VLOOKUP(A77,DB!A:B,2,0))</f>
        <v>Blackmagic Multiview 16</v>
      </c>
      <c r="C77" s="5"/>
      <c r="D77" s="6"/>
      <c r="E77" s="6" t="s">
        <v>28</v>
      </c>
      <c r="F77" s="5"/>
      <c r="G77" s="5"/>
      <c r="H77" s="6" t="s">
        <v>87</v>
      </c>
      <c r="I77" s="5" t="str">
        <f>IF(H77="","",VLOOKUP(H77,DB!A:B,2,0))</f>
        <v/>
      </c>
      <c r="J77" s="6"/>
      <c r="K77" s="6"/>
      <c r="L77" s="6" t="s">
        <v>199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47</v>
      </c>
      <c r="B78" s="6" t="str">
        <f>IF(A78="","",VLOOKUP(A78,DB!A:B,2,0))</f>
        <v>Blackmagic Multiview 16</v>
      </c>
      <c r="C78" s="5"/>
      <c r="D78" s="6"/>
      <c r="E78" s="6" t="s">
        <v>31</v>
      </c>
      <c r="F78" s="5"/>
      <c r="G78" s="5"/>
      <c r="H78" s="6" t="s">
        <v>87</v>
      </c>
      <c r="I78" s="5" t="str">
        <f>IF(H78="","",VLOOKUP(H78,DB!A:B,2,0))</f>
        <v/>
      </c>
      <c r="J78" s="6"/>
      <c r="K78" s="6"/>
      <c r="L78" s="6" t="s">
        <v>200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47</v>
      </c>
      <c r="B79" s="6" t="str">
        <f>IF(A79="","",VLOOKUP(A79,DB!A:B,2,0))</f>
        <v>Blackmagic Multiview 16</v>
      </c>
      <c r="C79" s="5"/>
      <c r="D79" s="6"/>
      <c r="E79" s="6" t="s">
        <v>34</v>
      </c>
      <c r="F79" s="5"/>
      <c r="G79" s="5"/>
      <c r="H79" s="6" t="s">
        <v>87</v>
      </c>
      <c r="I79" s="5" t="str">
        <f>IF(H79="","",VLOOKUP(H79,DB!A:B,2,0))</f>
        <v/>
      </c>
      <c r="J79" s="6"/>
      <c r="K79" s="6"/>
      <c r="L79" s="6" t="s">
        <v>201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47</v>
      </c>
      <c r="B80" s="6" t="str">
        <f>IF(A80="","",VLOOKUP(A80,DB!A:B,2,0))</f>
        <v>Blackmagic Multiview 16</v>
      </c>
      <c r="C80" s="5"/>
      <c r="D80" s="6"/>
      <c r="E80" s="6" t="s">
        <v>37</v>
      </c>
      <c r="F80" s="5"/>
      <c r="G80" s="5"/>
      <c r="H80" s="6" t="s">
        <v>87</v>
      </c>
      <c r="I80" s="5" t="str">
        <f>IF(H80="","",VLOOKUP(H80,DB!A:B,2,0))</f>
        <v/>
      </c>
      <c r="J80" s="6"/>
      <c r="K80" s="6"/>
      <c r="L80" s="6" t="s">
        <v>202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47</v>
      </c>
      <c r="B81" s="6" t="str">
        <f>IF(A81="","",VLOOKUP(A81,DB!A:B,2,0))</f>
        <v>Blackmagic Multiview 16</v>
      </c>
      <c r="C81" s="5"/>
      <c r="D81" s="6"/>
      <c r="E81" s="6" t="s">
        <v>40</v>
      </c>
      <c r="F81" s="5"/>
      <c r="G81" s="5"/>
      <c r="H81" s="6" t="s">
        <v>87</v>
      </c>
      <c r="I81" s="5" t="str">
        <f>IF(H81="","",VLOOKUP(H81,DB!A:B,2,0))</f>
        <v/>
      </c>
      <c r="J81" s="6"/>
      <c r="K81" s="6"/>
      <c r="L81" s="6" t="s">
        <v>203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47</v>
      </c>
      <c r="B82" s="6" t="str">
        <f>IF(A82="","",VLOOKUP(A82,DB!A:B,2,0))</f>
        <v>Blackmagic Multiview 16</v>
      </c>
      <c r="C82" s="5"/>
      <c r="D82" s="6"/>
      <c r="E82" s="6" t="s">
        <v>43</v>
      </c>
      <c r="F82" s="5"/>
      <c r="G82" s="5"/>
      <c r="H82" s="6" t="s">
        <v>87</v>
      </c>
      <c r="I82" s="5" t="str">
        <f>IF(H82="","",VLOOKUP(H82,DB!A:B,2,0))</f>
        <v/>
      </c>
      <c r="J82" s="6"/>
      <c r="K82" s="6"/>
      <c r="L82" s="6" t="s">
        <v>204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47</v>
      </c>
      <c r="B83" s="6" t="str">
        <f>IF(A83="","",VLOOKUP(A83,DB!A:B,2,0))</f>
        <v>Blackmagic Multiview 16</v>
      </c>
      <c r="C83" s="5"/>
      <c r="D83" s="6"/>
      <c r="E83" s="6" t="s">
        <v>46</v>
      </c>
      <c r="F83" s="5"/>
      <c r="G83" s="5"/>
      <c r="H83" s="6" t="s">
        <v>87</v>
      </c>
      <c r="I83" s="5" t="str">
        <f>IF(H83="","",VLOOKUP(H83,DB!A:B,2,0))</f>
        <v/>
      </c>
      <c r="J83" s="6"/>
      <c r="K83" s="6"/>
      <c r="L83" s="6" t="s">
        <v>205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47</v>
      </c>
      <c r="B84" s="6" t="str">
        <f>IF(A84="","",VLOOKUP(A84,DB!A:B,2,0))</f>
        <v>Blackmagic Multiview 16</v>
      </c>
      <c r="C84" s="5"/>
      <c r="D84" s="6"/>
      <c r="E84" s="6" t="s">
        <v>50</v>
      </c>
      <c r="F84" s="5"/>
      <c r="G84" s="5"/>
      <c r="H84" s="6" t="s">
        <v>87</v>
      </c>
      <c r="I84" s="5" t="str">
        <f>IF(H84="","",VLOOKUP(H84,DB!A:B,2,0))</f>
        <v/>
      </c>
      <c r="J84" s="6"/>
      <c r="K84" s="6"/>
      <c r="L84" s="6" t="s">
        <v>206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47</v>
      </c>
      <c r="B85" s="6" t="str">
        <f>IF(A85="","",VLOOKUP(A85,DB!A:B,2,0))</f>
        <v>Blackmagic Multiview 16</v>
      </c>
      <c r="C85" s="5"/>
      <c r="D85" s="6"/>
      <c r="E85" s="6" t="s">
        <v>53</v>
      </c>
      <c r="F85" s="6" t="s">
        <v>207</v>
      </c>
      <c r="G85" s="6" t="s">
        <v>54</v>
      </c>
      <c r="H85" s="6" t="s">
        <v>141</v>
      </c>
      <c r="I85" s="5" t="str">
        <f>IF(H85="","",VLOOKUP(H85,DB!A:B,2,0))</f>
        <v>openGear X</v>
      </c>
      <c r="J85" s="6">
        <v>4.0</v>
      </c>
      <c r="K85" s="6" t="s">
        <v>104</v>
      </c>
      <c r="L85" s="6" t="s">
        <v>208</v>
      </c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47</v>
      </c>
      <c r="B86" s="6" t="str">
        <f>IF(A86="","",VLOOKUP(A86,DB!A:B,2,0))</f>
        <v>Blackmagic Multiview 16</v>
      </c>
      <c r="C86" s="5"/>
      <c r="D86" s="6"/>
      <c r="E86" s="6" t="s">
        <v>56</v>
      </c>
      <c r="F86" s="6" t="s">
        <v>207</v>
      </c>
      <c r="G86" s="6" t="s">
        <v>57</v>
      </c>
      <c r="H86" s="6" t="s">
        <v>141</v>
      </c>
      <c r="I86" s="5" t="str">
        <f>IF(H86="","",VLOOKUP(H86,DB!A:B,2,0))</f>
        <v>openGear X</v>
      </c>
      <c r="J86" s="6">
        <v>5.0</v>
      </c>
      <c r="K86" s="6" t="s">
        <v>104</v>
      </c>
      <c r="L86" s="6" t="s">
        <v>209</v>
      </c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47</v>
      </c>
      <c r="B87" s="6" t="str">
        <f>IF(A87="","",VLOOKUP(A87,DB!A:B,2,0))</f>
        <v>Blackmagic Multiview 16</v>
      </c>
      <c r="C87" s="5"/>
      <c r="D87" s="6"/>
      <c r="E87" s="6" t="s">
        <v>59</v>
      </c>
      <c r="F87" s="6" t="s">
        <v>207</v>
      </c>
      <c r="G87" s="6" t="s">
        <v>60</v>
      </c>
      <c r="H87" s="6" t="s">
        <v>141</v>
      </c>
      <c r="I87" s="5" t="str">
        <f>IF(H87="","",VLOOKUP(H87,DB!A:B,2,0))</f>
        <v>openGear X</v>
      </c>
      <c r="J87" s="6">
        <v>6.0</v>
      </c>
      <c r="K87" s="6" t="s">
        <v>104</v>
      </c>
      <c r="L87" s="6" t="s">
        <v>210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47</v>
      </c>
      <c r="B88" s="6" t="str">
        <f>IF(A88="","",VLOOKUP(A88,DB!A:B,2,0))</f>
        <v>Blackmagic Multiview 16</v>
      </c>
      <c r="C88" s="5"/>
      <c r="D88" s="6"/>
      <c r="E88" s="6" t="s">
        <v>62</v>
      </c>
      <c r="F88" s="6" t="s">
        <v>207</v>
      </c>
      <c r="G88" s="6" t="s">
        <v>63</v>
      </c>
      <c r="H88" s="6" t="s">
        <v>141</v>
      </c>
      <c r="I88" s="5" t="str">
        <f>IF(H88="","",VLOOKUP(H88,DB!A:B,2,0))</f>
        <v>openGear X</v>
      </c>
      <c r="J88" s="6">
        <v>7.0</v>
      </c>
      <c r="K88" s="6" t="s">
        <v>104</v>
      </c>
      <c r="L88" s="6" t="s">
        <v>211</v>
      </c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47</v>
      </c>
      <c r="B89" s="6" t="str">
        <f>IF(A89="","",VLOOKUP(A89,DB!A:B,2,0))</f>
        <v>Blackmagic Multiview 16</v>
      </c>
      <c r="C89" s="5"/>
      <c r="D89" s="6"/>
      <c r="E89" s="6" t="s">
        <v>212</v>
      </c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213</v>
      </c>
      <c r="L89" s="6" t="s">
        <v>214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16</v>
      </c>
      <c r="B90" s="6" t="str">
        <f>IF(A90="","",VLOOKUP(A90,DB!A:B,2,0))</f>
        <v>Blackmagic 12 x 12</v>
      </c>
      <c r="C90" s="5"/>
      <c r="D90" s="6"/>
      <c r="E90" s="6" t="s">
        <v>15</v>
      </c>
      <c r="F90" s="6" t="s">
        <v>207</v>
      </c>
      <c r="G90" s="6" t="s">
        <v>17</v>
      </c>
      <c r="H90" s="6" t="s">
        <v>87</v>
      </c>
      <c r="I90" s="5" t="str">
        <f>IF(H90="","",VLOOKUP(H90,DB!A:B,2,0))</f>
        <v/>
      </c>
      <c r="J90" s="5"/>
      <c r="K90" s="5"/>
      <c r="L90" s="5"/>
      <c r="M90" s="6" t="s">
        <v>215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16</v>
      </c>
      <c r="B91" s="6" t="str">
        <f>IF(A91="","",VLOOKUP(A91,DB!A:B,2,0))</f>
        <v>Blackmagic 12 x 12</v>
      </c>
      <c r="C91" s="5"/>
      <c r="D91" s="6"/>
      <c r="E91" s="6" t="s">
        <v>19</v>
      </c>
      <c r="F91" s="6" t="s">
        <v>207</v>
      </c>
      <c r="G91" s="6" t="s">
        <v>20</v>
      </c>
      <c r="H91" s="6" t="s">
        <v>47</v>
      </c>
      <c r="I91" s="5" t="str">
        <f>IF(H91="","",VLOOKUP(H91,DB!A:B,2,0))</f>
        <v>Blackmagic Multiview 16</v>
      </c>
      <c r="J91" s="5"/>
      <c r="K91" s="6" t="s">
        <v>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16</v>
      </c>
      <c r="B92" s="6" t="str">
        <f>IF(A92="","",VLOOKUP(A92,DB!A:B,2,0))</f>
        <v>Blackmagic 12 x 12</v>
      </c>
      <c r="C92" s="5"/>
      <c r="D92" s="6"/>
      <c r="E92" s="6" t="s">
        <v>22</v>
      </c>
      <c r="F92" s="6" t="s">
        <v>207</v>
      </c>
      <c r="G92" s="6" t="s">
        <v>23</v>
      </c>
      <c r="H92" s="6" t="s">
        <v>47</v>
      </c>
      <c r="I92" s="5" t="str">
        <f>IF(H92="","",VLOOKUP(H92,DB!A:B,2,0))</f>
        <v>Blackmagic Multiview 16</v>
      </c>
      <c r="J92" s="5"/>
      <c r="K92" s="6" t="s">
        <v>23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16</v>
      </c>
      <c r="B93" s="6" t="str">
        <f>IF(A93="","",VLOOKUP(A93,DB!A:B,2,0))</f>
        <v>Blackmagic 12 x 12</v>
      </c>
      <c r="C93" s="5"/>
      <c r="D93" s="6"/>
      <c r="E93" s="6" t="s">
        <v>25</v>
      </c>
      <c r="F93" s="6" t="s">
        <v>207</v>
      </c>
      <c r="G93" s="6" t="s">
        <v>26</v>
      </c>
      <c r="H93" s="6" t="s">
        <v>47</v>
      </c>
      <c r="I93" s="5" t="str">
        <f>IF(H93="","",VLOOKUP(H93,DB!A:B,2,0))</f>
        <v>Blackmagic Multiview 16</v>
      </c>
      <c r="J93" s="5"/>
      <c r="K93" s="6" t="s">
        <v>26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16</v>
      </c>
      <c r="B94" s="6" t="str">
        <f>IF(A94="","",VLOOKUP(A94,DB!A:B,2,0))</f>
        <v>Blackmagic 12 x 12</v>
      </c>
      <c r="C94" s="5"/>
      <c r="D94" s="6"/>
      <c r="E94" s="6" t="s">
        <v>28</v>
      </c>
      <c r="F94" s="6" t="s">
        <v>207</v>
      </c>
      <c r="G94" s="6" t="s">
        <v>29</v>
      </c>
      <c r="H94" s="6" t="s">
        <v>47</v>
      </c>
      <c r="I94" s="5" t="str">
        <f>IF(H94="","",VLOOKUP(H94,DB!A:B,2,0))</f>
        <v>Blackmagic Multiview 16</v>
      </c>
      <c r="J94" s="5"/>
      <c r="K94" s="6" t="s">
        <v>29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16</v>
      </c>
      <c r="B95" s="6" t="str">
        <f>IF(A95="","",VLOOKUP(A95,DB!A:B,2,0))</f>
        <v>Blackmagic 12 x 12</v>
      </c>
      <c r="C95" s="5"/>
      <c r="D95" s="6"/>
      <c r="E95" s="6" t="s">
        <v>31</v>
      </c>
      <c r="F95" s="6" t="s">
        <v>207</v>
      </c>
      <c r="G95" s="6" t="s">
        <v>32</v>
      </c>
      <c r="H95" s="6" t="s">
        <v>47</v>
      </c>
      <c r="I95" s="5" t="str">
        <f>IF(H95="","",VLOOKUP(H95,DB!A:B,2,0))</f>
        <v>Blackmagic Multiview 16</v>
      </c>
      <c r="J95" s="5"/>
      <c r="K95" s="6" t="s">
        <v>32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16</v>
      </c>
      <c r="B96" s="6" t="str">
        <f>IF(A96="","",VLOOKUP(A96,DB!A:B,2,0))</f>
        <v>Blackmagic 12 x 12</v>
      </c>
      <c r="C96" s="5"/>
      <c r="D96" s="6"/>
      <c r="E96" s="6" t="s">
        <v>34</v>
      </c>
      <c r="F96" s="6" t="s">
        <v>207</v>
      </c>
      <c r="G96" s="6" t="s">
        <v>35</v>
      </c>
      <c r="H96" s="6" t="s">
        <v>47</v>
      </c>
      <c r="I96" s="5" t="str">
        <f>IF(H96="","",VLOOKUP(H96,DB!A:B,2,0))</f>
        <v>Blackmagic Multiview 16</v>
      </c>
      <c r="J96" s="5"/>
      <c r="K96" s="6" t="s">
        <v>35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16</v>
      </c>
      <c r="B97" s="6" t="str">
        <f>IF(A97="","",VLOOKUP(A97,DB!A:B,2,0))</f>
        <v>Blackmagic 12 x 12</v>
      </c>
      <c r="C97" s="5"/>
      <c r="D97" s="6"/>
      <c r="E97" s="6" t="s">
        <v>37</v>
      </c>
      <c r="F97" s="6" t="s">
        <v>207</v>
      </c>
      <c r="G97" s="6" t="s">
        <v>38</v>
      </c>
      <c r="H97" s="6" t="s">
        <v>47</v>
      </c>
      <c r="I97" s="5" t="str">
        <f>IF(H97="","",VLOOKUP(H97,DB!A:B,2,0))</f>
        <v>Blackmagic Multiview 16</v>
      </c>
      <c r="J97" s="5"/>
      <c r="K97" s="6" t="s">
        <v>38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16</v>
      </c>
      <c r="B98" s="6" t="str">
        <f>IF(A98="","",VLOOKUP(A98,DB!A:B,2,0))</f>
        <v>Blackmagic 12 x 12</v>
      </c>
      <c r="C98" s="5"/>
      <c r="D98" s="6"/>
      <c r="E98" s="6" t="s">
        <v>40</v>
      </c>
      <c r="F98" s="6" t="s">
        <v>207</v>
      </c>
      <c r="G98" s="6" t="s">
        <v>41</v>
      </c>
      <c r="H98" s="6" t="s">
        <v>47</v>
      </c>
      <c r="I98" s="5" t="str">
        <f>IF(H98="","",VLOOKUP(H98,DB!A:B,2,0))</f>
        <v>Blackmagic Multiview 16</v>
      </c>
      <c r="J98" s="5"/>
      <c r="K98" s="6" t="s">
        <v>41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16</v>
      </c>
      <c r="B99" s="6" t="str">
        <f>IF(A99="","",VLOOKUP(A99,DB!A:B,2,0))</f>
        <v>Blackmagic 12 x 12</v>
      </c>
      <c r="C99" s="5"/>
      <c r="D99" s="6"/>
      <c r="E99" s="6" t="s">
        <v>43</v>
      </c>
      <c r="F99" s="6" t="s">
        <v>207</v>
      </c>
      <c r="G99" s="6" t="s">
        <v>44</v>
      </c>
      <c r="H99" s="6" t="s">
        <v>47</v>
      </c>
      <c r="I99" s="5" t="str">
        <f>IF(H99="","",VLOOKUP(H99,DB!A:B,2,0))</f>
        <v>Blackmagic Multiview 16</v>
      </c>
      <c r="J99" s="5"/>
      <c r="K99" s="6" t="s">
        <v>44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16</v>
      </c>
      <c r="B100" s="6" t="str">
        <f>IF(A100="","",VLOOKUP(A100,DB!A:B,2,0))</f>
        <v>Blackmagic 12 x 12</v>
      </c>
      <c r="C100" s="5"/>
      <c r="D100" s="6"/>
      <c r="E100" s="6" t="s">
        <v>46</v>
      </c>
      <c r="F100" s="5"/>
      <c r="G100" s="5"/>
      <c r="H100" s="6" t="s">
        <v>14</v>
      </c>
      <c r="I100" s="5" t="str">
        <f>IF(H100="","",VLOOKUP(H100,DB!A:B,2,0))</f>
        <v>AJA KUMO 6464</v>
      </c>
      <c r="J100" s="5"/>
      <c r="K100" s="6" t="s">
        <v>216</v>
      </c>
      <c r="L100" s="6" t="s">
        <v>217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16</v>
      </c>
      <c r="B101" s="6" t="str">
        <f>IF(A101="","",VLOOKUP(A101,DB!A:B,2,0))</f>
        <v>Blackmagic 12 x 12</v>
      </c>
      <c r="C101" s="5"/>
      <c r="D101" s="6"/>
      <c r="E101" s="6" t="s">
        <v>50</v>
      </c>
      <c r="F101" s="5"/>
      <c r="G101" s="5"/>
      <c r="H101" s="6" t="s">
        <v>87</v>
      </c>
      <c r="I101" s="5" t="str">
        <f>IF(H101="","",VLOOKUP(H101,DB!A:B,2,0))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218</v>
      </c>
      <c r="B102" s="6" t="str">
        <f>IF(A102="","",VLOOKUP(A102,DB!A:B,2,0))</f>
        <v>Patch Panel</v>
      </c>
      <c r="C102" s="5"/>
      <c r="D102" s="6"/>
      <c r="E102" s="6" t="s">
        <v>62</v>
      </c>
      <c r="F102" s="6" t="s">
        <v>207</v>
      </c>
      <c r="G102" s="6" t="s">
        <v>63</v>
      </c>
      <c r="H102" s="6" t="s">
        <v>87</v>
      </c>
      <c r="I102" s="5"/>
      <c r="J102" s="5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218</v>
      </c>
      <c r="B103" s="6" t="str">
        <f>IF(A103="","",VLOOKUP(A103,DB!A:B,2,0))</f>
        <v>Patch Panel</v>
      </c>
      <c r="C103" s="5"/>
      <c r="D103" s="6"/>
      <c r="E103" s="6" t="s">
        <v>59</v>
      </c>
      <c r="F103" s="6" t="s">
        <v>207</v>
      </c>
      <c r="G103" s="6" t="s">
        <v>60</v>
      </c>
      <c r="H103" s="6" t="s">
        <v>14</v>
      </c>
      <c r="I103" s="5" t="str">
        <f>IF(H103="","",VLOOKUP(H103,DB!A:B,2,0))</f>
        <v>AJA KUMO 6464</v>
      </c>
      <c r="J103" s="5"/>
      <c r="K103" s="6" t="s">
        <v>219</v>
      </c>
      <c r="L103" s="6" t="s">
        <v>220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218</v>
      </c>
      <c r="B104" s="6" t="str">
        <f>IF(A104="","",VLOOKUP(A104,DB!A:B,2,0))</f>
        <v>Patch Panel</v>
      </c>
      <c r="C104" s="5"/>
      <c r="D104" s="6"/>
      <c r="E104" s="6" t="s">
        <v>56</v>
      </c>
      <c r="F104" s="6" t="s">
        <v>207</v>
      </c>
      <c r="G104" s="6" t="s">
        <v>57</v>
      </c>
      <c r="H104" s="6" t="s">
        <v>14</v>
      </c>
      <c r="I104" s="5" t="str">
        <f>IF(H104="","",VLOOKUP(H104,DB!A:B,2,0))</f>
        <v>AJA KUMO 6464</v>
      </c>
      <c r="J104" s="5"/>
      <c r="K104" s="6" t="s">
        <v>221</v>
      </c>
      <c r="L104" s="6" t="s">
        <v>222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218</v>
      </c>
      <c r="B105" s="6" t="str">
        <f>IF(A105="","",VLOOKUP(A105,DB!A:B,2,0))</f>
        <v>Patch Panel</v>
      </c>
      <c r="C105" s="5"/>
      <c r="D105" s="6"/>
      <c r="E105" s="6" t="s">
        <v>53</v>
      </c>
      <c r="F105" s="6" t="s">
        <v>207</v>
      </c>
      <c r="G105" s="6" t="s">
        <v>54</v>
      </c>
      <c r="H105" s="6" t="s">
        <v>14</v>
      </c>
      <c r="I105" s="5" t="str">
        <f>IF(H105="","",VLOOKUP(H105,DB!A:B,2,0))</f>
        <v>AJA KUMO 6464</v>
      </c>
      <c r="J105" s="5"/>
      <c r="K105" s="6" t="s">
        <v>223</v>
      </c>
      <c r="L105" s="6" t="s">
        <v>224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218</v>
      </c>
      <c r="B106" s="6" t="str">
        <f>IF(A106="","",VLOOKUP(A106,DB!A:B,2,0))</f>
        <v>Patch Panel</v>
      </c>
      <c r="C106" s="5"/>
      <c r="D106" s="6"/>
      <c r="E106" s="6" t="s">
        <v>50</v>
      </c>
      <c r="F106" s="6" t="s">
        <v>207</v>
      </c>
      <c r="G106" s="6" t="s">
        <v>51</v>
      </c>
      <c r="H106" s="6" t="s">
        <v>14</v>
      </c>
      <c r="I106" s="5" t="str">
        <f>IF(H106="","",VLOOKUP(H106,DB!A:B,2,0))</f>
        <v>AJA KUMO 6464</v>
      </c>
      <c r="J106" s="5"/>
      <c r="K106" s="6" t="s">
        <v>225</v>
      </c>
      <c r="L106" s="6" t="s">
        <v>226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218</v>
      </c>
      <c r="B107" s="6" t="str">
        <f>IF(A107="","",VLOOKUP(A107,DB!A:B,2,0))</f>
        <v>Patch Panel</v>
      </c>
      <c r="C107" s="5"/>
      <c r="D107" s="6"/>
      <c r="E107" s="6" t="s">
        <v>46</v>
      </c>
      <c r="F107" s="6" t="s">
        <v>207</v>
      </c>
      <c r="G107" s="6" t="s">
        <v>48</v>
      </c>
      <c r="H107" s="6" t="s">
        <v>14</v>
      </c>
      <c r="I107" s="5" t="str">
        <f>IF(H107="","",VLOOKUP(H107,DB!A:B,2,0))</f>
        <v>AJA KUMO 6464</v>
      </c>
      <c r="J107" s="5"/>
      <c r="K107" s="6" t="s">
        <v>227</v>
      </c>
      <c r="L107" s="6" t="s">
        <v>228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218</v>
      </c>
      <c r="B108" s="6" t="str">
        <f>IF(A108="","",VLOOKUP(A108,DB!A:B,2,0))</f>
        <v>Patch Panel</v>
      </c>
      <c r="C108" s="5"/>
      <c r="D108" s="6"/>
      <c r="E108" s="6" t="s">
        <v>43</v>
      </c>
      <c r="F108" s="6" t="s">
        <v>207</v>
      </c>
      <c r="G108" s="6" t="s">
        <v>44</v>
      </c>
      <c r="H108" s="6" t="s">
        <v>14</v>
      </c>
      <c r="I108" s="5" t="str">
        <f>IF(H108="","",VLOOKUP(H108,DB!A:B,2,0))</f>
        <v>AJA KUMO 6464</v>
      </c>
      <c r="J108" s="5"/>
      <c r="K108" s="6" t="s">
        <v>229</v>
      </c>
      <c r="L108" s="6" t="s">
        <v>230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218</v>
      </c>
      <c r="B109" s="6" t="str">
        <f>IF(A109="","",VLOOKUP(A109,DB!A:B,2,0))</f>
        <v>Patch Panel</v>
      </c>
      <c r="C109" s="5"/>
      <c r="D109" s="6"/>
      <c r="E109" s="6" t="s">
        <v>40</v>
      </c>
      <c r="F109" s="6" t="s">
        <v>207</v>
      </c>
      <c r="G109" s="6" t="s">
        <v>41</v>
      </c>
      <c r="H109" s="6" t="s">
        <v>14</v>
      </c>
      <c r="I109" s="5" t="str">
        <f>IF(H109="","",VLOOKUP(H109,DB!A:B,2,0))</f>
        <v>AJA KUMO 6464</v>
      </c>
      <c r="J109" s="5"/>
      <c r="K109" s="6" t="s">
        <v>231</v>
      </c>
      <c r="L109" s="6" t="s">
        <v>232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218</v>
      </c>
      <c r="B110" s="6" t="str">
        <f>IF(A110="","",VLOOKUP(A110,DB!A:B,2,0))</f>
        <v>Patch Panel</v>
      </c>
      <c r="C110" s="5"/>
      <c r="D110" s="6"/>
      <c r="E110" s="6" t="s">
        <v>37</v>
      </c>
      <c r="F110" s="6" t="s">
        <v>207</v>
      </c>
      <c r="G110" s="6" t="s">
        <v>38</v>
      </c>
      <c r="H110" s="6" t="s">
        <v>87</v>
      </c>
      <c r="I110" s="5"/>
      <c r="J110" s="5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218</v>
      </c>
      <c r="B111" s="6" t="str">
        <f>IF(A111="","",VLOOKUP(A111,DB!A:B,2,0))</f>
        <v>Patch Panel</v>
      </c>
      <c r="C111" s="5"/>
      <c r="D111" s="6"/>
      <c r="E111" s="6" t="s">
        <v>34</v>
      </c>
      <c r="F111" s="6" t="s">
        <v>207</v>
      </c>
      <c r="G111" s="6" t="s">
        <v>35</v>
      </c>
      <c r="H111" s="6" t="s">
        <v>87</v>
      </c>
      <c r="I111" s="5" t="str">
        <f>IF(H111="","",VLOOKUP(H111,DB!A:B,2,0))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218</v>
      </c>
      <c r="B112" s="6" t="str">
        <f>IF(A112="","",VLOOKUP(A112,DB!A:B,2,0))</f>
        <v>Patch Panel</v>
      </c>
      <c r="C112" s="5"/>
      <c r="D112" s="6"/>
      <c r="E112" s="6" t="s">
        <v>31</v>
      </c>
      <c r="F112" s="6" t="s">
        <v>207</v>
      </c>
      <c r="G112" s="6" t="s">
        <v>32</v>
      </c>
      <c r="H112" s="6" t="s">
        <v>87</v>
      </c>
      <c r="I112" s="5" t="str">
        <f>IF(H112="","",VLOOKUP(H112,DB!A:B,2,0))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218</v>
      </c>
      <c r="B113" s="6" t="str">
        <f>IF(A113="","",VLOOKUP(A113,DB!A:B,2,0))</f>
        <v>Patch Panel</v>
      </c>
      <c r="C113" s="5"/>
      <c r="D113" s="6"/>
      <c r="E113" s="6" t="s">
        <v>28</v>
      </c>
      <c r="F113" s="6" t="s">
        <v>207</v>
      </c>
      <c r="G113" s="6" t="s">
        <v>29</v>
      </c>
      <c r="H113" s="6" t="s">
        <v>87</v>
      </c>
      <c r="I113" s="5" t="str">
        <f>IF(H113="","",VLOOKUP(H113,DB!A:B,2,0))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218</v>
      </c>
      <c r="B114" s="6" t="str">
        <f>IF(A114="","",VLOOKUP(A114,DB!A:B,2,0))</f>
        <v>Patch Panel</v>
      </c>
      <c r="C114" s="5"/>
      <c r="D114" s="6"/>
      <c r="E114" s="6" t="s">
        <v>25</v>
      </c>
      <c r="F114" s="6" t="s">
        <v>207</v>
      </c>
      <c r="G114" s="6" t="s">
        <v>26</v>
      </c>
      <c r="H114" s="6" t="s">
        <v>87</v>
      </c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218</v>
      </c>
      <c r="B115" s="6" t="str">
        <f>IF(A115="","",VLOOKUP(A115,DB!A:B,2,0))</f>
        <v>Patch Panel</v>
      </c>
      <c r="C115" s="5"/>
      <c r="D115" s="6"/>
      <c r="E115" s="6" t="s">
        <v>22</v>
      </c>
      <c r="F115" s="6" t="s">
        <v>207</v>
      </c>
      <c r="G115" s="6" t="s">
        <v>23</v>
      </c>
      <c r="H115" s="6" t="s">
        <v>87</v>
      </c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218</v>
      </c>
      <c r="B116" s="6" t="str">
        <f>IF(A116="","",VLOOKUP(A116,DB!A:B,2,0))</f>
        <v>Patch Panel</v>
      </c>
      <c r="C116" s="5"/>
      <c r="D116" s="6"/>
      <c r="E116" s="6" t="s">
        <v>19</v>
      </c>
      <c r="F116" s="6" t="s">
        <v>207</v>
      </c>
      <c r="G116" s="6" t="s">
        <v>20</v>
      </c>
      <c r="H116" s="6" t="s">
        <v>87</v>
      </c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218</v>
      </c>
      <c r="B117" s="6" t="str">
        <f>IF(A117="","",VLOOKUP(A117,DB!A:B,2,0))</f>
        <v>Patch Panel</v>
      </c>
      <c r="C117" s="5"/>
      <c r="D117" s="6"/>
      <c r="E117" s="6" t="s">
        <v>15</v>
      </c>
      <c r="F117" s="6" t="s">
        <v>207</v>
      </c>
      <c r="G117" s="6" t="s">
        <v>17</v>
      </c>
      <c r="H117" s="6" t="s">
        <v>87</v>
      </c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111</v>
      </c>
      <c r="B118" s="6" t="str">
        <f>IF(A118="","",VLOOKUP(A118,DB!A:B,2,0))</f>
        <v>Patch Panel</v>
      </c>
      <c r="C118" s="5"/>
      <c r="D118" s="6"/>
      <c r="E118" s="6" t="s">
        <v>62</v>
      </c>
      <c r="F118" s="6" t="s">
        <v>207</v>
      </c>
      <c r="G118" s="6" t="s">
        <v>63</v>
      </c>
      <c r="H118" s="6" t="s">
        <v>87</v>
      </c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111</v>
      </c>
      <c r="B119" s="6" t="str">
        <f>IF(A119="","",VLOOKUP(A119,DB!A:B,2,0))</f>
        <v>Patch Panel</v>
      </c>
      <c r="C119" s="5"/>
      <c r="D119" s="6"/>
      <c r="E119" s="6" t="s">
        <v>59</v>
      </c>
      <c r="F119" s="6" t="s">
        <v>207</v>
      </c>
      <c r="G119" s="6" t="s">
        <v>60</v>
      </c>
      <c r="H119" s="6" t="s">
        <v>233</v>
      </c>
      <c r="I119" s="5" t="str">
        <f>IF(H119="","",VLOOKUP(H119,DB!A:B,2,0))</f>
        <v>Monitor Piso</v>
      </c>
      <c r="J119" s="5"/>
      <c r="K119" s="6" t="s">
        <v>234</v>
      </c>
      <c r="L119" s="5"/>
      <c r="M119" s="5"/>
      <c r="N119" s="6" t="s">
        <v>235</v>
      </c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111</v>
      </c>
      <c r="B120" s="6" t="str">
        <f>IF(A120="","",VLOOKUP(A120,DB!A:B,2,0))</f>
        <v>Patch Panel</v>
      </c>
      <c r="C120" s="5"/>
      <c r="D120" s="6"/>
      <c r="E120" s="6" t="s">
        <v>56</v>
      </c>
      <c r="F120" s="6" t="s">
        <v>207</v>
      </c>
      <c r="G120" s="6" t="s">
        <v>57</v>
      </c>
      <c r="H120" s="6" t="s">
        <v>236</v>
      </c>
      <c r="I120" s="5" t="str">
        <f>IF(H120="","",VLOOKUP(H120,DB!A:B,2,0))</f>
        <v>Monitor Iluminador</v>
      </c>
      <c r="J120" s="5"/>
      <c r="K120" s="6" t="s">
        <v>234</v>
      </c>
      <c r="L120" s="5"/>
      <c r="M120" s="5"/>
      <c r="N120" s="6" t="s">
        <v>235</v>
      </c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111</v>
      </c>
      <c r="B121" s="6" t="str">
        <f>IF(A121="","",VLOOKUP(A121,DB!A:B,2,0))</f>
        <v>Patch Panel</v>
      </c>
      <c r="C121" s="5"/>
      <c r="D121" s="6"/>
      <c r="E121" s="6" t="s">
        <v>53</v>
      </c>
      <c r="F121" s="6" t="s">
        <v>207</v>
      </c>
      <c r="G121" s="6" t="s">
        <v>54</v>
      </c>
      <c r="H121" s="6" t="s">
        <v>237</v>
      </c>
      <c r="I121" s="5" t="str">
        <f>IF(H121="","",VLOOKUP(H121,DB!A:B,2,0))</f>
        <v>Monitor Titulos</v>
      </c>
      <c r="J121" s="5"/>
      <c r="K121" s="6" t="s">
        <v>234</v>
      </c>
      <c r="L121" s="5"/>
      <c r="M121" s="5"/>
      <c r="N121" s="6" t="s">
        <v>235</v>
      </c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111</v>
      </c>
      <c r="B122" s="6" t="str">
        <f>IF(A122="","",VLOOKUP(A122,DB!A:B,2,0))</f>
        <v>Patch Panel</v>
      </c>
      <c r="C122" s="5"/>
      <c r="D122" s="6"/>
      <c r="E122" s="6" t="s">
        <v>50</v>
      </c>
      <c r="F122" s="6" t="s">
        <v>207</v>
      </c>
      <c r="G122" s="6" t="s">
        <v>51</v>
      </c>
      <c r="H122" s="6" t="s">
        <v>87</v>
      </c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111</v>
      </c>
      <c r="B123" s="6" t="str">
        <f>IF(A123="","",VLOOKUP(A123,DB!A:B,2,0))</f>
        <v>Patch Panel</v>
      </c>
      <c r="C123" s="5"/>
      <c r="D123" s="6"/>
      <c r="E123" s="6" t="s">
        <v>46</v>
      </c>
      <c r="F123" s="6" t="s">
        <v>207</v>
      </c>
      <c r="G123" s="6" t="s">
        <v>48</v>
      </c>
      <c r="H123" s="6" t="s">
        <v>238</v>
      </c>
      <c r="I123" s="5" t="str">
        <f>IF(H123="","",VLOOKUP(H123,DB!A:B,2,0))</f>
        <v>VIDEObit 3G-LINK-TD</v>
      </c>
      <c r="J123" s="5"/>
      <c r="K123" s="6" t="s">
        <v>160</v>
      </c>
      <c r="L123" s="5"/>
      <c r="M123" s="5"/>
      <c r="N123" s="6" t="s">
        <v>122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111</v>
      </c>
      <c r="B124" s="6" t="str">
        <f>IF(A124="","",VLOOKUP(A124,DB!A:B,2,0))</f>
        <v>Patch Panel</v>
      </c>
      <c r="C124" s="5"/>
      <c r="D124" s="6"/>
      <c r="E124" s="6" t="s">
        <v>43</v>
      </c>
      <c r="F124" s="6" t="s">
        <v>207</v>
      </c>
      <c r="G124" s="6" t="s">
        <v>44</v>
      </c>
      <c r="H124" s="6" t="s">
        <v>87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111</v>
      </c>
      <c r="B125" s="6" t="str">
        <f>IF(A125="","",VLOOKUP(A125,DB!A:B,2,0))</f>
        <v>Patch Panel</v>
      </c>
      <c r="C125" s="5"/>
      <c r="D125" s="6"/>
      <c r="E125" s="6" t="s">
        <v>40</v>
      </c>
      <c r="F125" s="6" t="s">
        <v>207</v>
      </c>
      <c r="G125" s="6" t="s">
        <v>41</v>
      </c>
      <c r="H125" s="6" t="s">
        <v>87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111</v>
      </c>
      <c r="B126" s="6" t="str">
        <f>IF(A126="","",VLOOKUP(A126,DB!A:B,2,0))</f>
        <v>Patch Panel</v>
      </c>
      <c r="C126" s="5"/>
      <c r="D126" s="6"/>
      <c r="E126" s="6" t="s">
        <v>37</v>
      </c>
      <c r="F126" s="6" t="s">
        <v>207</v>
      </c>
      <c r="G126" s="6" t="s">
        <v>38</v>
      </c>
      <c r="H126" s="6" t="s">
        <v>87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111</v>
      </c>
      <c r="B127" s="6" t="str">
        <f>IF(A127="","",VLOOKUP(A127,DB!A:B,2,0))</f>
        <v>Patch Panel</v>
      </c>
      <c r="C127" s="5"/>
      <c r="D127" s="6"/>
      <c r="E127" s="6" t="s">
        <v>34</v>
      </c>
      <c r="F127" s="6" t="s">
        <v>207</v>
      </c>
      <c r="G127" s="6" t="s">
        <v>35</v>
      </c>
      <c r="H127" s="6" t="s">
        <v>87</v>
      </c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111</v>
      </c>
      <c r="B128" s="6" t="str">
        <f>IF(A128="","",VLOOKUP(A128,DB!A:B,2,0))</f>
        <v>Patch Panel</v>
      </c>
      <c r="C128" s="5"/>
      <c r="D128" s="6"/>
      <c r="E128" s="6" t="s">
        <v>31</v>
      </c>
      <c r="F128" s="6" t="s">
        <v>207</v>
      </c>
      <c r="G128" s="6" t="s">
        <v>32</v>
      </c>
      <c r="H128" s="6" t="s">
        <v>87</v>
      </c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111</v>
      </c>
      <c r="B129" s="6" t="str">
        <f>IF(A129="","",VLOOKUP(A129,DB!A:B,2,0))</f>
        <v>Patch Panel</v>
      </c>
      <c r="C129" s="5"/>
      <c r="D129" s="6"/>
      <c r="E129" s="6" t="s">
        <v>28</v>
      </c>
      <c r="F129" s="6" t="s">
        <v>207</v>
      </c>
      <c r="G129" s="6" t="s">
        <v>29</v>
      </c>
      <c r="H129" s="6" t="s">
        <v>239</v>
      </c>
      <c r="I129" s="5" t="str">
        <f>IF(H129="","",VLOOKUP(H129,DB!A:B,2,0))</f>
        <v>Monitor Sonidista</v>
      </c>
      <c r="J129" s="5"/>
      <c r="K129" s="6" t="s">
        <v>234</v>
      </c>
      <c r="L129" s="5"/>
      <c r="M129" s="5"/>
      <c r="N129" s="6" t="s">
        <v>235</v>
      </c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111</v>
      </c>
      <c r="B130" s="6" t="str">
        <f>IF(A130="","",VLOOKUP(A130,DB!A:B,2,0))</f>
        <v>Patch Panel</v>
      </c>
      <c r="C130" s="5"/>
      <c r="D130" s="6"/>
      <c r="E130" s="6" t="s">
        <v>25</v>
      </c>
      <c r="F130" s="6" t="s">
        <v>207</v>
      </c>
      <c r="G130" s="6" t="s">
        <v>26</v>
      </c>
      <c r="H130" s="6" t="s">
        <v>240</v>
      </c>
      <c r="I130" s="5" t="str">
        <f>IF(H130="","",VLOOKUP(H130,DB!A:B,2,0))</f>
        <v>Monitor MV TX</v>
      </c>
      <c r="J130" s="5"/>
      <c r="K130" s="6" t="s">
        <v>234</v>
      </c>
      <c r="L130" s="5"/>
      <c r="M130" s="6" t="s">
        <v>241</v>
      </c>
      <c r="N130" s="6" t="s">
        <v>235</v>
      </c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111</v>
      </c>
      <c r="B131" s="6" t="str">
        <f>IF(A131="","",VLOOKUP(A131,DB!A:B,2,0))</f>
        <v>Patch Panel</v>
      </c>
      <c r="C131" s="5"/>
      <c r="D131" s="6"/>
      <c r="E131" s="6" t="s">
        <v>22</v>
      </c>
      <c r="F131" s="6" t="s">
        <v>207</v>
      </c>
      <c r="G131" s="6" t="s">
        <v>23</v>
      </c>
      <c r="H131" s="6" t="s">
        <v>242</v>
      </c>
      <c r="I131" s="5" t="str">
        <f>IF(H131="","",VLOOKUP(H131,DB!A:B,2,0))</f>
        <v>Monitor Linea TX</v>
      </c>
      <c r="J131" s="5"/>
      <c r="K131" s="6" t="s">
        <v>234</v>
      </c>
      <c r="L131" s="5"/>
      <c r="M131" s="6" t="s">
        <v>243</v>
      </c>
      <c r="N131" s="6" t="s">
        <v>235</v>
      </c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111</v>
      </c>
      <c r="B132" s="6" t="str">
        <f>IF(A132="","",VLOOKUP(A132,DB!A:B,2,0))</f>
        <v>Patch Panel</v>
      </c>
      <c r="C132" s="5"/>
      <c r="D132" s="6"/>
      <c r="E132" s="6" t="s">
        <v>19</v>
      </c>
      <c r="F132" s="6" t="s">
        <v>207</v>
      </c>
      <c r="G132" s="6" t="s">
        <v>20</v>
      </c>
      <c r="H132" s="6" t="s">
        <v>179</v>
      </c>
      <c r="I132" s="5" t="str">
        <f>IF(H132="","",VLOOKUP(H132,DB!A:B,2,0))</f>
        <v/>
      </c>
      <c r="J132" s="5"/>
      <c r="K132" s="5"/>
      <c r="L132" s="5"/>
      <c r="M132" s="5"/>
      <c r="N132" s="6" t="s">
        <v>137</v>
      </c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111</v>
      </c>
      <c r="B133" s="6" t="str">
        <f>IF(A133="","",VLOOKUP(A133,DB!A:B,2,0))</f>
        <v>Patch Panel</v>
      </c>
      <c r="C133" s="5"/>
      <c r="D133" s="6"/>
      <c r="E133" s="6" t="s">
        <v>15</v>
      </c>
      <c r="F133" s="6" t="s">
        <v>207</v>
      </c>
      <c r="G133" s="6" t="s">
        <v>17</v>
      </c>
      <c r="H133" s="6" t="s">
        <v>244</v>
      </c>
      <c r="I133" s="5" t="str">
        <f>IF(H133="","",VLOOKUP(H133,DB!A:B,2,0))</f>
        <v>Monitor Pvw TX</v>
      </c>
      <c r="J133" s="5"/>
      <c r="K133" s="6" t="s">
        <v>234</v>
      </c>
      <c r="L133" s="5"/>
      <c r="M133" s="6" t="s">
        <v>245</v>
      </c>
      <c r="N133" s="6" t="s">
        <v>235</v>
      </c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246</v>
      </c>
      <c r="B134" s="6" t="str">
        <f>IF(A134="","",VLOOKUP(A134,DB!A:B,2,0))</f>
        <v>Raspberry PI 1</v>
      </c>
      <c r="C134" s="5"/>
      <c r="D134" s="6"/>
      <c r="E134" s="6" t="s">
        <v>247</v>
      </c>
      <c r="F134" s="5"/>
      <c r="G134" s="5"/>
      <c r="H134" s="6" t="s">
        <v>141</v>
      </c>
      <c r="I134" s="5" t="str">
        <f>IF(H134="","",VLOOKUP(H134,DB!A:B,2,0))</f>
        <v>openGear X</v>
      </c>
      <c r="J134" s="6">
        <v>1.0</v>
      </c>
      <c r="K134" s="6" t="s">
        <v>234</v>
      </c>
      <c r="L134" s="5"/>
      <c r="M134" s="6" t="s">
        <v>248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249</v>
      </c>
      <c r="B135" s="6" t="str">
        <f>IF(A135="","",VLOOKUP(A135,DB!A:B,2,0))</f>
        <v>Raspberry PI 2</v>
      </c>
      <c r="C135" s="5"/>
      <c r="D135" s="6"/>
      <c r="E135" s="6" t="s">
        <v>247</v>
      </c>
      <c r="F135" s="5"/>
      <c r="G135" s="5"/>
      <c r="H135" s="6" t="s">
        <v>141</v>
      </c>
      <c r="I135" s="5" t="str">
        <f>IF(H135="","",VLOOKUP(H135,DB!A:B,2,0))</f>
        <v>openGear X</v>
      </c>
      <c r="J135" s="6">
        <v>2.0</v>
      </c>
      <c r="K135" s="6" t="s">
        <v>234</v>
      </c>
      <c r="L135" s="5"/>
      <c r="M135" s="6" t="s">
        <v>250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87</v>
      </c>
      <c r="B136" s="6" t="str">
        <f>IF(A136="","",VLOOKUP(A136,DB!A:B,2,0))</f>
        <v/>
      </c>
      <c r="C136" s="5"/>
      <c r="D136" s="6"/>
      <c r="E136" s="6"/>
      <c r="F136" s="5"/>
      <c r="G136" s="5"/>
      <c r="H136" s="6" t="s">
        <v>141</v>
      </c>
      <c r="I136" s="5" t="str">
        <f>IF(H136="","",VLOOKUP(H136,DB!A:B,2,0))</f>
        <v>openGear X</v>
      </c>
      <c r="J136" s="6">
        <v>3.0</v>
      </c>
      <c r="K136" s="6" t="s">
        <v>234</v>
      </c>
      <c r="L136" s="5"/>
      <c r="M136" s="6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141</v>
      </c>
      <c r="B137" s="6" t="str">
        <f>IF(A137="","",VLOOKUP(A137,DB!A:B,2,0))</f>
        <v>openGear X</v>
      </c>
      <c r="C137" s="6">
        <v>1.0</v>
      </c>
      <c r="D137" s="6" t="s">
        <v>251</v>
      </c>
      <c r="E137" s="6" t="s">
        <v>15</v>
      </c>
      <c r="F137" s="6" t="s">
        <v>207</v>
      </c>
      <c r="G137" s="6" t="s">
        <v>234</v>
      </c>
      <c r="H137" s="6" t="s">
        <v>14</v>
      </c>
      <c r="I137" s="5" t="str">
        <f>IF(H137="","",VLOOKUP(H137,DB!A:B,2,0))</f>
        <v>AJA KUMO 6464</v>
      </c>
      <c r="J137" s="5"/>
      <c r="K137" s="6" t="s">
        <v>252</v>
      </c>
      <c r="L137" s="6" t="s">
        <v>253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141</v>
      </c>
      <c r="B138" s="6" t="str">
        <f>IF(A138="","",VLOOKUP(A138,DB!A:B,2,0))</f>
        <v>openGear X</v>
      </c>
      <c r="C138" s="6">
        <v>2.0</v>
      </c>
      <c r="D138" s="6" t="s">
        <v>251</v>
      </c>
      <c r="E138" s="6" t="s">
        <v>15</v>
      </c>
      <c r="F138" s="6" t="s">
        <v>207</v>
      </c>
      <c r="G138" s="6" t="s">
        <v>234</v>
      </c>
      <c r="H138" s="6" t="s">
        <v>14</v>
      </c>
      <c r="I138" s="5" t="str">
        <f>IF(H138="","",VLOOKUP(H138,DB!A:B,2,0))</f>
        <v>AJA KUMO 6464</v>
      </c>
      <c r="J138" s="5"/>
      <c r="K138" s="6" t="s">
        <v>254</v>
      </c>
      <c r="L138" s="6" t="s">
        <v>255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141</v>
      </c>
      <c r="B139" s="6" t="str">
        <f>IF(A139="","",VLOOKUP(A139,DB!A:B,2,0))</f>
        <v>openGear X</v>
      </c>
      <c r="C139" s="6">
        <v>3.0</v>
      </c>
      <c r="D139" s="6" t="s">
        <v>251</v>
      </c>
      <c r="E139" s="6" t="s">
        <v>15</v>
      </c>
      <c r="F139" s="6" t="s">
        <v>207</v>
      </c>
      <c r="G139" s="6" t="s">
        <v>234</v>
      </c>
      <c r="H139" s="6" t="s">
        <v>14</v>
      </c>
      <c r="I139" s="5" t="str">
        <f>IF(H139="","",VLOOKUP(H139,DB!A:B,2,0))</f>
        <v>AJA KUMO 6464</v>
      </c>
      <c r="J139" s="5"/>
      <c r="K139" s="6" t="s">
        <v>256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141</v>
      </c>
      <c r="B140" s="6" t="str">
        <f>IF(A140="","",VLOOKUP(A140,DB!A:B,2,0))</f>
        <v>openGear X</v>
      </c>
      <c r="C140" s="6">
        <v>4.0</v>
      </c>
      <c r="D140" s="6" t="s">
        <v>257</v>
      </c>
      <c r="E140" s="6" t="s">
        <v>212</v>
      </c>
      <c r="F140" s="6" t="s">
        <v>207</v>
      </c>
      <c r="G140" s="6" t="s">
        <v>104</v>
      </c>
      <c r="H140" s="6" t="s">
        <v>89</v>
      </c>
      <c r="I140" s="5" t="str">
        <f>IF(H140="","",VLOOKUP(H140,DB!A:B,2,0))</f>
        <v>FOR A HVS-390HS</v>
      </c>
      <c r="J140" s="5"/>
      <c r="K140" s="6" t="s">
        <v>35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141</v>
      </c>
      <c r="B141" s="6" t="str">
        <f>IF(A141="","",VLOOKUP(A141,DB!A:B,2,0))</f>
        <v>openGear X</v>
      </c>
      <c r="C141" s="6">
        <v>4.0</v>
      </c>
      <c r="D141" s="6" t="s">
        <v>257</v>
      </c>
      <c r="E141" s="6" t="s">
        <v>258</v>
      </c>
      <c r="F141" s="6" t="s">
        <v>207</v>
      </c>
      <c r="G141" s="6" t="s">
        <v>104</v>
      </c>
      <c r="H141" s="6" t="s">
        <v>259</v>
      </c>
      <c r="I141" s="5" t="str">
        <f>IF(H141="","",VLOOKUP(H141,DB!A:B,2,0))</f>
        <v>Yamaha QL5</v>
      </c>
      <c r="J141" s="5"/>
      <c r="K141" s="6" t="s">
        <v>51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141</v>
      </c>
      <c r="B142" s="6" t="str">
        <f>IF(A142="","",VLOOKUP(A142,DB!A:B,2,0))</f>
        <v>openGear X</v>
      </c>
      <c r="C142" s="6">
        <v>4.0</v>
      </c>
      <c r="D142" s="6" t="s">
        <v>257</v>
      </c>
      <c r="E142" s="6" t="s">
        <v>260</v>
      </c>
      <c r="F142" s="6" t="s">
        <v>207</v>
      </c>
      <c r="G142" s="6" t="s">
        <v>104</v>
      </c>
      <c r="H142" s="6" t="s">
        <v>259</v>
      </c>
      <c r="I142" s="5" t="str">
        <f>IF(H142="","",VLOOKUP(H142,DB!A:B,2,0))</f>
        <v>Yamaha QL5</v>
      </c>
      <c r="J142" s="5"/>
      <c r="K142" s="6" t="s">
        <v>54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141</v>
      </c>
      <c r="B143" s="6" t="str">
        <f>IF(A143="","",VLOOKUP(A143,DB!A:B,2,0))</f>
        <v>openGear X</v>
      </c>
      <c r="C143" s="6">
        <v>5.0</v>
      </c>
      <c r="D143" s="6" t="s">
        <v>257</v>
      </c>
      <c r="E143" s="6" t="s">
        <v>212</v>
      </c>
      <c r="F143" s="6" t="s">
        <v>207</v>
      </c>
      <c r="G143" s="6" t="s">
        <v>104</v>
      </c>
      <c r="H143" s="6" t="s">
        <v>89</v>
      </c>
      <c r="I143" s="5" t="str">
        <f>IF(H143="","",VLOOKUP(H143,DB!A:B,2,0))</f>
        <v>FOR A HVS-390HS</v>
      </c>
      <c r="J143" s="5"/>
      <c r="K143" s="6" t="s">
        <v>38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141</v>
      </c>
      <c r="B144" s="6" t="str">
        <f>IF(A144="","",VLOOKUP(A144,DB!A:B,2,0))</f>
        <v>openGear X</v>
      </c>
      <c r="C144" s="6">
        <v>5.0</v>
      </c>
      <c r="D144" s="6" t="s">
        <v>257</v>
      </c>
      <c r="E144" s="6" t="s">
        <v>258</v>
      </c>
      <c r="F144" s="6" t="s">
        <v>207</v>
      </c>
      <c r="G144" s="6" t="s">
        <v>104</v>
      </c>
      <c r="H144" s="6" t="s">
        <v>259</v>
      </c>
      <c r="I144" s="5" t="str">
        <f>IF(H144="","",VLOOKUP(H144,DB!A:B,2,0))</f>
        <v>Yamaha QL5</v>
      </c>
      <c r="J144" s="5"/>
      <c r="K144" s="6" t="s">
        <v>57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141</v>
      </c>
      <c r="B145" s="6" t="str">
        <f>IF(A145="","",VLOOKUP(A145,DB!A:B,2,0))</f>
        <v>openGear X</v>
      </c>
      <c r="C145" s="6">
        <v>5.0</v>
      </c>
      <c r="D145" s="6" t="s">
        <v>257</v>
      </c>
      <c r="E145" s="6" t="s">
        <v>260</v>
      </c>
      <c r="F145" s="6" t="s">
        <v>207</v>
      </c>
      <c r="G145" s="6" t="s">
        <v>104</v>
      </c>
      <c r="H145" s="6" t="s">
        <v>87</v>
      </c>
      <c r="I145" s="5" t="str">
        <f>IF(H145="","",VLOOKUP(H145,DB!A:B,2,0))</f>
        <v/>
      </c>
      <c r="J145" s="5"/>
      <c r="K145" s="6" t="s">
        <v>87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141</v>
      </c>
      <c r="B146" s="6" t="str">
        <f>IF(A146="","",VLOOKUP(A146,DB!A:B,2,0))</f>
        <v>openGear X</v>
      </c>
      <c r="C146" s="6">
        <v>6.0</v>
      </c>
      <c r="D146" s="6" t="s">
        <v>257</v>
      </c>
      <c r="E146" s="6" t="s">
        <v>212</v>
      </c>
      <c r="F146" s="6" t="s">
        <v>207</v>
      </c>
      <c r="G146" s="6" t="s">
        <v>104</v>
      </c>
      <c r="H146" s="6" t="s">
        <v>89</v>
      </c>
      <c r="I146" s="5" t="str">
        <f>IF(H146="","",VLOOKUP(H146,DB!A:B,2,0))</f>
        <v>FOR A HVS-390HS</v>
      </c>
      <c r="J146" s="5"/>
      <c r="K146" s="6" t="s">
        <v>41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141</v>
      </c>
      <c r="B147" s="6" t="str">
        <f>IF(A147="","",VLOOKUP(A147,DB!A:B,2,0))</f>
        <v>openGear X</v>
      </c>
      <c r="C147" s="6">
        <v>6.0</v>
      </c>
      <c r="D147" s="6" t="s">
        <v>257</v>
      </c>
      <c r="E147" s="6" t="s">
        <v>258</v>
      </c>
      <c r="F147" s="6" t="s">
        <v>207</v>
      </c>
      <c r="G147" s="6" t="s">
        <v>104</v>
      </c>
      <c r="H147" s="6" t="s">
        <v>259</v>
      </c>
      <c r="I147" s="5" t="str">
        <f>IF(H147="","",VLOOKUP(H147,DB!A:B,2,0))</f>
        <v>Yamaha QL5</v>
      </c>
      <c r="J147" s="5"/>
      <c r="K147" s="6" t="s">
        <v>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141</v>
      </c>
      <c r="B148" s="6" t="str">
        <f>IF(A148="","",VLOOKUP(A148,DB!A:B,2,0))</f>
        <v>openGear X</v>
      </c>
      <c r="C148" s="6">
        <v>6.0</v>
      </c>
      <c r="D148" s="6" t="s">
        <v>257</v>
      </c>
      <c r="E148" s="6" t="s">
        <v>260</v>
      </c>
      <c r="F148" s="6" t="s">
        <v>207</v>
      </c>
      <c r="G148" s="6" t="s">
        <v>104</v>
      </c>
      <c r="H148" s="6" t="s">
        <v>87</v>
      </c>
      <c r="I148" s="5" t="str">
        <f>IF(H148="","",VLOOKUP(H148,DB!A:B,2,0))</f>
        <v/>
      </c>
      <c r="J148" s="5"/>
      <c r="K148" s="6" t="s">
        <v>87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141</v>
      </c>
      <c r="B149" s="6" t="str">
        <f>IF(A149="","",VLOOKUP(A149,DB!A:B,2,0))</f>
        <v>openGear X</v>
      </c>
      <c r="C149" s="6">
        <v>7.0</v>
      </c>
      <c r="D149" s="6" t="s">
        <v>257</v>
      </c>
      <c r="E149" s="6" t="s">
        <v>212</v>
      </c>
      <c r="F149" s="6" t="s">
        <v>207</v>
      </c>
      <c r="G149" s="6" t="s">
        <v>104</v>
      </c>
      <c r="H149" s="6" t="s">
        <v>89</v>
      </c>
      <c r="I149" s="5" t="str">
        <f>IF(H149="","",VLOOKUP(H149,DB!A:B,2,0))</f>
        <v>FOR A HVS-390HS</v>
      </c>
      <c r="J149" s="5"/>
      <c r="K149" s="6" t="s">
        <v>44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141</v>
      </c>
      <c r="B150" s="6" t="str">
        <f>IF(A150="","",VLOOKUP(A150,DB!A:B,2,0))</f>
        <v>openGear X</v>
      </c>
      <c r="C150" s="6">
        <v>7.0</v>
      </c>
      <c r="D150" s="6" t="s">
        <v>257</v>
      </c>
      <c r="E150" s="6" t="s">
        <v>258</v>
      </c>
      <c r="F150" s="6" t="s">
        <v>207</v>
      </c>
      <c r="G150" s="6" t="s">
        <v>104</v>
      </c>
      <c r="H150" s="6" t="s">
        <v>259</v>
      </c>
      <c r="I150" s="5" t="str">
        <f>IF(H150="","",VLOOKUP(H150,DB!A:B,2,0))</f>
        <v>Yamaha QL5</v>
      </c>
      <c r="J150" s="5"/>
      <c r="K150" s="6" t="s">
        <v>63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141</v>
      </c>
      <c r="B151" s="6" t="str">
        <f>IF(A151="","",VLOOKUP(A151,DB!A:B,2,0))</f>
        <v>openGear X</v>
      </c>
      <c r="C151" s="6">
        <v>7.0</v>
      </c>
      <c r="D151" s="6" t="s">
        <v>257</v>
      </c>
      <c r="E151" s="6" t="s">
        <v>260</v>
      </c>
      <c r="F151" s="6" t="s">
        <v>207</v>
      </c>
      <c r="G151" s="6" t="s">
        <v>104</v>
      </c>
      <c r="H151" s="6" t="s">
        <v>87</v>
      </c>
      <c r="I151" s="5" t="str">
        <f>IF(H151="","",VLOOKUP(H151,DB!A:B,2,0))</f>
        <v/>
      </c>
      <c r="J151" s="5"/>
      <c r="K151" s="6" t="s">
        <v>87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141</v>
      </c>
      <c r="B152" s="6" t="str">
        <f>IF(A152="","",VLOOKUP(A152,DB!A:B,2,0))</f>
        <v>openGear X</v>
      </c>
      <c r="C152" s="6">
        <v>8.0</v>
      </c>
      <c r="D152" s="6" t="s">
        <v>257</v>
      </c>
      <c r="E152" s="6" t="s">
        <v>212</v>
      </c>
      <c r="F152" s="6" t="s">
        <v>207</v>
      </c>
      <c r="G152" s="6" t="s">
        <v>104</v>
      </c>
      <c r="H152" s="6" t="s">
        <v>87</v>
      </c>
      <c r="I152" s="5" t="str">
        <f>IF(H152="","",VLOOKUP(H152,DB!A:B,2,0))</f>
        <v/>
      </c>
      <c r="J152" s="5"/>
      <c r="K152" s="6" t="s">
        <v>87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141</v>
      </c>
      <c r="B153" s="6" t="str">
        <f>IF(A153="","",VLOOKUP(A153,DB!A:B,2,0))</f>
        <v>openGear X</v>
      </c>
      <c r="C153" s="6">
        <v>8.0</v>
      </c>
      <c r="D153" s="6" t="s">
        <v>257</v>
      </c>
      <c r="E153" s="6" t="s">
        <v>258</v>
      </c>
      <c r="F153" s="6" t="s">
        <v>207</v>
      </c>
      <c r="G153" s="6" t="s">
        <v>104</v>
      </c>
      <c r="H153" s="6" t="s">
        <v>87</v>
      </c>
      <c r="I153" s="5" t="str">
        <f>IF(H153="","",VLOOKUP(H153,DB!A:B,2,0))</f>
        <v/>
      </c>
      <c r="J153" s="5"/>
      <c r="K153" s="6" t="s">
        <v>87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141</v>
      </c>
      <c r="B154" s="6" t="str">
        <f>IF(A154="","",VLOOKUP(A154,DB!A:B,2,0))</f>
        <v>openGear X</v>
      </c>
      <c r="C154" s="6">
        <v>8.0</v>
      </c>
      <c r="D154" s="6" t="s">
        <v>257</v>
      </c>
      <c r="E154" s="6" t="s">
        <v>260</v>
      </c>
      <c r="F154" s="6" t="s">
        <v>207</v>
      </c>
      <c r="G154" s="6" t="s">
        <v>104</v>
      </c>
      <c r="H154" s="6" t="s">
        <v>87</v>
      </c>
      <c r="I154" s="5" t="str">
        <f>IF(H154="","",VLOOKUP(H154,DB!A:B,2,0))</f>
        <v/>
      </c>
      <c r="J154" s="5"/>
      <c r="K154" s="6" t="s">
        <v>87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141</v>
      </c>
      <c r="B155" s="6" t="str">
        <f>IF(A155="","",VLOOKUP(A155,DB!A:B,2,0))</f>
        <v>openGear X</v>
      </c>
      <c r="C155" s="6">
        <v>9.0</v>
      </c>
      <c r="D155" s="6" t="s">
        <v>261</v>
      </c>
      <c r="E155" s="6" t="s">
        <v>262</v>
      </c>
      <c r="F155" s="6" t="s">
        <v>207</v>
      </c>
      <c r="G155" s="6" t="s">
        <v>263</v>
      </c>
      <c r="H155" s="6" t="s">
        <v>179</v>
      </c>
      <c r="I155" s="5" t="str">
        <f>IF(H155="","",VLOOKUP(H155,DB!A:B,2,0))</f>
        <v/>
      </c>
      <c r="J155" s="5"/>
      <c r="K155" s="5"/>
      <c r="L155" s="5"/>
      <c r="M155" s="6" t="s">
        <v>264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141</v>
      </c>
      <c r="B156" s="6" t="str">
        <f>IF(A156="","",VLOOKUP(A156,DB!A:B,2,0))</f>
        <v>openGear X</v>
      </c>
      <c r="C156" s="6">
        <v>9.0</v>
      </c>
      <c r="D156" s="6" t="s">
        <v>261</v>
      </c>
      <c r="E156" s="6" t="s">
        <v>265</v>
      </c>
      <c r="F156" s="6" t="s">
        <v>207</v>
      </c>
      <c r="G156" s="6" t="s">
        <v>263</v>
      </c>
      <c r="H156" s="6" t="s">
        <v>179</v>
      </c>
      <c r="I156" s="5" t="str">
        <f>IF(H156="","",VLOOKUP(H156,DB!A:B,2,0))</f>
        <v/>
      </c>
      <c r="J156" s="5"/>
      <c r="K156" s="5"/>
      <c r="L156" s="5"/>
      <c r="M156" s="6" t="s">
        <v>264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182</v>
      </c>
      <c r="B157" s="6" t="str">
        <f>IF(A157="","",VLOOKUP(A157,DB!A:B,2,0))</f>
        <v>openGear X</v>
      </c>
      <c r="C157" s="6">
        <v>1.0</v>
      </c>
      <c r="D157" s="6" t="s">
        <v>266</v>
      </c>
      <c r="E157" s="6" t="s">
        <v>212</v>
      </c>
      <c r="F157" s="5"/>
      <c r="G157" s="6"/>
      <c r="H157" s="6" t="s">
        <v>179</v>
      </c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182</v>
      </c>
      <c r="B158" s="6" t="str">
        <f>IF(A158="","",VLOOKUP(A158,DB!A:B,2,0))</f>
        <v>openGear X</v>
      </c>
      <c r="C158" s="6">
        <v>1.0</v>
      </c>
      <c r="D158" s="6" t="s">
        <v>266</v>
      </c>
      <c r="E158" s="6" t="s">
        <v>267</v>
      </c>
      <c r="F158" s="5"/>
      <c r="G158" s="6"/>
      <c r="H158" s="6" t="s">
        <v>179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182</v>
      </c>
      <c r="B159" s="6" t="str">
        <f>IF(A159="","",VLOOKUP(A159,DB!A:B,2,0))</f>
        <v>openGear X</v>
      </c>
      <c r="C159" s="6">
        <v>1.0</v>
      </c>
      <c r="D159" s="6" t="s">
        <v>266</v>
      </c>
      <c r="E159" s="6" t="s">
        <v>268</v>
      </c>
      <c r="F159" s="5"/>
      <c r="G159" s="6"/>
      <c r="H159" s="6" t="s">
        <v>179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182</v>
      </c>
      <c r="B160" s="6" t="str">
        <f>IF(A160="","",VLOOKUP(A160,DB!A:B,2,0))</f>
        <v>openGear X</v>
      </c>
      <c r="C160" s="6">
        <v>2.0</v>
      </c>
      <c r="D160" s="6" t="s">
        <v>266</v>
      </c>
      <c r="E160" s="6" t="s">
        <v>212</v>
      </c>
      <c r="F160" s="5"/>
      <c r="G160" s="6"/>
      <c r="H160" s="6" t="s">
        <v>179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182</v>
      </c>
      <c r="B161" s="6" t="str">
        <f>IF(A161="","",VLOOKUP(A161,DB!A:B,2,0))</f>
        <v>openGear X</v>
      </c>
      <c r="C161" s="6">
        <v>2.0</v>
      </c>
      <c r="D161" s="6" t="s">
        <v>266</v>
      </c>
      <c r="E161" s="6" t="s">
        <v>267</v>
      </c>
      <c r="F161" s="5"/>
      <c r="G161" s="6"/>
      <c r="H161" s="6" t="s">
        <v>179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182</v>
      </c>
      <c r="B162" s="6" t="str">
        <f>IF(A162="","",VLOOKUP(A162,DB!A:B,2,0))</f>
        <v>openGear X</v>
      </c>
      <c r="C162" s="6">
        <v>2.0</v>
      </c>
      <c r="D162" s="6" t="s">
        <v>266</v>
      </c>
      <c r="E162" s="6" t="s">
        <v>268</v>
      </c>
      <c r="F162" s="5"/>
      <c r="G162" s="6"/>
      <c r="H162" s="6" t="s">
        <v>179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182</v>
      </c>
      <c r="B163" s="6" t="str">
        <f>IF(A163="","",VLOOKUP(A163,DB!A:B,2,0))</f>
        <v>openGear X</v>
      </c>
      <c r="C163" s="6">
        <v>3.0</v>
      </c>
      <c r="D163" s="6" t="s">
        <v>266</v>
      </c>
      <c r="E163" s="6" t="s">
        <v>267</v>
      </c>
      <c r="F163" s="5"/>
      <c r="G163" s="6"/>
      <c r="H163" s="6" t="s">
        <v>179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182</v>
      </c>
      <c r="B164" s="6" t="str">
        <f>IF(A164="","",VLOOKUP(A164,DB!A:B,2,0))</f>
        <v>openGear X</v>
      </c>
      <c r="C164" s="6">
        <v>5.0</v>
      </c>
      <c r="D164" s="6" t="s">
        <v>266</v>
      </c>
      <c r="E164" s="6" t="s">
        <v>212</v>
      </c>
      <c r="F164" s="5"/>
      <c r="G164" s="6"/>
      <c r="H164" s="6" t="s">
        <v>179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182</v>
      </c>
      <c r="B165" s="6" t="str">
        <f>IF(A165="","",VLOOKUP(A165,DB!A:B,2,0))</f>
        <v>openGear X</v>
      </c>
      <c r="C165" s="6">
        <v>5.0</v>
      </c>
      <c r="D165" s="6" t="s">
        <v>266</v>
      </c>
      <c r="E165" s="6" t="s">
        <v>268</v>
      </c>
      <c r="F165" s="5"/>
      <c r="G165" s="6"/>
      <c r="H165" s="6" t="s">
        <v>179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182</v>
      </c>
      <c r="B166" s="6" t="str">
        <f>IF(A166="","",VLOOKUP(A166,DB!A:B,2,0))</f>
        <v>openGear X</v>
      </c>
      <c r="C166" s="6">
        <v>6.0</v>
      </c>
      <c r="D166" s="6" t="s">
        <v>269</v>
      </c>
      <c r="E166" s="6" t="s">
        <v>270</v>
      </c>
      <c r="F166" s="6" t="s">
        <v>207</v>
      </c>
      <c r="G166" s="6" t="s">
        <v>271</v>
      </c>
      <c r="H166" s="6" t="s">
        <v>14</v>
      </c>
      <c r="I166" s="5" t="str">
        <f>IF(H166="","",VLOOKUP(H166,DB!A:B,2,0))</f>
        <v>AJA KUMO 6464</v>
      </c>
      <c r="J166" s="5"/>
      <c r="K166" s="6" t="s">
        <v>272</v>
      </c>
      <c r="L166" s="6" t="s">
        <v>273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182</v>
      </c>
      <c r="B167" s="6" t="str">
        <f>IF(A167="","",VLOOKUP(A167,DB!A:B,2,0))</f>
        <v>openGear X</v>
      </c>
      <c r="C167" s="6">
        <v>6.0</v>
      </c>
      <c r="D167" s="6" t="s">
        <v>269</v>
      </c>
      <c r="E167" s="6" t="s">
        <v>274</v>
      </c>
      <c r="F167" s="6" t="s">
        <v>207</v>
      </c>
      <c r="G167" s="6" t="s">
        <v>271</v>
      </c>
      <c r="H167" s="6" t="s">
        <v>179</v>
      </c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275</v>
      </c>
      <c r="B168" s="6" t="str">
        <f>IF(A168="","",VLOOKUP(A168,DB!A:B,2,0))</f>
        <v>Sony HXCU-100 Cam 1</v>
      </c>
      <c r="C168" s="5"/>
      <c r="D168" s="5"/>
      <c r="E168" s="6" t="s">
        <v>276</v>
      </c>
      <c r="F168" s="5"/>
      <c r="G168" s="5"/>
      <c r="H168" s="6" t="s">
        <v>14</v>
      </c>
      <c r="I168" s="5" t="str">
        <f>IF(H168="","",VLOOKUP(H168,DB!A:B,2,0))</f>
        <v>AJA KUMO 6464</v>
      </c>
      <c r="J168" s="5"/>
      <c r="K168" s="6" t="s">
        <v>277</v>
      </c>
      <c r="L168" s="6" t="s">
        <v>278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275</v>
      </c>
      <c r="B169" s="6" t="str">
        <f>IF(A169="","",VLOOKUP(A169,DB!A:B,2,0))</f>
        <v>Sony HXCU-100 Cam 1</v>
      </c>
      <c r="C169" s="5"/>
      <c r="D169" s="5"/>
      <c r="E169" s="6" t="s">
        <v>279</v>
      </c>
      <c r="F169" s="5"/>
      <c r="G169" s="5"/>
      <c r="H169" s="6" t="s">
        <v>280</v>
      </c>
      <c r="I169" s="5" t="str">
        <f>IF(H169="","",VLOOKUP(H169,DB!A:B,2,0))</f>
        <v>Blackmagic Multiview 4</v>
      </c>
      <c r="J169" s="5"/>
      <c r="K169" s="6" t="s">
        <v>17</v>
      </c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275</v>
      </c>
      <c r="B170" s="6" t="str">
        <f>IF(A170="","",VLOOKUP(A170,DB!A:B,2,0))</f>
        <v>Sony HXCU-100 Cam 1</v>
      </c>
      <c r="C170" s="5"/>
      <c r="D170" s="5"/>
      <c r="E170" s="6" t="s">
        <v>281</v>
      </c>
      <c r="F170" s="5"/>
      <c r="G170" s="5"/>
      <c r="H170" s="6" t="s">
        <v>89</v>
      </c>
      <c r="I170" s="5" t="str">
        <f>IF(H170="","",VLOOKUP(H170,DB!A:B,2,0))</f>
        <v>FOR A HVS-390HS</v>
      </c>
      <c r="J170" s="5"/>
      <c r="K170" s="6" t="s">
        <v>17</v>
      </c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282</v>
      </c>
      <c r="B171" s="6" t="str">
        <f>IF(A171="","",VLOOKUP(A171,DB!A:B,2,0))</f>
        <v>Sony HXCU-100 Cam 2</v>
      </c>
      <c r="C171" s="5"/>
      <c r="D171" s="5"/>
      <c r="E171" s="6" t="s">
        <v>276</v>
      </c>
      <c r="F171" s="5"/>
      <c r="G171" s="5"/>
      <c r="H171" s="6" t="s">
        <v>14</v>
      </c>
      <c r="I171" s="5" t="str">
        <f>IF(H171="","",VLOOKUP(H171,DB!A:B,2,0))</f>
        <v>AJA KUMO 6464</v>
      </c>
      <c r="J171" s="5"/>
      <c r="K171" s="6" t="s">
        <v>283</v>
      </c>
      <c r="L171" s="6" t="s">
        <v>284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282</v>
      </c>
      <c r="B172" s="6" t="str">
        <f>IF(A172="","",VLOOKUP(A172,DB!A:B,2,0))</f>
        <v>Sony HXCU-100 Cam 2</v>
      </c>
      <c r="C172" s="5"/>
      <c r="D172" s="5"/>
      <c r="E172" s="6" t="s">
        <v>279</v>
      </c>
      <c r="F172" s="5"/>
      <c r="G172" s="5"/>
      <c r="H172" s="6" t="s">
        <v>280</v>
      </c>
      <c r="I172" s="5" t="str">
        <f>IF(H172="","",VLOOKUP(H172,DB!A:B,2,0))</f>
        <v>Blackmagic Multiview 4</v>
      </c>
      <c r="J172" s="5"/>
      <c r="K172" s="6" t="s">
        <v>20</v>
      </c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282</v>
      </c>
      <c r="B173" s="6" t="str">
        <f>IF(A173="","",VLOOKUP(A173,DB!A:B,2,0))</f>
        <v>Sony HXCU-100 Cam 2</v>
      </c>
      <c r="C173" s="5"/>
      <c r="D173" s="5"/>
      <c r="E173" s="6" t="s">
        <v>281</v>
      </c>
      <c r="F173" s="5"/>
      <c r="G173" s="5"/>
      <c r="H173" s="6" t="s">
        <v>89</v>
      </c>
      <c r="I173" s="5" t="str">
        <f>IF(H173="","",VLOOKUP(H173,DB!A:B,2,0))</f>
        <v>FOR A HVS-390HS</v>
      </c>
      <c r="J173" s="5"/>
      <c r="K173" s="6" t="s">
        <v>20</v>
      </c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285</v>
      </c>
      <c r="B174" s="6" t="str">
        <f>IF(A174="","",VLOOKUP(A174,DB!A:B,2,0))</f>
        <v>Sony HXCU-100 Cam 3</v>
      </c>
      <c r="C174" s="5"/>
      <c r="D174" s="5"/>
      <c r="E174" s="6" t="s">
        <v>276</v>
      </c>
      <c r="F174" s="5"/>
      <c r="G174" s="5"/>
      <c r="H174" s="6" t="s">
        <v>14</v>
      </c>
      <c r="I174" s="5" t="str">
        <f>IF(H174="","",VLOOKUP(H174,DB!A:B,2,0))</f>
        <v>AJA KUMO 6464</v>
      </c>
      <c r="J174" s="5"/>
      <c r="K174" s="6" t="s">
        <v>286</v>
      </c>
      <c r="L174" s="6" t="s">
        <v>287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285</v>
      </c>
      <c r="B175" s="6" t="str">
        <f>IF(A175="","",VLOOKUP(A175,DB!A:B,2,0))</f>
        <v>Sony HXCU-100 Cam 3</v>
      </c>
      <c r="C175" s="5"/>
      <c r="D175" s="5"/>
      <c r="E175" s="6" t="s">
        <v>279</v>
      </c>
      <c r="F175" s="5"/>
      <c r="G175" s="5"/>
      <c r="H175" s="6" t="s">
        <v>280</v>
      </c>
      <c r="I175" s="5" t="str">
        <f>IF(H175="","",VLOOKUP(H175,DB!A:B,2,0))</f>
        <v>Blackmagic Multiview 4</v>
      </c>
      <c r="J175" s="5"/>
      <c r="K175" s="6" t="s">
        <v>23</v>
      </c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285</v>
      </c>
      <c r="B176" s="6" t="str">
        <f>IF(A176="","",VLOOKUP(A176,DB!A:B,2,0))</f>
        <v>Sony HXCU-100 Cam 3</v>
      </c>
      <c r="C176" s="5"/>
      <c r="D176" s="5"/>
      <c r="E176" s="6" t="s">
        <v>281</v>
      </c>
      <c r="F176" s="5"/>
      <c r="G176" s="5"/>
      <c r="H176" s="6" t="s">
        <v>89</v>
      </c>
      <c r="I176" s="5" t="str">
        <f>IF(H176="","",VLOOKUP(H176,DB!A:B,2,0))</f>
        <v>FOR A HVS-390HS</v>
      </c>
      <c r="J176" s="5"/>
      <c r="K176" s="6" t="s">
        <v>23</v>
      </c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288</v>
      </c>
      <c r="B177" s="6" t="str">
        <f>IF(A177="","",VLOOKUP(A177,DB!A:B,2,0))</f>
        <v>Sony HXCU-100 Cam 4</v>
      </c>
      <c r="C177" s="5"/>
      <c r="D177" s="5"/>
      <c r="E177" s="6" t="s">
        <v>276</v>
      </c>
      <c r="F177" s="5"/>
      <c r="G177" s="5"/>
      <c r="H177" s="6" t="s">
        <v>14</v>
      </c>
      <c r="I177" s="5" t="str">
        <f>IF(H177="","",VLOOKUP(H177,DB!A:B,2,0))</f>
        <v>AJA KUMO 6464</v>
      </c>
      <c r="J177" s="5"/>
      <c r="K177" s="6" t="s">
        <v>289</v>
      </c>
      <c r="L177" s="6" t="s">
        <v>290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288</v>
      </c>
      <c r="B178" s="6" t="str">
        <f>IF(A178="","",VLOOKUP(A178,DB!A:B,2,0))</f>
        <v>Sony HXCU-100 Cam 4</v>
      </c>
      <c r="C178" s="5"/>
      <c r="D178" s="5"/>
      <c r="E178" s="6" t="s">
        <v>279</v>
      </c>
      <c r="F178" s="5"/>
      <c r="G178" s="5"/>
      <c r="H178" s="6" t="s">
        <v>280</v>
      </c>
      <c r="I178" s="5" t="str">
        <f>IF(H178="","",VLOOKUP(H178,DB!A:B,2,0))</f>
        <v>Blackmagic Multiview 4</v>
      </c>
      <c r="J178" s="5"/>
      <c r="K178" s="6" t="s">
        <v>26</v>
      </c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288</v>
      </c>
      <c r="B179" s="6" t="str">
        <f>IF(A179="","",VLOOKUP(A179,DB!A:B,2,0))</f>
        <v>Sony HXCU-100 Cam 4</v>
      </c>
      <c r="C179" s="5"/>
      <c r="D179" s="5"/>
      <c r="E179" s="6" t="s">
        <v>281</v>
      </c>
      <c r="F179" s="5"/>
      <c r="G179" s="5"/>
      <c r="H179" s="6" t="s">
        <v>89</v>
      </c>
      <c r="I179" s="5" t="str">
        <f>IF(H179="","",VLOOKUP(H179,DB!A:B,2,0))</f>
        <v>FOR A HVS-390HS</v>
      </c>
      <c r="J179" s="5"/>
      <c r="K179" s="6" t="s">
        <v>26</v>
      </c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280</v>
      </c>
      <c r="B180" s="6" t="str">
        <f>IF(A180="","",VLOOKUP(A180,DB!A:B,2,0))</f>
        <v>Blackmagic Multiview 4</v>
      </c>
      <c r="C180" s="5"/>
      <c r="D180" s="5"/>
      <c r="E180" s="6" t="s">
        <v>212</v>
      </c>
      <c r="F180" s="5"/>
      <c r="G180" s="5"/>
      <c r="H180" s="6" t="s">
        <v>14</v>
      </c>
      <c r="I180" s="5" t="str">
        <f>IF(H180="","",VLOOKUP(H180,DB!A:B,2,0))</f>
        <v>AJA KUMO 6464</v>
      </c>
      <c r="J180" s="5"/>
      <c r="K180" s="6" t="s">
        <v>291</v>
      </c>
      <c r="L180" s="6" t="s">
        <v>292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89</v>
      </c>
      <c r="B181" s="6" t="str">
        <f>IF(A181="","",VLOOKUP(A181,DB!A:B,2,0))</f>
        <v>FOR A HVS-390HS</v>
      </c>
      <c r="C181" s="5"/>
      <c r="D181" s="5"/>
      <c r="E181" s="6" t="s">
        <v>293</v>
      </c>
      <c r="F181" s="5"/>
      <c r="G181" s="5"/>
      <c r="H181" s="6" t="s">
        <v>294</v>
      </c>
      <c r="I181" s="5" t="str">
        <f>IF(H181="","",VLOOKUP(H181,DB!A:B,2,0))</f>
        <v>Monitor Director 2</v>
      </c>
      <c r="J181" s="5"/>
      <c r="K181" s="6" t="s">
        <v>234</v>
      </c>
      <c r="L181" s="5"/>
      <c r="M181" s="5"/>
      <c r="N181" s="6" t="s">
        <v>235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89</v>
      </c>
      <c r="B182" s="6" t="str">
        <f>IF(A182="","",VLOOKUP(A182,DB!A:B,2,0))</f>
        <v>FOR A HVS-390HS</v>
      </c>
      <c r="C182" s="5"/>
      <c r="D182" s="5"/>
      <c r="E182" s="6" t="s">
        <v>295</v>
      </c>
      <c r="F182" s="5"/>
      <c r="G182" s="5"/>
      <c r="H182" s="6" t="s">
        <v>296</v>
      </c>
      <c r="I182" s="5" t="str">
        <f>IF(H182="","",VLOOKUP(H182,DB!A:B,2,0))</f>
        <v>PC Pantalla</v>
      </c>
      <c r="J182" s="5"/>
      <c r="K182" s="6" t="s">
        <v>234</v>
      </c>
      <c r="L182" s="5"/>
      <c r="M182" s="5"/>
      <c r="N182" s="6" t="s">
        <v>297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89</v>
      </c>
      <c r="B183" s="6" t="str">
        <f>IF(A183="","",VLOOKUP(A183,DB!A:B,2,0))</f>
        <v>FOR A HVS-390HS</v>
      </c>
      <c r="C183" s="5"/>
      <c r="D183" s="5"/>
      <c r="E183" s="6" t="s">
        <v>298</v>
      </c>
      <c r="F183" s="5"/>
      <c r="G183" s="5"/>
      <c r="H183" s="6" t="s">
        <v>14</v>
      </c>
      <c r="I183" s="5" t="str">
        <f>IF(H183="","",VLOOKUP(H183,DB!A:B,2,0))</f>
        <v>AJA KUMO 6464</v>
      </c>
      <c r="J183" s="5"/>
      <c r="K183" s="6" t="s">
        <v>32</v>
      </c>
      <c r="L183" s="6" t="s">
        <v>299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89</v>
      </c>
      <c r="B184" s="6" t="str">
        <f>IF(A184="","",VLOOKUP(A184,DB!A:B,2,0))</f>
        <v>FOR A HVS-390HS</v>
      </c>
      <c r="C184" s="5"/>
      <c r="D184" s="5"/>
      <c r="E184" s="6" t="s">
        <v>15</v>
      </c>
      <c r="F184" s="5"/>
      <c r="G184" s="5"/>
      <c r="H184" s="6" t="s">
        <v>14</v>
      </c>
      <c r="I184" s="5" t="str">
        <f>IF(H184="","",VLOOKUP(H184,DB!A:B,2,0))</f>
        <v>AJA KUMO 6464</v>
      </c>
      <c r="J184" s="5"/>
      <c r="K184" s="6" t="s">
        <v>29</v>
      </c>
      <c r="L184" s="6" t="s">
        <v>300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89</v>
      </c>
      <c r="B185" s="6" t="str">
        <f>IF(A185="","",VLOOKUP(A185,DB!A:B,2,0))</f>
        <v>FOR A HVS-390HS</v>
      </c>
      <c r="C185" s="5"/>
      <c r="D185" s="5"/>
      <c r="E185" s="6" t="s">
        <v>19</v>
      </c>
      <c r="F185" s="5"/>
      <c r="G185" s="5"/>
      <c r="H185" s="6" t="s">
        <v>301</v>
      </c>
      <c r="I185" s="5" t="str">
        <f>IF(H185="","",VLOOKUP(H185,DB!A:B,2,0))</f>
        <v>AJA HD5DA</v>
      </c>
      <c r="J185" s="5"/>
      <c r="K185" s="6" t="s">
        <v>104</v>
      </c>
      <c r="L185" s="5"/>
      <c r="M185" s="5"/>
      <c r="N185" s="6" t="s">
        <v>302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301</v>
      </c>
      <c r="B186" s="6" t="str">
        <f>IF(A186="","",VLOOKUP(A186,DB!A:B,2,0))</f>
        <v>AJA HD5DA</v>
      </c>
      <c r="C186" s="5"/>
      <c r="D186" s="5"/>
      <c r="E186" s="6" t="s">
        <v>276</v>
      </c>
      <c r="F186" s="5"/>
      <c r="G186" s="5"/>
      <c r="H186" s="6" t="s">
        <v>275</v>
      </c>
      <c r="I186" s="5" t="str">
        <f>IF(H186="","",VLOOKUP(H186,DB!A:B,2,0))</f>
        <v>Sony HXCU-100 Cam 1</v>
      </c>
      <c r="J186" s="5"/>
      <c r="K186" s="6" t="s">
        <v>303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301</v>
      </c>
      <c r="B187" s="6" t="str">
        <f>IF(A187="","",VLOOKUP(A187,DB!A:B,2,0))</f>
        <v>AJA HD5DA</v>
      </c>
      <c r="C187" s="5"/>
      <c r="D187" s="5"/>
      <c r="E187" s="6" t="s">
        <v>279</v>
      </c>
      <c r="F187" s="5"/>
      <c r="G187" s="5"/>
      <c r="H187" s="6" t="s">
        <v>282</v>
      </c>
      <c r="I187" s="5" t="str">
        <f>IF(H187="","",VLOOKUP(H187,DB!A:B,2,0))</f>
        <v>Sony HXCU-100 Cam 2</v>
      </c>
      <c r="J187" s="5"/>
      <c r="K187" s="6" t="s">
        <v>303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301</v>
      </c>
      <c r="B188" s="6" t="str">
        <f>IF(A188="","",VLOOKUP(A188,DB!A:B,2,0))</f>
        <v>AJA HD5DA</v>
      </c>
      <c r="C188" s="5"/>
      <c r="D188" s="5"/>
      <c r="E188" s="6" t="s">
        <v>281</v>
      </c>
      <c r="F188" s="5"/>
      <c r="G188" s="5"/>
      <c r="H188" s="6" t="s">
        <v>285</v>
      </c>
      <c r="I188" s="5" t="str">
        <f>IF(H188="","",VLOOKUP(H188,DB!A:B,2,0))</f>
        <v>Sony HXCU-100 Cam 3</v>
      </c>
      <c r="J188" s="5"/>
      <c r="K188" s="6" t="s">
        <v>303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301</v>
      </c>
      <c r="B189" s="6" t="str">
        <f>IF(A189="","",VLOOKUP(A189,DB!A:B,2,0))</f>
        <v>AJA HD5DA</v>
      </c>
      <c r="C189" s="5"/>
      <c r="D189" s="5"/>
      <c r="E189" s="6" t="s">
        <v>304</v>
      </c>
      <c r="F189" s="5"/>
      <c r="G189" s="5"/>
      <c r="H189" s="6" t="s">
        <v>288</v>
      </c>
      <c r="I189" s="5" t="str">
        <f>IF(H189="","",VLOOKUP(H189,DB!A:B,2,0))</f>
        <v>Sony HXCU-100 Cam 4</v>
      </c>
      <c r="J189" s="5"/>
      <c r="K189" s="6" t="s">
        <v>303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148</v>
      </c>
      <c r="B190" s="6" t="str">
        <f>IF(A190="","",VLOOKUP(A190,DB!A:B,2,0))</f>
        <v>AJA FS2</v>
      </c>
      <c r="C190" s="5"/>
      <c r="D190" s="5"/>
      <c r="E190" s="6" t="s">
        <v>15</v>
      </c>
      <c r="F190" s="5"/>
      <c r="G190" s="5"/>
      <c r="H190" s="6" t="s">
        <v>14</v>
      </c>
      <c r="I190" s="5" t="str">
        <f>IF(H190="","",VLOOKUP(H190,DB!A:B,2,0))</f>
        <v>AJA KUMO 6464</v>
      </c>
      <c r="J190" s="5"/>
      <c r="K190" s="6" t="s">
        <v>35</v>
      </c>
      <c r="L190" s="6" t="s">
        <v>305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306</v>
      </c>
      <c r="B191" s="6" t="str">
        <f>IF(A191="","",VLOOKUP(A191,DB!A:B,2,0))</f>
        <v>Telairity BE-IRD 5503</v>
      </c>
      <c r="C191" s="5"/>
      <c r="D191" s="5"/>
      <c r="E191" s="6" t="s">
        <v>279</v>
      </c>
      <c r="F191" s="5"/>
      <c r="G191" s="5"/>
      <c r="H191" s="6" t="s">
        <v>14</v>
      </c>
      <c r="I191" s="5" t="str">
        <f>IF(H191="","",VLOOKUP(H191,DB!A:B,2,0))</f>
        <v>AJA KUMO 6464</v>
      </c>
      <c r="J191" s="5"/>
      <c r="K191" s="6" t="s">
        <v>38</v>
      </c>
      <c r="L191" s="6" t="s">
        <v>307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87</v>
      </c>
      <c r="B192" s="6" t="str">
        <f>IF(A192="","",VLOOKUP(A192,DB!A:B,2,0))</f>
        <v/>
      </c>
      <c r="C192" s="6"/>
      <c r="D192" s="6"/>
      <c r="E192" s="6"/>
      <c r="F192" s="5"/>
      <c r="G192" s="5"/>
      <c r="H192" s="6" t="s">
        <v>14</v>
      </c>
      <c r="I192" s="5" t="str">
        <f>IF(H192="","",VLOOKUP(H192,DB!A:B,2,0))</f>
        <v>AJA KUMO 6464</v>
      </c>
      <c r="J192" s="5"/>
      <c r="K192" s="6" t="s">
        <v>41</v>
      </c>
      <c r="L192" s="6" t="s">
        <v>87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308</v>
      </c>
      <c r="B193" s="6" t="str">
        <f>IF(A193="","",VLOOKUP(A193,DB!A:B,2,0))</f>
        <v>openGear X</v>
      </c>
      <c r="C193" s="6">
        <v>2.0</v>
      </c>
      <c r="D193" s="6" t="s">
        <v>309</v>
      </c>
      <c r="E193" s="6" t="s">
        <v>212</v>
      </c>
      <c r="F193" s="5"/>
      <c r="G193" s="5"/>
      <c r="H193" s="6" t="s">
        <v>14</v>
      </c>
      <c r="I193" s="5" t="str">
        <f>IF(H193="","",VLOOKUP(H193,DB!A:B,2,0))</f>
        <v>AJA KUMO 6464</v>
      </c>
      <c r="J193" s="5"/>
      <c r="K193" s="6" t="s">
        <v>44</v>
      </c>
      <c r="L193" s="6" t="s">
        <v>310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308</v>
      </c>
      <c r="B194" s="6" t="str">
        <f>IF(A194="","",VLOOKUP(A194,DB!A:B,2,0))</f>
        <v>openGear X</v>
      </c>
      <c r="C194" s="6">
        <v>5.0</v>
      </c>
      <c r="D194" s="6" t="s">
        <v>309</v>
      </c>
      <c r="E194" s="6" t="s">
        <v>212</v>
      </c>
      <c r="F194" s="5"/>
      <c r="G194" s="5"/>
      <c r="H194" s="6" t="s">
        <v>14</v>
      </c>
      <c r="I194" s="5" t="str">
        <f>IF(H194="","",VLOOKUP(H194,DB!A:B,2,0))</f>
        <v>AJA KUMO 6464</v>
      </c>
      <c r="J194" s="5"/>
      <c r="K194" s="6" t="s">
        <v>48</v>
      </c>
      <c r="L194" s="6" t="s">
        <v>311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312</v>
      </c>
      <c r="B195" s="6" t="str">
        <f>IF(A195="","",VLOOKUP(A195,DB!A:B,2,0))</f>
        <v>BM OF to SDI</v>
      </c>
      <c r="C195" s="5"/>
      <c r="D195" s="5"/>
      <c r="E195" s="6" t="s">
        <v>212</v>
      </c>
      <c r="F195" s="5"/>
      <c r="G195" s="5"/>
      <c r="H195" s="6" t="s">
        <v>14</v>
      </c>
      <c r="I195" s="5" t="str">
        <f>IF(H195="","",VLOOKUP(H195,DB!A:B,2,0))</f>
        <v>AJA KUMO 6464</v>
      </c>
      <c r="J195" s="5"/>
      <c r="K195" s="6" t="s">
        <v>51</v>
      </c>
      <c r="L195" s="6" t="s">
        <v>313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308</v>
      </c>
      <c r="B196" s="6" t="str">
        <f>IF(A196="","",VLOOKUP(A196,DB!A:B,2,0))</f>
        <v>openGear X</v>
      </c>
      <c r="C196" s="6">
        <v>6.0</v>
      </c>
      <c r="D196" s="6" t="s">
        <v>309</v>
      </c>
      <c r="E196" s="6" t="s">
        <v>212</v>
      </c>
      <c r="F196" s="5"/>
      <c r="G196" s="5"/>
      <c r="H196" s="6" t="s">
        <v>14</v>
      </c>
      <c r="I196" s="5" t="str">
        <f>IF(H196="","",VLOOKUP(H196,DB!A:B,2,0))</f>
        <v>AJA KUMO 6464</v>
      </c>
      <c r="J196" s="5"/>
      <c r="K196" s="6" t="s">
        <v>54</v>
      </c>
      <c r="L196" s="6" t="s">
        <v>314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308</v>
      </c>
      <c r="B197" s="6" t="str">
        <f>IF(A197="","",VLOOKUP(A197,DB!A:B,2,0))</f>
        <v>openGear X</v>
      </c>
      <c r="C197" s="6">
        <v>4.0</v>
      </c>
      <c r="D197" s="6" t="s">
        <v>309</v>
      </c>
      <c r="E197" s="6" t="s">
        <v>212</v>
      </c>
      <c r="F197" s="5"/>
      <c r="G197" s="5"/>
      <c r="H197" s="6" t="s">
        <v>14</v>
      </c>
      <c r="I197" s="5" t="str">
        <f>IF(H197="","",VLOOKUP(H197,DB!A:B,2,0))</f>
        <v>AJA KUMO 6464</v>
      </c>
      <c r="J197" s="5"/>
      <c r="K197" s="6" t="s">
        <v>57</v>
      </c>
      <c r="L197" s="6" t="s">
        <v>315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87</v>
      </c>
      <c r="B198" s="6" t="str">
        <f>IF(A198="","",VLOOKUP(A198,DB!A:B,2,0))</f>
        <v/>
      </c>
      <c r="C198" s="6"/>
      <c r="D198" s="6"/>
      <c r="E198" s="6"/>
      <c r="F198" s="5"/>
      <c r="G198" s="5"/>
      <c r="H198" s="6" t="s">
        <v>14</v>
      </c>
      <c r="I198" s="5" t="str">
        <f>IF(H198="","",VLOOKUP(H198,DB!A:B,2,0))</f>
        <v>AJA KUMO 6464</v>
      </c>
      <c r="J198" s="5"/>
      <c r="K198" s="6" t="s">
        <v>60</v>
      </c>
      <c r="L198" s="6" t="s">
        <v>87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308</v>
      </c>
      <c r="B199" s="6" t="str">
        <f>IF(A199="","",VLOOKUP(A199,DB!A:B,2,0))</f>
        <v>openGear X</v>
      </c>
      <c r="C199" s="6">
        <v>3.0</v>
      </c>
      <c r="D199" s="6" t="s">
        <v>309</v>
      </c>
      <c r="E199" s="6" t="s">
        <v>212</v>
      </c>
      <c r="F199" s="5"/>
      <c r="G199" s="5"/>
      <c r="H199" s="6" t="s">
        <v>14</v>
      </c>
      <c r="I199" s="5" t="str">
        <f>IF(H199="","",VLOOKUP(H199,DB!A:B,2,0))</f>
        <v>AJA KUMO 6464</v>
      </c>
      <c r="J199" s="5"/>
      <c r="K199" s="6" t="s">
        <v>63</v>
      </c>
      <c r="L199" s="6" t="s">
        <v>200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316</v>
      </c>
      <c r="B200" s="6" t="str">
        <f>IF(A200="","",VLOOKUP(A200,DB!A:B,2,0))</f>
        <v>Telairity BE-IRD 5501</v>
      </c>
      <c r="C200" s="5"/>
      <c r="D200" s="5"/>
      <c r="E200" s="6" t="s">
        <v>276</v>
      </c>
      <c r="F200" s="5"/>
      <c r="G200" s="5"/>
      <c r="H200" s="6" t="s">
        <v>14</v>
      </c>
      <c r="I200" s="5" t="str">
        <f>IF(H200="","",VLOOKUP(H200,DB!A:B,2,0))</f>
        <v>AJA KUMO 6464</v>
      </c>
      <c r="J200" s="5"/>
      <c r="K200" s="6" t="s">
        <v>317</v>
      </c>
      <c r="L200" s="6" t="s">
        <v>318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319</v>
      </c>
      <c r="B201" s="6" t="str">
        <f>IF(A201="","",VLOOKUP(A201,DB!A:B,2,0))</f>
        <v>Wellav UMH160R</v>
      </c>
      <c r="C201" s="5"/>
      <c r="D201" s="5"/>
      <c r="E201" s="6" t="s">
        <v>276</v>
      </c>
      <c r="F201" s="5"/>
      <c r="G201" s="5"/>
      <c r="H201" s="6" t="s">
        <v>14</v>
      </c>
      <c r="I201" s="5" t="str">
        <f>IF(H201="","",VLOOKUP(H201,DB!A:B,2,0))</f>
        <v>AJA KUMO 6464</v>
      </c>
      <c r="J201" s="5"/>
      <c r="K201" s="6" t="s">
        <v>320</v>
      </c>
      <c r="L201" s="6" t="s">
        <v>321</v>
      </c>
      <c r="M201" s="6" t="s">
        <v>198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322</v>
      </c>
      <c r="B202" s="6" t="str">
        <f>IF(A202="","",VLOOKUP(A202,DB!A:B,2,0))</f>
        <v>Wellav UMH160R</v>
      </c>
      <c r="C202" s="5"/>
      <c r="D202" s="5"/>
      <c r="E202" s="6" t="s">
        <v>276</v>
      </c>
      <c r="F202" s="5"/>
      <c r="G202" s="5"/>
      <c r="H202" s="6" t="s">
        <v>14</v>
      </c>
      <c r="I202" s="5" t="str">
        <f>IF(H202="","",VLOOKUP(H202,DB!A:B,2,0))</f>
        <v>AJA KUMO 6464</v>
      </c>
      <c r="J202" s="5"/>
      <c r="K202" s="6" t="s">
        <v>323</v>
      </c>
      <c r="L202" s="6" t="s">
        <v>324</v>
      </c>
      <c r="M202" s="6" t="s">
        <v>199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325</v>
      </c>
      <c r="B203" s="6" t="str">
        <f>IF(A203="","",VLOOKUP(A203,DB!A:B,2,0))</f>
        <v>CRD1000D</v>
      </c>
      <c r="C203" s="5"/>
      <c r="D203" s="5"/>
      <c r="E203" s="6" t="s">
        <v>326</v>
      </c>
      <c r="F203" s="5"/>
      <c r="G203" s="5"/>
      <c r="H203" s="6" t="s">
        <v>14</v>
      </c>
      <c r="I203" s="5" t="str">
        <f>IF(H203="","",VLOOKUP(H203,DB!A:B,2,0))</f>
        <v>AJA KUMO 6464</v>
      </c>
      <c r="J203" s="5"/>
      <c r="K203" s="6" t="s">
        <v>327</v>
      </c>
      <c r="L203" s="6" t="s">
        <v>328</v>
      </c>
      <c r="M203" s="5"/>
      <c r="N203" s="6" t="s">
        <v>329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145</v>
      </c>
      <c r="B204" s="6" t="str">
        <f>IF(A204="","",VLOOKUP(A204,DB!A:B,2,0))</f>
        <v>GrassValley T2</v>
      </c>
      <c r="C204" s="5"/>
      <c r="D204" s="5"/>
      <c r="E204" s="6" t="s">
        <v>186</v>
      </c>
      <c r="F204" s="5"/>
      <c r="G204" s="5"/>
      <c r="H204" s="6" t="s">
        <v>14</v>
      </c>
      <c r="I204" s="5" t="str">
        <f>IF(H204="","",VLOOKUP(H204,DB!A:B,2,0))</f>
        <v>AJA KUMO 6464</v>
      </c>
      <c r="J204" s="5"/>
      <c r="K204" s="6" t="s">
        <v>330</v>
      </c>
      <c r="L204" s="6" t="s">
        <v>331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332</v>
      </c>
      <c r="B205" s="6" t="str">
        <f>IF(A205="","",VLOOKUP(A205,DB!A:B,2,0))</f>
        <v>Videocasetera</v>
      </c>
      <c r="C205" s="5"/>
      <c r="D205" s="5"/>
      <c r="E205" s="6" t="s">
        <v>333</v>
      </c>
      <c r="F205" s="5"/>
      <c r="G205" s="5"/>
      <c r="H205" s="6" t="s">
        <v>14</v>
      </c>
      <c r="I205" s="5" t="str">
        <f>IF(H205="","",VLOOKUP(H205,DB!A:B,2,0))</f>
        <v>AJA KUMO 6464</v>
      </c>
      <c r="J205" s="5"/>
      <c r="K205" s="6" t="s">
        <v>334</v>
      </c>
      <c r="L205" s="6" t="s">
        <v>335</v>
      </c>
      <c r="M205" s="5"/>
      <c r="N205" s="6" t="s">
        <v>336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87</v>
      </c>
      <c r="B206" s="6"/>
      <c r="C206" s="5"/>
      <c r="D206" s="5"/>
      <c r="E206" s="5"/>
      <c r="F206" s="5"/>
      <c r="G206" s="5"/>
      <c r="H206" s="6" t="s">
        <v>14</v>
      </c>
      <c r="I206" s="5" t="str">
        <f>IF(H206="","",VLOOKUP(H206,DB!A:B,2,0))</f>
        <v>AJA KUMO 6464</v>
      </c>
      <c r="J206" s="5"/>
      <c r="K206" s="6" t="s">
        <v>337</v>
      </c>
      <c r="L206" s="6" t="s">
        <v>87</v>
      </c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179</v>
      </c>
      <c r="B207" s="6" t="str">
        <f>IF(A207="","",VLOOKUP(A207,DB!A:B,2,0))</f>
        <v/>
      </c>
      <c r="C207" s="5"/>
      <c r="D207" s="5"/>
      <c r="E207" s="5"/>
      <c r="F207" s="5"/>
      <c r="G207" s="5"/>
      <c r="H207" s="6" t="s">
        <v>14</v>
      </c>
      <c r="I207" s="5" t="str">
        <f>IF(H207="","",VLOOKUP(H207,DB!A:B,2,0))</f>
        <v>AJA KUMO 6464</v>
      </c>
      <c r="J207" s="5"/>
      <c r="K207" s="6" t="s">
        <v>338</v>
      </c>
      <c r="L207" s="6" t="s">
        <v>179</v>
      </c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99</v>
      </c>
      <c r="B208" s="6" t="str">
        <f>IF(A208="","",VLOOKUP(A208,DB!A:B,2,0))</f>
        <v>PC Rack</v>
      </c>
      <c r="C208" s="6">
        <v>1.0</v>
      </c>
      <c r="D208" s="6" t="s">
        <v>185</v>
      </c>
      <c r="E208" s="6" t="s">
        <v>339</v>
      </c>
      <c r="F208" s="5"/>
      <c r="G208" s="5"/>
      <c r="H208" s="6" t="s">
        <v>14</v>
      </c>
      <c r="I208" s="5" t="str">
        <f>IF(H208="","",VLOOKUP(H208,DB!A:B,2,0))</f>
        <v>AJA KUMO 6464</v>
      </c>
      <c r="J208" s="5"/>
      <c r="K208" s="6" t="s">
        <v>340</v>
      </c>
      <c r="L208" s="6" t="s">
        <v>341</v>
      </c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103</v>
      </c>
      <c r="B209" s="6" t="str">
        <f>IF(A209="","",VLOOKUP(A209,DB!A:B,2,0))</f>
        <v>Datavideo TC-200</v>
      </c>
      <c r="C209" s="5"/>
      <c r="D209" s="5"/>
      <c r="E209" s="6" t="s">
        <v>212</v>
      </c>
      <c r="F209" s="5"/>
      <c r="G209" s="5"/>
      <c r="H209" s="6" t="s">
        <v>14</v>
      </c>
      <c r="I209" s="5" t="str">
        <f>IF(H209="","",VLOOKUP(H209,DB!A:B,2,0))</f>
        <v>AJA KUMO 6464</v>
      </c>
      <c r="J209" s="5"/>
      <c r="K209" s="6" t="s">
        <v>342</v>
      </c>
      <c r="L209" s="6" t="s">
        <v>343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87</v>
      </c>
      <c r="B210" s="6" t="str">
        <f>IF(A210="","",VLOOKUP(A210,DB!A:B,2,0))</f>
        <v/>
      </c>
      <c r="C210" s="5"/>
      <c r="D210" s="5"/>
      <c r="E210" s="6"/>
      <c r="F210" s="5"/>
      <c r="G210" s="5"/>
      <c r="H210" s="6" t="s">
        <v>14</v>
      </c>
      <c r="I210" s="5" t="str">
        <f>IF(H210="","",VLOOKUP(H210,DB!A:B,2,0))</f>
        <v>AJA KUMO 6464</v>
      </c>
      <c r="J210" s="5"/>
      <c r="K210" s="6" t="s">
        <v>344</v>
      </c>
      <c r="L210" s="6" t="s">
        <v>87</v>
      </c>
      <c r="M210" s="5"/>
      <c r="N210" s="6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345</v>
      </c>
      <c r="B211" s="6" t="str">
        <f>IF(A211="","",VLOOKUP(A211,DB!A:B,2,0))</f>
        <v>Apple TV</v>
      </c>
      <c r="C211" s="5"/>
      <c r="D211" s="5"/>
      <c r="E211" s="6" t="s">
        <v>247</v>
      </c>
      <c r="F211" s="5"/>
      <c r="G211" s="5"/>
      <c r="H211" s="6" t="s">
        <v>14</v>
      </c>
      <c r="I211" s="5" t="str">
        <f>IF(H211="","",VLOOKUP(H211,DB!A:B,2,0))</f>
        <v>AJA KUMO 6464</v>
      </c>
      <c r="J211" s="5"/>
      <c r="K211" s="6" t="s">
        <v>346</v>
      </c>
      <c r="L211" s="6" t="s">
        <v>347</v>
      </c>
      <c r="M211" s="5"/>
      <c r="N211" s="6" t="s">
        <v>348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87</v>
      </c>
      <c r="B212" s="6" t="str">
        <f>IF(A212="","",VLOOKUP(A212,DB!A:B,2,0))</f>
        <v/>
      </c>
      <c r="C212" s="5"/>
      <c r="D212" s="5"/>
      <c r="E212" s="6"/>
      <c r="F212" s="5"/>
      <c r="G212" s="5"/>
      <c r="H212" s="6" t="s">
        <v>14</v>
      </c>
      <c r="I212" s="5" t="str">
        <f>IF(H212="","",VLOOKUP(H212,DB!A:B,2,0))</f>
        <v>AJA KUMO 6464</v>
      </c>
      <c r="J212" s="5"/>
      <c r="K212" s="6" t="s">
        <v>349</v>
      </c>
      <c r="L212" s="6" t="s">
        <v>87</v>
      </c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87</v>
      </c>
      <c r="B213" s="6" t="str">
        <f>IF(A213="","",VLOOKUP(A213,DB!A:B,2,0))</f>
        <v/>
      </c>
      <c r="C213" s="5"/>
      <c r="D213" s="5"/>
      <c r="E213" s="6"/>
      <c r="F213" s="5"/>
      <c r="G213" s="5"/>
      <c r="H213" s="6" t="s">
        <v>14</v>
      </c>
      <c r="I213" s="5" t="str">
        <f>IF(H213="","",VLOOKUP(H213,DB!A:B,2,0))</f>
        <v>AJA KUMO 6464</v>
      </c>
      <c r="J213" s="5"/>
      <c r="K213" s="6" t="s">
        <v>350</v>
      </c>
      <c r="L213" s="6" t="s">
        <v>87</v>
      </c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87</v>
      </c>
      <c r="B214" s="6" t="str">
        <f>IF(A214="","",VLOOKUP(A214,DB!A:B,2,0))</f>
        <v/>
      </c>
      <c r="C214" s="5"/>
      <c r="D214" s="5"/>
      <c r="E214" s="6"/>
      <c r="F214" s="5"/>
      <c r="G214" s="5"/>
      <c r="H214" s="6" t="s">
        <v>14</v>
      </c>
      <c r="I214" s="5" t="str">
        <f>IF(H214="","",VLOOKUP(H214,DB!A:B,2,0))</f>
        <v>AJA KUMO 6464</v>
      </c>
      <c r="J214" s="5"/>
      <c r="K214" s="6" t="s">
        <v>351</v>
      </c>
      <c r="L214" s="6" t="s">
        <v>87</v>
      </c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87</v>
      </c>
      <c r="B215" s="6" t="str">
        <f>IF(A215="","",VLOOKUP(A215,DB!A:B,2,0))</f>
        <v/>
      </c>
      <c r="C215" s="5"/>
      <c r="D215" s="5"/>
      <c r="E215" s="6"/>
      <c r="F215" s="5"/>
      <c r="G215" s="5"/>
      <c r="H215" s="6" t="s">
        <v>14</v>
      </c>
      <c r="I215" s="5" t="str">
        <f>IF(H215="","",VLOOKUP(H215,DB!A:B,2,0))</f>
        <v>AJA KUMO 6464</v>
      </c>
      <c r="J215" s="5"/>
      <c r="K215" s="6" t="s">
        <v>352</v>
      </c>
      <c r="L215" s="6" t="s">
        <v>87</v>
      </c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179</v>
      </c>
      <c r="B216" s="6" t="str">
        <f>IF(A216="","",VLOOKUP(A216,DB!A:B,2,0))</f>
        <v/>
      </c>
      <c r="C216" s="5"/>
      <c r="D216" s="5"/>
      <c r="E216" s="5"/>
      <c r="F216" s="5"/>
      <c r="G216" s="5"/>
      <c r="H216" s="6" t="s">
        <v>14</v>
      </c>
      <c r="I216" s="5" t="str">
        <f>IF(H216="","",VLOOKUP(H216,DB!A:B,2,0))</f>
        <v>AJA KUMO 6464</v>
      </c>
      <c r="J216" s="5"/>
      <c r="K216" s="6" t="s">
        <v>353</v>
      </c>
      <c r="L216" s="6" t="s">
        <v>354</v>
      </c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87</v>
      </c>
      <c r="B217" s="6" t="str">
        <f>IF(A217="","",VLOOKUP(A217,DB!A:B,2,0))</f>
        <v/>
      </c>
      <c r="C217" s="5"/>
      <c r="D217" s="5"/>
      <c r="E217" s="5"/>
      <c r="F217" s="5"/>
      <c r="G217" s="5"/>
      <c r="H217" s="6" t="s">
        <v>14</v>
      </c>
      <c r="I217" s="5" t="str">
        <f>IF(H217="","",VLOOKUP(H217,DB!A:B,2,0))</f>
        <v>AJA KUMO 6464</v>
      </c>
      <c r="J217" s="5"/>
      <c r="K217" s="6" t="s">
        <v>355</v>
      </c>
      <c r="L217" s="6" t="s">
        <v>87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87</v>
      </c>
      <c r="B218" s="6" t="str">
        <f>IF(A218="","",VLOOKUP(A218,DB!A:B,2,0))</f>
        <v/>
      </c>
      <c r="C218" s="5"/>
      <c r="D218" s="5"/>
      <c r="E218" s="5"/>
      <c r="F218" s="5"/>
      <c r="G218" s="5"/>
      <c r="H218" s="6" t="s">
        <v>14</v>
      </c>
      <c r="I218" s="5" t="str">
        <f>IF(H218="","",VLOOKUP(H218,DB!A:B,2,0))</f>
        <v>AJA KUMO 6464</v>
      </c>
      <c r="J218" s="5"/>
      <c r="K218" s="6" t="s">
        <v>356</v>
      </c>
      <c r="L218" s="6" t="s">
        <v>87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87</v>
      </c>
      <c r="B219" s="6" t="str">
        <f>IF(A219="","",VLOOKUP(A219,DB!A:B,2,0))</f>
        <v/>
      </c>
      <c r="C219" s="5"/>
      <c r="D219" s="5"/>
      <c r="E219" s="5"/>
      <c r="F219" s="5"/>
      <c r="G219" s="5"/>
      <c r="H219" s="6" t="s">
        <v>14</v>
      </c>
      <c r="I219" s="5" t="str">
        <f>IF(H219="","",VLOOKUP(H219,DB!A:B,2,0))</f>
        <v>AJA KUMO 6464</v>
      </c>
      <c r="J219" s="5"/>
      <c r="K219" s="6" t="s">
        <v>357</v>
      </c>
      <c r="L219" s="6" t="s">
        <v>87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99</v>
      </c>
      <c r="B220" s="6" t="str">
        <f>IF(A220="","",VLOOKUP(A220,DB!A:B,2,0))</f>
        <v>PC Rack</v>
      </c>
      <c r="C220" s="6">
        <v>1.0</v>
      </c>
      <c r="D220" s="6" t="s">
        <v>185</v>
      </c>
      <c r="E220" s="6" t="s">
        <v>186</v>
      </c>
      <c r="F220" s="5"/>
      <c r="G220" s="5"/>
      <c r="H220" s="6" t="s">
        <v>14</v>
      </c>
      <c r="I220" s="5" t="str">
        <f>IF(H220="","",VLOOKUP(H220,DB!A:B,2,0))</f>
        <v>AJA KUMO 6464</v>
      </c>
      <c r="J220" s="5"/>
      <c r="K220" s="6" t="s">
        <v>358</v>
      </c>
      <c r="L220" s="6" t="s">
        <v>359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179</v>
      </c>
      <c r="B221" s="6" t="str">
        <f>IF(A221="","",VLOOKUP(A221,DB!A:B,2,0))</f>
        <v/>
      </c>
      <c r="C221" s="5"/>
      <c r="D221" s="5"/>
      <c r="E221" s="5"/>
      <c r="F221" s="5"/>
      <c r="G221" s="5"/>
      <c r="H221" s="6" t="s">
        <v>14</v>
      </c>
      <c r="I221" s="5" t="str">
        <f>IF(H221="","",VLOOKUP(H221,DB!A:B,2,0))</f>
        <v>AJA KUMO 6464</v>
      </c>
      <c r="J221" s="5"/>
      <c r="K221" s="6" t="s">
        <v>360</v>
      </c>
      <c r="L221" s="6" t="s">
        <v>361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87</v>
      </c>
      <c r="B222" s="6" t="str">
        <f>IF(A222="","",VLOOKUP(A222,DB!A:B,2,0))</f>
        <v/>
      </c>
      <c r="C222" s="5"/>
      <c r="D222" s="5"/>
      <c r="E222" s="6"/>
      <c r="F222" s="5"/>
      <c r="G222" s="5"/>
      <c r="H222" s="6" t="s">
        <v>14</v>
      </c>
      <c r="I222" s="5" t="str">
        <f>IF(H222="","",VLOOKUP(H222,DB!A:B,2,0))</f>
        <v>AJA KUMO 6464</v>
      </c>
      <c r="J222" s="5"/>
      <c r="K222" s="6" t="s">
        <v>362</v>
      </c>
      <c r="L222" s="6" t="s">
        <v>87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66</v>
      </c>
      <c r="B223" s="6" t="str">
        <f>IF(A223="","",VLOOKUP(A223,DB!A:B,2,0))</f>
        <v>AJA FS4</v>
      </c>
      <c r="C223" s="5"/>
      <c r="D223" s="5"/>
      <c r="E223" s="6" t="s">
        <v>276</v>
      </c>
      <c r="F223" s="5"/>
      <c r="G223" s="5"/>
      <c r="H223" s="6" t="s">
        <v>14</v>
      </c>
      <c r="I223" s="5" t="str">
        <f>IF(H223="","",VLOOKUP(H223,DB!A:B,2,0))</f>
        <v>AJA KUMO 6464</v>
      </c>
      <c r="J223" s="5"/>
      <c r="K223" s="6" t="s">
        <v>363</v>
      </c>
      <c r="L223" s="6" t="s">
        <v>161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66</v>
      </c>
      <c r="B224" s="6" t="str">
        <f>IF(A224="","",VLOOKUP(A224,DB!A:B,2,0))</f>
        <v>AJA FS4</v>
      </c>
      <c r="C224" s="5"/>
      <c r="D224" s="5"/>
      <c r="E224" s="6" t="s">
        <v>279</v>
      </c>
      <c r="F224" s="6" t="s">
        <v>207</v>
      </c>
      <c r="G224" s="6" t="s">
        <v>67</v>
      </c>
      <c r="H224" s="6" t="s">
        <v>71</v>
      </c>
      <c r="I224" s="5" t="str">
        <f>IF(H224="","",VLOOKUP(H224,DB!A:B,2,0))</f>
        <v>Loop A</v>
      </c>
      <c r="J224" s="6">
        <v>1.0</v>
      </c>
      <c r="K224" s="6" t="s">
        <v>72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66</v>
      </c>
      <c r="B225" s="6" t="str">
        <f>IF(A225="","",VLOOKUP(A225,DB!A:B,2,0))</f>
        <v>AJA FS4</v>
      </c>
      <c r="C225" s="5"/>
      <c r="D225" s="5"/>
      <c r="E225" s="6" t="s">
        <v>281</v>
      </c>
      <c r="F225" s="5"/>
      <c r="G225" s="5"/>
      <c r="H225" s="6" t="s">
        <v>14</v>
      </c>
      <c r="I225" s="5" t="str">
        <f>IF(H225="","",VLOOKUP(H225,DB!A:B,2,0))</f>
        <v>AJA KUMO 6464</v>
      </c>
      <c r="J225" s="5"/>
      <c r="K225" s="6" t="s">
        <v>364</v>
      </c>
      <c r="L225" s="6" t="s">
        <v>365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66</v>
      </c>
      <c r="B226" s="6" t="str">
        <f>IF(A226="","",VLOOKUP(A226,DB!A:B,2,0))</f>
        <v>AJA FS4</v>
      </c>
      <c r="C226" s="5"/>
      <c r="D226" s="5"/>
      <c r="E226" s="6" t="s">
        <v>304</v>
      </c>
      <c r="F226" s="5"/>
      <c r="G226" s="5"/>
      <c r="H226" s="6" t="s">
        <v>14</v>
      </c>
      <c r="I226" s="5" t="str">
        <f>IF(H226="","",VLOOKUP(H226,DB!A:B,2,0))</f>
        <v>AJA KUMO 6464</v>
      </c>
      <c r="J226" s="5"/>
      <c r="K226" s="6" t="s">
        <v>366</v>
      </c>
      <c r="L226" s="6" t="s">
        <v>367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87</v>
      </c>
      <c r="B227" s="6" t="str">
        <f>IF(A227="","",VLOOKUP(A227,DB!A:B,2,0))</f>
        <v/>
      </c>
      <c r="C227" s="5"/>
      <c r="D227" s="5"/>
      <c r="E227" s="6"/>
      <c r="F227" s="5"/>
      <c r="G227" s="5"/>
      <c r="H227" s="6" t="s">
        <v>14</v>
      </c>
      <c r="I227" s="5" t="str">
        <f>IF(H227="","",VLOOKUP(H227,DB!A:B,2,0))</f>
        <v>AJA KUMO 6464</v>
      </c>
      <c r="J227" s="5"/>
      <c r="K227" s="6" t="s">
        <v>368</v>
      </c>
      <c r="L227" s="6" t="s">
        <v>87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87</v>
      </c>
      <c r="B228" s="6" t="str">
        <f>IF(A228="","",VLOOKUP(A228,DB!A:B,2,0))</f>
        <v/>
      </c>
      <c r="C228" s="5"/>
      <c r="D228" s="5"/>
      <c r="E228" s="5"/>
      <c r="F228" s="5"/>
      <c r="G228" s="5"/>
      <c r="H228" s="6" t="s">
        <v>218</v>
      </c>
      <c r="I228" s="5" t="str">
        <f>IF(H228="","",VLOOKUP(H228,DB!A:B,2,0))</f>
        <v>Patch Panel</v>
      </c>
      <c r="J228" s="5"/>
      <c r="K228" s="6" t="s">
        <v>63</v>
      </c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369</v>
      </c>
      <c r="B229" s="6" t="str">
        <f>IF(A229="","",VLOOKUP(A229,DB!A:B,2,0))</f>
        <v>Patch Estudio</v>
      </c>
      <c r="C229" s="5"/>
      <c r="D229" s="5"/>
      <c r="E229" s="6" t="s">
        <v>370</v>
      </c>
      <c r="F229" s="5"/>
      <c r="G229" s="5"/>
      <c r="H229" s="6" t="s">
        <v>218</v>
      </c>
      <c r="I229" s="5" t="str">
        <f>IF(H229="","",VLOOKUP(H229,DB!A:B,2,0))</f>
        <v>Patch Panel</v>
      </c>
      <c r="J229" s="5"/>
      <c r="K229" s="6" t="s">
        <v>60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371</v>
      </c>
      <c r="B230" s="6" t="str">
        <f>IF(A230="","",VLOOKUP(A230,DB!A:B,2,0))</f>
        <v>PC Videollamada</v>
      </c>
      <c r="C230" s="6">
        <v>1.0</v>
      </c>
      <c r="D230" s="6" t="s">
        <v>185</v>
      </c>
      <c r="E230" s="6" t="s">
        <v>372</v>
      </c>
      <c r="F230" s="5"/>
      <c r="G230" s="5"/>
      <c r="H230" s="6" t="s">
        <v>218</v>
      </c>
      <c r="I230" s="5" t="str">
        <f>IF(H230="","",VLOOKUP(H230,DB!A:B,2,0))</f>
        <v>Patch Panel</v>
      </c>
      <c r="J230" s="5"/>
      <c r="K230" s="6" t="s">
        <v>57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87</v>
      </c>
      <c r="B231" s="6" t="str">
        <f>IF(A231="","",VLOOKUP(A231,DB!A:B,2,0))</f>
        <v/>
      </c>
      <c r="C231" s="5"/>
      <c r="D231" s="5"/>
      <c r="E231" s="5"/>
      <c r="F231" s="5"/>
      <c r="G231" s="5"/>
      <c r="H231" s="6" t="s">
        <v>218</v>
      </c>
      <c r="I231" s="5" t="str">
        <f>IF(H231="","",VLOOKUP(H231,DB!A:B,2,0))</f>
        <v>Patch Panel</v>
      </c>
      <c r="J231" s="5"/>
      <c r="K231" s="6" t="s">
        <v>54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87</v>
      </c>
      <c r="B232" s="6" t="str">
        <f>IF(A232="","",VLOOKUP(A232,DB!A:B,2,0))</f>
        <v/>
      </c>
      <c r="C232" s="5"/>
      <c r="D232" s="5"/>
      <c r="E232" s="5"/>
      <c r="F232" s="5"/>
      <c r="G232" s="5"/>
      <c r="H232" s="6" t="s">
        <v>218</v>
      </c>
      <c r="I232" s="5" t="str">
        <f>IF(H232="","",VLOOKUP(H232,DB!A:B,2,0))</f>
        <v>Patch Panel</v>
      </c>
      <c r="J232" s="5"/>
      <c r="K232" s="6" t="s">
        <v>51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87</v>
      </c>
      <c r="B233" s="6" t="str">
        <f>IF(A233="","",VLOOKUP(A233,DB!A:B,2,0))</f>
        <v/>
      </c>
      <c r="C233" s="5"/>
      <c r="D233" s="5"/>
      <c r="E233" s="5"/>
      <c r="F233" s="5"/>
      <c r="G233" s="5"/>
      <c r="H233" s="6" t="s">
        <v>218</v>
      </c>
      <c r="I233" s="5" t="str">
        <f>IF(H233="","",VLOOKUP(H233,DB!A:B,2,0))</f>
        <v>Patch Panel</v>
      </c>
      <c r="J233" s="5"/>
      <c r="K233" s="6" t="s">
        <v>48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87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218</v>
      </c>
      <c r="I234" s="5" t="str">
        <f>IF(H234="","",VLOOKUP(H234,DB!A:B,2,0))</f>
        <v>Patch Panel</v>
      </c>
      <c r="J234" s="5"/>
      <c r="K234" s="6" t="s">
        <v>44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373</v>
      </c>
      <c r="B235" s="6" t="str">
        <f>IF(A235="","",VLOOKUP(A235,DB!A:B,2,0))</f>
        <v>Deco Direccion</v>
      </c>
      <c r="C235" s="5"/>
      <c r="D235" s="5"/>
      <c r="E235" s="6" t="s">
        <v>247</v>
      </c>
      <c r="F235" s="5"/>
      <c r="G235" s="5"/>
      <c r="H235" s="6" t="s">
        <v>218</v>
      </c>
      <c r="I235" s="5" t="str">
        <f>IF(H235="","",VLOOKUP(H235,DB!A:B,2,0))</f>
        <v>Patch Panel</v>
      </c>
      <c r="J235" s="5"/>
      <c r="K235" s="6" t="s">
        <v>41</v>
      </c>
      <c r="L235" s="5"/>
      <c r="M235" s="5"/>
      <c r="N235" s="6" t="s">
        <v>348</v>
      </c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87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218</v>
      </c>
      <c r="I236" s="5" t="str">
        <f>IF(H236="","",VLOOKUP(H236,DB!A:B,2,0))</f>
        <v>Patch Panel</v>
      </c>
      <c r="J236" s="5"/>
      <c r="K236" s="6" t="s">
        <v>38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87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218</v>
      </c>
      <c r="I237" s="5" t="str">
        <f>IF(H237="","",VLOOKUP(H237,DB!A:B,2,0))</f>
        <v>Patch Panel</v>
      </c>
      <c r="J237" s="5"/>
      <c r="K237" s="6" t="s">
        <v>35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87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218</v>
      </c>
      <c r="I238" s="5" t="str">
        <f>IF(H238="","",VLOOKUP(H238,DB!A:B,2,0))</f>
        <v>Patch Panel</v>
      </c>
      <c r="J238" s="5"/>
      <c r="K238" s="6" t="s">
        <v>32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87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218</v>
      </c>
      <c r="I239" s="5" t="str">
        <f>IF(H239="","",VLOOKUP(H239,DB!A:B,2,0))</f>
        <v>Patch Panel</v>
      </c>
      <c r="J239" s="5"/>
      <c r="K239" s="6" t="s">
        <v>29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87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218</v>
      </c>
      <c r="I240" s="5" t="str">
        <f>IF(H240="","",VLOOKUP(H240,DB!A:B,2,0))</f>
        <v>Patch Panel</v>
      </c>
      <c r="J240" s="5"/>
      <c r="K240" s="6" t="s">
        <v>26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87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218</v>
      </c>
      <c r="I241" s="5" t="str">
        <f>IF(H241="","",VLOOKUP(H241,DB!A:B,2,0))</f>
        <v>Patch Panel</v>
      </c>
      <c r="J241" s="5"/>
      <c r="K241" s="6" t="s">
        <v>23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87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218</v>
      </c>
      <c r="I242" s="5" t="str">
        <f>IF(H242="","",VLOOKUP(H242,DB!A:B,2,0))</f>
        <v>Patch Panel</v>
      </c>
      <c r="J242" s="5"/>
      <c r="K242" s="6" t="s">
        <v>20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87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218</v>
      </c>
      <c r="I243" s="5" t="str">
        <f>IF(H243="","",VLOOKUP(H243,DB!A:B,2,0))</f>
        <v>Patch Panel</v>
      </c>
      <c r="J243" s="5"/>
      <c r="K243" s="6" t="s">
        <v>17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87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16</v>
      </c>
      <c r="I244" s="5" t="str">
        <f>IF(H244="","",VLOOKUP(H244,DB!A:B,2,0))</f>
        <v>Blackmagic 12 x 12</v>
      </c>
      <c r="J244" s="5"/>
      <c r="K244" s="6" t="s">
        <v>48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87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16</v>
      </c>
      <c r="I245" s="5" t="str">
        <f>IF(H245="","",VLOOKUP(H245,DB!A:B,2,0))</f>
        <v>Blackmagic 12 x 12</v>
      </c>
      <c r="J245" s="5"/>
      <c r="K245" s="6" t="s">
        <v>51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182</v>
      </c>
      <c r="B246" s="6" t="str">
        <f>IF(A246="","",VLOOKUP(A246,DB!A:B,2,0))</f>
        <v>openGear X</v>
      </c>
      <c r="C246" s="6">
        <v>5.0</v>
      </c>
      <c r="D246" s="6" t="s">
        <v>374</v>
      </c>
      <c r="E246" s="6" t="s">
        <v>212</v>
      </c>
      <c r="F246" s="6" t="s">
        <v>207</v>
      </c>
      <c r="G246" s="6" t="s">
        <v>104</v>
      </c>
      <c r="H246" s="6" t="s">
        <v>375</v>
      </c>
      <c r="I246" s="5" t="str">
        <f>IF(H246="","",VLOOKUP(H246,DB!A:B,2,0))</f>
        <v>AJA FS2</v>
      </c>
      <c r="J246" s="5"/>
      <c r="K246" s="6" t="s">
        <v>160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375</v>
      </c>
      <c r="B247" s="6" t="str">
        <f>IF(A247="","",VLOOKUP(A247,DB!A:B,2,0))</f>
        <v>AJA FS2</v>
      </c>
      <c r="C247" s="5"/>
      <c r="D247" s="5"/>
      <c r="E247" s="6" t="s">
        <v>276</v>
      </c>
      <c r="F247" s="5"/>
      <c r="G247" s="5"/>
      <c r="H247" s="6" t="s">
        <v>14</v>
      </c>
      <c r="I247" s="5" t="str">
        <f>IF(H247="","",VLOOKUP(H247,DB!A:B,2,0))</f>
        <v>AJA KUMO 6464</v>
      </c>
      <c r="J247" s="5"/>
      <c r="K247" s="6" t="s">
        <v>376</v>
      </c>
      <c r="L247" s="6" t="s">
        <v>377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375</v>
      </c>
      <c r="B248" s="6" t="str">
        <f>IF(A248="","",VLOOKUP(A248,DB!A:B,2,0))</f>
        <v>AJA FS2</v>
      </c>
      <c r="C248" s="5"/>
      <c r="D248" s="5"/>
      <c r="E248" s="6" t="s">
        <v>279</v>
      </c>
      <c r="F248" s="5"/>
      <c r="G248" s="5"/>
      <c r="H248" s="6" t="s">
        <v>182</v>
      </c>
      <c r="I248" s="5" t="str">
        <f>IF(H248="","",VLOOKUP(H248,DB!A:B,2,0))</f>
        <v>openGear X</v>
      </c>
      <c r="J248" s="6">
        <v>6.0</v>
      </c>
      <c r="K248" s="6" t="s">
        <v>104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378</v>
      </c>
      <c r="B249" s="6" t="str">
        <f>IF(A249="","",VLOOKUP(A249,DB!A:B,2,0))</f>
        <v>Cisco D9865</v>
      </c>
      <c r="C249" s="5"/>
      <c r="D249" s="5"/>
      <c r="E249" s="6" t="s">
        <v>379</v>
      </c>
      <c r="F249" s="5"/>
      <c r="G249" s="5"/>
      <c r="H249" s="6" t="s">
        <v>375</v>
      </c>
      <c r="I249" s="5" t="str">
        <f>IF(H249="","",VLOOKUP(H249,DB!A:B,2,0))</f>
        <v>AJA FS2</v>
      </c>
      <c r="J249" s="5"/>
      <c r="K249" s="6" t="s">
        <v>380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141</v>
      </c>
      <c r="B250" s="6" t="str">
        <f>IF(A250="","",VLOOKUP(A250,DB!A:B,2,0))</f>
        <v>openGear X</v>
      </c>
      <c r="C250" s="6">
        <v>8.0</v>
      </c>
      <c r="D250" s="6" t="s">
        <v>374</v>
      </c>
      <c r="E250" s="6" t="s">
        <v>212</v>
      </c>
      <c r="F250" s="6" t="s">
        <v>207</v>
      </c>
      <c r="G250" s="6" t="s">
        <v>104</v>
      </c>
      <c r="H250" s="6" t="s">
        <v>87</v>
      </c>
      <c r="I250" s="5" t="str">
        <f>IF(H250="","",VLOOKUP(H250,DB!A:B,2,0))</f>
        <v/>
      </c>
      <c r="J250" s="5"/>
      <c r="K250" s="6" t="s">
        <v>87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5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5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5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5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5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5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5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5"/>
      <c r="B321" s="6" t="str">
        <f>IF(A321="","",VLOOKUP(A321,DB!A:B,2,0))</f>
        <v/>
      </c>
      <c r="C321" s="5"/>
      <c r="D321" s="5"/>
      <c r="E321" s="5"/>
      <c r="F321" s="5"/>
      <c r="G321" s="5"/>
      <c r="H321" s="5"/>
      <c r="I321" s="5" t="str">
        <f>IF(H321="","",VLOOKUP(H321,DB!A:B,2,0))</f>
        <v/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5"/>
      <c r="B322" s="6" t="str">
        <f>IF(A322="","",VLOOKUP(A322,DB!A:B,2,0))</f>
        <v/>
      </c>
      <c r="C322" s="5"/>
      <c r="D322" s="5"/>
      <c r="E322" s="5"/>
      <c r="F322" s="5"/>
      <c r="G322" s="5"/>
      <c r="H322" s="5"/>
      <c r="I322" s="5" t="str">
        <f>IF(H322="","",VLOOKUP(H322,DB!A:B,2,0))</f>
        <v/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5"/>
      <c r="B323" s="6" t="str">
        <f>IF(A323="","",VLOOKUP(A323,DB!A:B,2,0))</f>
        <v/>
      </c>
      <c r="C323" s="5"/>
      <c r="D323" s="5"/>
      <c r="E323" s="5"/>
      <c r="F323" s="5"/>
      <c r="G323" s="5"/>
      <c r="H323" s="5"/>
      <c r="I323" s="5" t="str">
        <f>IF(H323="","",VLOOKUP(H323,DB!A:B,2,0))</f>
        <v/>
      </c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5"/>
      <c r="B324" s="6" t="str">
        <f>IF(A324="","",VLOOKUP(A324,DB!A:B,2,0))</f>
        <v/>
      </c>
      <c r="C324" s="5"/>
      <c r="D324" s="5"/>
      <c r="E324" s="5"/>
      <c r="F324" s="5"/>
      <c r="G324" s="5"/>
      <c r="H324" s="5"/>
      <c r="I324" s="5" t="str">
        <f>IF(H324="","",VLOOKUP(H324,DB!A:B,2,0))</f>
        <v/>
      </c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5"/>
      <c r="B325" s="6" t="str">
        <f>IF(A325="","",VLOOKUP(A325,DB!A:B,2,0))</f>
        <v/>
      </c>
      <c r="C325" s="5"/>
      <c r="D325" s="5"/>
      <c r="E325" s="5"/>
      <c r="F325" s="5"/>
      <c r="G325" s="5"/>
      <c r="H325" s="5"/>
      <c r="I325" s="5" t="str">
        <f>IF(H325="","",VLOOKUP(H325,DB!A:B,2,0))</f>
        <v/>
      </c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5"/>
      <c r="B326" s="6" t="str">
        <f>IF(A326="","",VLOOKUP(A326,DB!A:B,2,0))</f>
        <v/>
      </c>
      <c r="C326" s="5"/>
      <c r="D326" s="5"/>
      <c r="E326" s="5"/>
      <c r="F326" s="5"/>
      <c r="G326" s="5"/>
      <c r="H326" s="5"/>
      <c r="I326" s="5" t="str">
        <f>IF(H326="","",VLOOKUP(H326,DB!A:B,2,0))</f>
        <v/>
      </c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5"/>
      <c r="B327" s="6" t="str">
        <f>IF(A327="","",VLOOKUP(A327,DB!A:B,2,0))</f>
        <v/>
      </c>
      <c r="C327" s="5"/>
      <c r="D327" s="5"/>
      <c r="E327" s="5"/>
      <c r="F327" s="5"/>
      <c r="G327" s="5"/>
      <c r="H327" s="5"/>
      <c r="I327" s="5" t="str">
        <f>IF(H327="","",VLOOKUP(H327,DB!A:B,2,0))</f>
        <v/>
      </c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5"/>
      <c r="B328" s="6" t="str">
        <f>IF(A328="","",VLOOKUP(A328,DB!A:B,2,0))</f>
        <v/>
      </c>
      <c r="C328" s="5"/>
      <c r="D328" s="5"/>
      <c r="E328" s="5"/>
      <c r="F328" s="5"/>
      <c r="G328" s="5"/>
      <c r="H328" s="5"/>
      <c r="I328" s="5" t="str">
        <f>IF(H328="","",VLOOKUP(H328,DB!A:B,2,0))</f>
        <v/>
      </c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5"/>
      <c r="B329" s="6" t="str">
        <f>IF(A329="","",VLOOKUP(A329,DB!A:B,2,0))</f>
        <v/>
      </c>
      <c r="C329" s="5"/>
      <c r="D329" s="5"/>
      <c r="E329" s="5"/>
      <c r="F329" s="5"/>
      <c r="G329" s="5"/>
      <c r="H329" s="5"/>
      <c r="I329" s="5" t="str">
        <f>IF(H329="","",VLOOKUP(H329,DB!A:B,2,0))</f>
        <v/>
      </c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5"/>
      <c r="B330" s="6" t="str">
        <f>IF(A330="","",VLOOKUP(A330,DB!A:B,2,0))</f>
        <v/>
      </c>
      <c r="C330" s="5"/>
      <c r="D330" s="5"/>
      <c r="E330" s="5"/>
      <c r="F330" s="5"/>
      <c r="G330" s="5"/>
      <c r="H330" s="5"/>
      <c r="I330" s="5" t="str">
        <f>IF(H330="","",VLOOKUP(H330,DB!A:B,2,0))</f>
        <v/>
      </c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5"/>
      <c r="B331" s="6" t="str">
        <f>IF(A331="","",VLOOKUP(A331,DB!A:B,2,0))</f>
        <v/>
      </c>
      <c r="C331" s="5"/>
      <c r="D331" s="5"/>
      <c r="E331" s="5"/>
      <c r="F331" s="5"/>
      <c r="G331" s="5"/>
      <c r="H331" s="5"/>
      <c r="I331" s="5" t="str">
        <f>IF(H331="","",VLOOKUP(H331,DB!A:B,2,0))</f>
        <v/>
      </c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5"/>
      <c r="B332" s="6" t="str">
        <f>IF(A332="","",VLOOKUP(A332,DB!A:B,2,0))</f>
        <v/>
      </c>
      <c r="C332" s="5"/>
      <c r="D332" s="5"/>
      <c r="E332" s="5"/>
      <c r="F332" s="5"/>
      <c r="G332" s="5"/>
      <c r="H332" s="5"/>
      <c r="I332" s="5" t="str">
        <f>IF(H332="","",VLOOKUP(H332,DB!A:B,2,0))</f>
        <v/>
      </c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5"/>
      <c r="B333" s="6" t="str">
        <f>IF(A333="","",VLOOKUP(A333,DB!A:B,2,0))</f>
        <v/>
      </c>
      <c r="C333" s="5"/>
      <c r="D333" s="5"/>
      <c r="E333" s="5"/>
      <c r="F333" s="5"/>
      <c r="G333" s="5"/>
      <c r="H333" s="5"/>
      <c r="I333" s="5" t="str">
        <f>IF(H333="","",VLOOKUP(H333,DB!A:B,2,0))</f>
        <v/>
      </c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5"/>
      <c r="B334" s="6" t="str">
        <f>IF(A334="","",VLOOKUP(A334,DB!A:B,2,0))</f>
        <v/>
      </c>
      <c r="C334" s="5"/>
      <c r="D334" s="5"/>
      <c r="E334" s="5"/>
      <c r="F334" s="5"/>
      <c r="G334" s="5"/>
      <c r="H334" s="5"/>
      <c r="I334" s="5" t="str">
        <f>IF(H334="","",VLOOKUP(H334,DB!A:B,2,0))</f>
        <v/>
      </c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5"/>
      <c r="B335" s="6" t="str">
        <f>IF(A335="","",VLOOKUP(A335,DB!A:B,2,0))</f>
        <v/>
      </c>
      <c r="C335" s="5"/>
      <c r="D335" s="5"/>
      <c r="E335" s="5"/>
      <c r="F335" s="5"/>
      <c r="G335" s="5"/>
      <c r="H335" s="5"/>
      <c r="I335" s="5" t="str">
        <f>IF(H335="","",VLOOKUP(H335,DB!A:B,2,0))</f>
        <v/>
      </c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5"/>
      <c r="B336" s="6" t="str">
        <f>IF(A336="","",VLOOKUP(A336,DB!A:B,2,0))</f>
        <v/>
      </c>
      <c r="C336" s="5"/>
      <c r="D336" s="5"/>
      <c r="E336" s="5"/>
      <c r="F336" s="5"/>
      <c r="G336" s="5"/>
      <c r="H336" s="5"/>
      <c r="I336" s="5" t="str">
        <f>IF(H336="","",VLOOKUP(H336,DB!A:B,2,0))</f>
        <v/>
      </c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5"/>
      <c r="B337" s="6" t="str">
        <f>IF(A337="","",VLOOKUP(A337,DB!A:B,2,0))</f>
        <v/>
      </c>
      <c r="C337" s="5"/>
      <c r="D337" s="5"/>
      <c r="E337" s="5"/>
      <c r="F337" s="5"/>
      <c r="G337" s="5"/>
      <c r="H337" s="5"/>
      <c r="I337" s="5" t="str">
        <f>IF(H337="","",VLOOKUP(H337,DB!A:B,2,0))</f>
        <v/>
      </c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5"/>
      <c r="B338" s="6" t="str">
        <f>IF(A338="","",VLOOKUP(A338,DB!A:B,2,0))</f>
        <v/>
      </c>
      <c r="C338" s="5"/>
      <c r="D338" s="5"/>
      <c r="E338" s="5"/>
      <c r="F338" s="5"/>
      <c r="G338" s="5"/>
      <c r="H338" s="5"/>
      <c r="I338" s="5" t="str">
        <f>IF(H338="","",VLOOKUP(H338,DB!A:B,2,0))</f>
        <v/>
      </c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5"/>
      <c r="B339" s="6" t="str">
        <f>IF(A339="","",VLOOKUP(A339,DB!A:B,2,0))</f>
        <v/>
      </c>
      <c r="C339" s="5"/>
      <c r="D339" s="5"/>
      <c r="E339" s="5"/>
      <c r="F339" s="5"/>
      <c r="G339" s="5"/>
      <c r="H339" s="5"/>
      <c r="I339" s="5" t="str">
        <f>IF(H339="","",VLOOKUP(H339,DB!A:B,2,0))</f>
        <v/>
      </c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5"/>
      <c r="B340" s="6" t="str">
        <f>IF(A340="","",VLOOKUP(A340,DB!A:B,2,0))</f>
        <v/>
      </c>
      <c r="C340" s="5"/>
      <c r="D340" s="5"/>
      <c r="E340" s="5"/>
      <c r="F340" s="5"/>
      <c r="G340" s="5"/>
      <c r="H340" s="5"/>
      <c r="I340" s="5" t="str">
        <f>IF(H340="","",VLOOKUP(H340,DB!A:B,2,0))</f>
        <v/>
      </c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5"/>
      <c r="B341" s="6" t="str">
        <f>IF(A341="","",VLOOKUP(A341,DB!A:B,2,0))</f>
        <v/>
      </c>
      <c r="C341" s="5"/>
      <c r="D341" s="5"/>
      <c r="E341" s="5"/>
      <c r="F341" s="5"/>
      <c r="G341" s="5"/>
      <c r="H341" s="5"/>
      <c r="I341" s="5" t="str">
        <f>IF(H341="","",VLOOKUP(H341,DB!A:B,2,0))</f>
        <v/>
      </c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5"/>
      <c r="B342" s="6" t="str">
        <f>IF(A342="","",VLOOKUP(A342,DB!A:B,2,0))</f>
        <v/>
      </c>
      <c r="C342" s="5"/>
      <c r="D342" s="5"/>
      <c r="E342" s="5"/>
      <c r="F342" s="5"/>
      <c r="G342" s="5"/>
      <c r="H342" s="5"/>
      <c r="I342" s="5" t="str">
        <f>IF(H342="","",VLOOKUP(H342,DB!A:B,2,0))</f>
        <v/>
      </c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5"/>
      <c r="B343" s="6" t="str">
        <f>IF(A343="","",VLOOKUP(A343,DB!A:B,2,0))</f>
        <v/>
      </c>
      <c r="C343" s="5"/>
      <c r="D343" s="5"/>
      <c r="E343" s="5"/>
      <c r="F343" s="5"/>
      <c r="G343" s="5"/>
      <c r="H343" s="5"/>
      <c r="I343" s="5" t="str">
        <f>IF(H343="","",VLOOKUP(H343,DB!A:B,2,0))</f>
        <v/>
      </c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5"/>
      <c r="B344" s="6" t="str">
        <f>IF(A344="","",VLOOKUP(A344,DB!A:B,2,0))</f>
        <v/>
      </c>
      <c r="C344" s="5"/>
      <c r="D344" s="5"/>
      <c r="E344" s="5"/>
      <c r="F344" s="5"/>
      <c r="G344" s="5"/>
      <c r="H344" s="5"/>
      <c r="I344" s="5" t="str">
        <f>IF(H344="","",VLOOKUP(H344,DB!A:B,2,0))</f>
        <v/>
      </c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5"/>
      <c r="B345" s="6" t="str">
        <f>IF(A345="","",VLOOKUP(A345,DB!A:B,2,0))</f>
        <v/>
      </c>
      <c r="C345" s="5"/>
      <c r="D345" s="5"/>
      <c r="E345" s="5"/>
      <c r="F345" s="5"/>
      <c r="G345" s="5"/>
      <c r="H345" s="5"/>
      <c r="I345" s="5" t="str">
        <f>IF(H345="","",VLOOKUP(H345,DB!A:B,2,0))</f>
        <v/>
      </c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5"/>
      <c r="B346" s="6" t="str">
        <f>IF(A346="","",VLOOKUP(A346,DB!A:B,2,0))</f>
        <v/>
      </c>
      <c r="C346" s="5"/>
      <c r="D346" s="5"/>
      <c r="E346" s="5"/>
      <c r="F346" s="5"/>
      <c r="G346" s="5"/>
      <c r="H346" s="5"/>
      <c r="I346" s="5" t="str">
        <f>IF(H346="","",VLOOKUP(H346,DB!A:B,2,0))</f>
        <v/>
      </c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5"/>
      <c r="B347" s="6" t="str">
        <f>IF(A347="","",VLOOKUP(A347,DB!A:B,2,0))</f>
        <v/>
      </c>
      <c r="C347" s="5"/>
      <c r="D347" s="5"/>
      <c r="E347" s="5"/>
      <c r="F347" s="5"/>
      <c r="G347" s="5"/>
      <c r="H347" s="5"/>
      <c r="I347" s="5" t="str">
        <f>IF(H347="","",VLOOKUP(H347,DB!A:B,2,0))</f>
        <v/>
      </c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5"/>
      <c r="B348" s="6" t="str">
        <f>IF(A348="","",VLOOKUP(A348,DB!A:B,2,0))</f>
        <v/>
      </c>
      <c r="C348" s="5"/>
      <c r="D348" s="5"/>
      <c r="E348" s="5"/>
      <c r="F348" s="5"/>
      <c r="G348" s="5"/>
      <c r="H348" s="5"/>
      <c r="I348" s="5" t="str">
        <f>IF(H348="","",VLOOKUP(H348,DB!A:B,2,0))</f>
        <v/>
      </c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5"/>
      <c r="B349" s="6" t="str">
        <f>IF(A349="","",VLOOKUP(A349,DB!A:B,2,0))</f>
        <v/>
      </c>
      <c r="C349" s="5"/>
      <c r="D349" s="5"/>
      <c r="E349" s="5"/>
      <c r="F349" s="5"/>
      <c r="G349" s="5"/>
      <c r="H349" s="5"/>
      <c r="I349" s="5" t="str">
        <f>IF(H349="","",VLOOKUP(H349,DB!A:B,2,0))</f>
        <v/>
      </c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5"/>
      <c r="B350" s="6" t="str">
        <f>IF(A350="","",VLOOKUP(A350,DB!A:B,2,0))</f>
        <v/>
      </c>
      <c r="C350" s="5"/>
      <c r="D350" s="5"/>
      <c r="E350" s="5"/>
      <c r="F350" s="5"/>
      <c r="G350" s="5"/>
      <c r="H350" s="5"/>
      <c r="I350" s="5" t="str">
        <f>IF(H350="","",VLOOKUP(H350,DB!A:B,2,0))</f>
        <v/>
      </c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5"/>
      <c r="B351" s="6" t="str">
        <f>IF(A351="","",VLOOKUP(A351,DB!A:B,2,0))</f>
        <v/>
      </c>
      <c r="C351" s="5"/>
      <c r="D351" s="5"/>
      <c r="E351" s="5"/>
      <c r="F351" s="5"/>
      <c r="G351" s="5"/>
      <c r="H351" s="5"/>
      <c r="I351" s="5" t="str">
        <f>IF(H351="","",VLOOKUP(H351,DB!A:B,2,0))</f>
        <v/>
      </c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5"/>
      <c r="B352" s="6" t="str">
        <f>IF(A352="","",VLOOKUP(A352,DB!A:B,2,0))</f>
        <v/>
      </c>
      <c r="C352" s="5"/>
      <c r="D352" s="5"/>
      <c r="E352" s="5"/>
      <c r="F352" s="5"/>
      <c r="G352" s="5"/>
      <c r="H352" s="5"/>
      <c r="I352" s="5" t="str">
        <f>IF(H352="","",VLOOKUP(H352,DB!A:B,2,0))</f>
        <v/>
      </c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5"/>
      <c r="B353" s="6" t="str">
        <f>IF(A353="","",VLOOKUP(A353,DB!A:B,2,0))</f>
        <v/>
      </c>
      <c r="C353" s="5"/>
      <c r="D353" s="5"/>
      <c r="E353" s="5"/>
      <c r="F353" s="5"/>
      <c r="G353" s="5"/>
      <c r="H353" s="5"/>
      <c r="I353" s="5" t="str">
        <f>IF(H353="","",VLOOKUP(H353,DB!A:B,2,0))</f>
        <v/>
      </c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5"/>
      <c r="B354" s="6" t="str">
        <f>IF(A354="","",VLOOKUP(A354,DB!A:B,2,0))</f>
        <v/>
      </c>
      <c r="C354" s="5"/>
      <c r="D354" s="5"/>
      <c r="E354" s="5"/>
      <c r="F354" s="5"/>
      <c r="G354" s="5"/>
      <c r="H354" s="5"/>
      <c r="I354" s="5" t="str">
        <f>IF(H354="","",VLOOKUP(H354,DB!A:B,2,0))</f>
        <v/>
      </c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5"/>
      <c r="B355" s="6" t="str">
        <f>IF(A355="","",VLOOKUP(A355,DB!A:B,2,0))</f>
        <v/>
      </c>
      <c r="C355" s="5"/>
      <c r="D355" s="5"/>
      <c r="E355" s="5"/>
      <c r="F355" s="5"/>
      <c r="G355" s="5"/>
      <c r="H355" s="5"/>
      <c r="I355" s="5" t="str">
        <f>IF(H355="","",VLOOKUP(H355,DB!A:B,2,0))</f>
        <v/>
      </c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5"/>
      <c r="B356" s="6" t="str">
        <f>IF(A356="","",VLOOKUP(A356,DB!A:B,2,0))</f>
        <v/>
      </c>
      <c r="C356" s="5"/>
      <c r="D356" s="5"/>
      <c r="E356" s="5"/>
      <c r="F356" s="5"/>
      <c r="G356" s="5"/>
      <c r="H356" s="5"/>
      <c r="I356" s="5" t="str">
        <f>IF(H356="","",VLOOKUP(H356,DB!A:B,2,0))</f>
        <v/>
      </c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5"/>
      <c r="B357" s="6" t="str">
        <f>IF(A357="","",VLOOKUP(A357,DB!A:B,2,0))</f>
        <v/>
      </c>
      <c r="C357" s="5"/>
      <c r="D357" s="5"/>
      <c r="E357" s="5"/>
      <c r="F357" s="5"/>
      <c r="G357" s="5"/>
      <c r="H357" s="5"/>
      <c r="I357" s="5" t="str">
        <f>IF(H357="","",VLOOKUP(H357,DB!A:B,2,0))</f>
        <v/>
      </c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5"/>
      <c r="B358" s="6" t="str">
        <f>IF(A358="","",VLOOKUP(A358,DB!A:B,2,0))</f>
        <v/>
      </c>
      <c r="C358" s="5"/>
      <c r="D358" s="5"/>
      <c r="E358" s="5"/>
      <c r="F358" s="5"/>
      <c r="G358" s="5"/>
      <c r="H358" s="5"/>
      <c r="I358" s="5" t="str">
        <f>IF(H358="","",VLOOKUP(H358,DB!A:B,2,0))</f>
        <v/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5"/>
      <c r="B359" s="6" t="str">
        <f>IF(A359="","",VLOOKUP(A359,DB!A:B,2,0))</f>
        <v/>
      </c>
      <c r="C359" s="5"/>
      <c r="D359" s="5"/>
      <c r="E359" s="5"/>
      <c r="F359" s="5"/>
      <c r="G359" s="5"/>
      <c r="H359" s="5"/>
      <c r="I359" s="5" t="str">
        <f>IF(H359="","",VLOOKUP(H359,DB!A:B,2,0))</f>
        <v/>
      </c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5"/>
      <c r="B360" s="6" t="str">
        <f>IF(A360="","",VLOOKUP(A360,DB!A:B,2,0))</f>
        <v/>
      </c>
      <c r="C360" s="5"/>
      <c r="D360" s="5"/>
      <c r="E360" s="5"/>
      <c r="F360" s="5"/>
      <c r="G360" s="5"/>
      <c r="H360" s="5"/>
      <c r="I360" s="5" t="str">
        <f>IF(H360="","",VLOOKUP(H360,DB!A:B,2,0))</f>
        <v/>
      </c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5"/>
      <c r="B361" s="6" t="str">
        <f>IF(A361="","",VLOOKUP(A361,DB!A:B,2,0))</f>
        <v/>
      </c>
      <c r="C361" s="5"/>
      <c r="D361" s="5"/>
      <c r="E361" s="5"/>
      <c r="F361" s="5"/>
      <c r="G361" s="5"/>
      <c r="H361" s="5"/>
      <c r="I361" s="5" t="str">
        <f>IF(H361="","",VLOOKUP(H361,DB!A:B,2,0))</f>
        <v/>
      </c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5"/>
      <c r="B362" s="6" t="str">
        <f>IF(A362="","",VLOOKUP(A362,DB!A:B,2,0))</f>
        <v/>
      </c>
      <c r="C362" s="5"/>
      <c r="D362" s="5"/>
      <c r="E362" s="5"/>
      <c r="F362" s="5"/>
      <c r="G362" s="5"/>
      <c r="H362" s="5"/>
      <c r="I362" s="5" t="str">
        <f>IF(H362="","",VLOOKUP(H362,DB!A:B,2,0))</f>
        <v/>
      </c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5"/>
      <c r="B363" s="6" t="str">
        <f>IF(A363="","",VLOOKUP(A363,DB!A:B,2,0))</f>
        <v/>
      </c>
      <c r="C363" s="5"/>
      <c r="D363" s="5"/>
      <c r="E363" s="5"/>
      <c r="F363" s="5"/>
      <c r="G363" s="5"/>
      <c r="H363" s="5"/>
      <c r="I363" s="5" t="str">
        <f>IF(H363="","",VLOOKUP(H363,DB!A:B,2,0))</f>
        <v/>
      </c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5"/>
      <c r="B364" s="6" t="str">
        <f>IF(A364="","",VLOOKUP(A364,DB!A:B,2,0))</f>
        <v/>
      </c>
      <c r="C364" s="5"/>
      <c r="D364" s="5"/>
      <c r="E364" s="5"/>
      <c r="F364" s="5"/>
      <c r="G364" s="5"/>
      <c r="H364" s="5"/>
      <c r="I364" s="5" t="str">
        <f>IF(H364="","",VLOOKUP(H364,DB!A:B,2,0))</f>
        <v/>
      </c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5"/>
      <c r="B365" s="6" t="str">
        <f>IF(A365="","",VLOOKUP(A365,DB!A:B,2,0))</f>
        <v/>
      </c>
      <c r="C365" s="5"/>
      <c r="D365" s="5"/>
      <c r="E365" s="5"/>
      <c r="F365" s="5"/>
      <c r="G365" s="5"/>
      <c r="H365" s="5"/>
      <c r="I365" s="5" t="str">
        <f>IF(H365="","",VLOOKUP(H365,DB!A:B,2,0))</f>
        <v/>
      </c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5"/>
      <c r="B366" s="6" t="str">
        <f>IF(A366="","",VLOOKUP(A366,DB!A:B,2,0))</f>
        <v/>
      </c>
      <c r="C366" s="5"/>
      <c r="D366" s="5"/>
      <c r="E366" s="5"/>
      <c r="F366" s="5"/>
      <c r="G366" s="5"/>
      <c r="H366" s="5"/>
      <c r="I366" s="5" t="str">
        <f>IF(H366="","",VLOOKUP(H366,DB!A:B,2,0))</f>
        <v/>
      </c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5"/>
      <c r="B367" s="6" t="str">
        <f>IF(A367="","",VLOOKUP(A367,DB!A:B,2,0))</f>
        <v/>
      </c>
      <c r="C367" s="5"/>
      <c r="D367" s="5"/>
      <c r="E367" s="5"/>
      <c r="F367" s="5"/>
      <c r="G367" s="5"/>
      <c r="H367" s="5"/>
      <c r="I367" s="5" t="str">
        <f>IF(H367="","",VLOOKUP(H367,DB!A:B,2,0))</f>
        <v/>
      </c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5"/>
      <c r="B368" s="6" t="str">
        <f>IF(A368="","",VLOOKUP(A368,DB!A:B,2,0))</f>
        <v/>
      </c>
      <c r="C368" s="5"/>
      <c r="D368" s="5"/>
      <c r="E368" s="5"/>
      <c r="F368" s="5"/>
      <c r="G368" s="5"/>
      <c r="H368" s="5"/>
      <c r="I368" s="5" t="str">
        <f>IF(H368="","",VLOOKUP(H368,DB!A:B,2,0))</f>
        <v/>
      </c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5"/>
      <c r="B369" s="6" t="str">
        <f>IF(A369="","",VLOOKUP(A369,DB!A:B,2,0))</f>
        <v/>
      </c>
      <c r="C369" s="5"/>
      <c r="D369" s="5"/>
      <c r="E369" s="5"/>
      <c r="F369" s="5"/>
      <c r="G369" s="5"/>
      <c r="H369" s="5"/>
      <c r="I369" s="5" t="str">
        <f>IF(H369="","",VLOOKUP(H369,DB!A:B,2,0))</f>
        <v/>
      </c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5"/>
      <c r="B370" s="6" t="str">
        <f>IF(A370="","",VLOOKUP(A370,DB!A:B,2,0))</f>
        <v/>
      </c>
      <c r="C370" s="5"/>
      <c r="D370" s="5"/>
      <c r="E370" s="5"/>
      <c r="F370" s="5"/>
      <c r="G370" s="5"/>
      <c r="H370" s="5"/>
      <c r="I370" s="5" t="str">
        <f>IF(H370="","",VLOOKUP(H370,DB!A:B,2,0))</f>
        <v/>
      </c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5"/>
      <c r="B371" s="6" t="str">
        <f>IF(A371="","",VLOOKUP(A371,DB!A:B,2,0))</f>
        <v/>
      </c>
      <c r="C371" s="5"/>
      <c r="D371" s="5"/>
      <c r="E371" s="5"/>
      <c r="F371" s="5"/>
      <c r="G371" s="5"/>
      <c r="H371" s="5"/>
      <c r="I371" s="5" t="str">
        <f>IF(H371="","",VLOOKUP(H371,DB!A:B,2,0))</f>
        <v/>
      </c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5"/>
      <c r="B372" s="6" t="str">
        <f>IF(A372="","",VLOOKUP(A372,DB!A:B,2,0))</f>
        <v/>
      </c>
      <c r="C372" s="5"/>
      <c r="D372" s="5"/>
      <c r="E372" s="5"/>
      <c r="F372" s="5"/>
      <c r="G372" s="5"/>
      <c r="H372" s="5"/>
      <c r="I372" s="5" t="str">
        <f>IF(H372="","",VLOOKUP(H372,DB!A:B,2,0))</f>
        <v/>
      </c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5"/>
      <c r="B373" s="6" t="str">
        <f>IF(A373="","",VLOOKUP(A373,DB!A:B,2,0))</f>
        <v/>
      </c>
      <c r="C373" s="5"/>
      <c r="D373" s="5"/>
      <c r="E373" s="5"/>
      <c r="F373" s="5"/>
      <c r="G373" s="5"/>
      <c r="H373" s="5"/>
      <c r="I373" s="5" t="str">
        <f>IF(H373="","",VLOOKUP(H373,DB!A:B,2,0))</f>
        <v/>
      </c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5"/>
      <c r="B374" s="6" t="str">
        <f>IF(A374="","",VLOOKUP(A374,DB!A:B,2,0))</f>
        <v/>
      </c>
      <c r="C374" s="5"/>
      <c r="D374" s="5"/>
      <c r="E374" s="5"/>
      <c r="F374" s="5"/>
      <c r="G374" s="5"/>
      <c r="H374" s="5"/>
      <c r="I374" s="5" t="str">
        <f>IF(H374="","",VLOOKUP(H374,DB!A:B,2,0))</f>
        <v/>
      </c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5"/>
      <c r="B375" s="6" t="str">
        <f>IF(A375="","",VLOOKUP(A375,DB!A:B,2,0))</f>
        <v/>
      </c>
      <c r="C375" s="5"/>
      <c r="D375" s="5"/>
      <c r="E375" s="5"/>
      <c r="F375" s="5"/>
      <c r="G375" s="5"/>
      <c r="H375" s="5"/>
      <c r="I375" s="5" t="str">
        <f>IF(H375="","",VLOOKUP(H375,DB!A:B,2,0))</f>
        <v/>
      </c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5"/>
      <c r="B376" s="6" t="str">
        <f>IF(A376="","",VLOOKUP(A376,DB!A:B,2,0))</f>
        <v/>
      </c>
      <c r="C376" s="5"/>
      <c r="D376" s="5"/>
      <c r="E376" s="5"/>
      <c r="F376" s="5"/>
      <c r="G376" s="5"/>
      <c r="H376" s="5"/>
      <c r="I376" s="5" t="str">
        <f>IF(H376="","",VLOOKUP(H376,DB!A:B,2,0))</f>
        <v/>
      </c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5"/>
      <c r="B377" s="6" t="str">
        <f>IF(A377="","",VLOOKUP(A377,DB!A:B,2,0))</f>
        <v/>
      </c>
      <c r="C377" s="5"/>
      <c r="D377" s="5"/>
      <c r="E377" s="5"/>
      <c r="F377" s="5"/>
      <c r="G377" s="5"/>
      <c r="H377" s="5"/>
      <c r="I377" s="5" t="str">
        <f>IF(H377="","",VLOOKUP(H377,DB!A:B,2,0))</f>
        <v/>
      </c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5"/>
      <c r="B378" s="6" t="str">
        <f>IF(A378="","",VLOOKUP(A378,DB!A:B,2,0))</f>
        <v/>
      </c>
      <c r="C378" s="5"/>
      <c r="D378" s="5"/>
      <c r="E378" s="5"/>
      <c r="F378" s="5"/>
      <c r="G378" s="5"/>
      <c r="H378" s="5"/>
      <c r="I378" s="5" t="str">
        <f>IF(H378="","",VLOOKUP(H378,DB!A:B,2,0))</f>
        <v/>
      </c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5"/>
      <c r="B379" s="6" t="str">
        <f>IF(A379="","",VLOOKUP(A379,DB!A:B,2,0))</f>
        <v/>
      </c>
      <c r="C379" s="5"/>
      <c r="D379" s="5"/>
      <c r="E379" s="5"/>
      <c r="F379" s="5"/>
      <c r="G379" s="5"/>
      <c r="H379" s="5"/>
      <c r="I379" s="5" t="str">
        <f>IF(H379="","",VLOOKUP(H379,DB!A:B,2,0))</f>
        <v/>
      </c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5"/>
      <c r="B380" s="6" t="str">
        <f>IF(A380="","",VLOOKUP(A380,DB!A:B,2,0))</f>
        <v/>
      </c>
      <c r="C380" s="5"/>
      <c r="D380" s="5"/>
      <c r="E380" s="5"/>
      <c r="F380" s="5"/>
      <c r="G380" s="5"/>
      <c r="H380" s="5"/>
      <c r="I380" s="5" t="str">
        <f>IF(H380="","",VLOOKUP(H380,DB!A:B,2,0))</f>
        <v/>
      </c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5"/>
      <c r="B381" s="6" t="str">
        <f>IF(A381="","",VLOOKUP(A381,DB!A:B,2,0))</f>
        <v/>
      </c>
      <c r="C381" s="5"/>
      <c r="D381" s="5"/>
      <c r="E381" s="5"/>
      <c r="F381" s="5"/>
      <c r="G381" s="5"/>
      <c r="H381" s="5"/>
      <c r="I381" s="5" t="str">
        <f>IF(H381="","",VLOOKUP(H381,DB!A:B,2,0))</f>
        <v/>
      </c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5"/>
      <c r="B382" s="6" t="str">
        <f>IF(A382="","",VLOOKUP(A382,DB!A:B,2,0))</f>
        <v/>
      </c>
      <c r="C382" s="5"/>
      <c r="D382" s="5"/>
      <c r="E382" s="5"/>
      <c r="F382" s="5"/>
      <c r="G382" s="5"/>
      <c r="H382" s="5"/>
      <c r="I382" s="5" t="str">
        <f>IF(H382="","",VLOOKUP(H382,DB!A:B,2,0))</f>
        <v/>
      </c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5"/>
      <c r="B383" s="6" t="str">
        <f>IF(A383="","",VLOOKUP(A383,DB!A:B,2,0))</f>
        <v/>
      </c>
      <c r="C383" s="5"/>
      <c r="D383" s="5"/>
      <c r="E383" s="5"/>
      <c r="F383" s="5"/>
      <c r="G383" s="5"/>
      <c r="H383" s="5"/>
      <c r="I383" s="5" t="str">
        <f>IF(H383="","",VLOOKUP(H383,DB!A:B,2,0))</f>
        <v/>
      </c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5"/>
      <c r="B384" s="6" t="str">
        <f>IF(A384="","",VLOOKUP(A384,DB!A:B,2,0))</f>
        <v/>
      </c>
      <c r="C384" s="5"/>
      <c r="D384" s="5"/>
      <c r="E384" s="5"/>
      <c r="F384" s="5"/>
      <c r="G384" s="5"/>
      <c r="H384" s="5"/>
      <c r="I384" s="5" t="str">
        <f>IF(H384="","",VLOOKUP(H384,DB!A:B,2,0))</f>
        <v/>
      </c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5"/>
      <c r="B385" s="6" t="str">
        <f>IF(A385="","",VLOOKUP(A385,DB!A:B,2,0))</f>
        <v/>
      </c>
      <c r="C385" s="5"/>
      <c r="D385" s="5"/>
      <c r="E385" s="5"/>
      <c r="F385" s="5"/>
      <c r="G385" s="5"/>
      <c r="H385" s="5"/>
      <c r="I385" s="5" t="str">
        <f>IF(H385="","",VLOOKUP(H385,DB!A:B,2,0))</f>
        <v/>
      </c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5"/>
      <c r="B386" s="6" t="str">
        <f>IF(A386="","",VLOOKUP(A386,DB!A:B,2,0))</f>
        <v/>
      </c>
      <c r="C386" s="5"/>
      <c r="D386" s="5"/>
      <c r="E386" s="5"/>
      <c r="F386" s="5"/>
      <c r="G386" s="5"/>
      <c r="H386" s="5"/>
      <c r="I386" s="5" t="str">
        <f>IF(H386="","",VLOOKUP(H386,DB!A:B,2,0))</f>
        <v/>
      </c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5"/>
      <c r="B387" s="6" t="str">
        <f>IF(A387="","",VLOOKUP(A387,DB!A:B,2,0))</f>
        <v/>
      </c>
      <c r="C387" s="5"/>
      <c r="D387" s="5"/>
      <c r="E387" s="5"/>
      <c r="F387" s="5"/>
      <c r="G387" s="5"/>
      <c r="H387" s="5"/>
      <c r="I387" s="5" t="str">
        <f>IF(H387="","",VLOOKUP(H387,DB!A:B,2,0))</f>
        <v/>
      </c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5"/>
      <c r="B388" s="6" t="str">
        <f>IF(A388="","",VLOOKUP(A388,DB!A:B,2,0))</f>
        <v/>
      </c>
      <c r="C388" s="5"/>
      <c r="D388" s="5"/>
      <c r="E388" s="5"/>
      <c r="F388" s="5"/>
      <c r="G388" s="5"/>
      <c r="H388" s="5"/>
      <c r="I388" s="5" t="str">
        <f>IF(H388="","",VLOOKUP(H388,DB!A:B,2,0))</f>
        <v/>
      </c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5"/>
      <c r="B389" s="6" t="str">
        <f>IF(A389="","",VLOOKUP(A389,DB!A:B,2,0))</f>
        <v/>
      </c>
      <c r="C389" s="5"/>
      <c r="D389" s="5"/>
      <c r="E389" s="5"/>
      <c r="F389" s="5"/>
      <c r="G389" s="5"/>
      <c r="H389" s="5"/>
      <c r="I389" s="5" t="str">
        <f>IF(H389="","",VLOOKUP(H389,DB!A:B,2,0))</f>
        <v/>
      </c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5"/>
      <c r="B390" s="6" t="str">
        <f>IF(A390="","",VLOOKUP(A390,DB!A:B,2,0))</f>
        <v/>
      </c>
      <c r="C390" s="5"/>
      <c r="D390" s="5"/>
      <c r="E390" s="5"/>
      <c r="F390" s="5"/>
      <c r="G390" s="5"/>
      <c r="H390" s="5"/>
      <c r="I390" s="5" t="str">
        <f>IF(H390="","",VLOOKUP(H390,DB!A:B,2,0))</f>
        <v/>
      </c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5"/>
      <c r="B391" s="6" t="str">
        <f>IF(A391="","",VLOOKUP(A391,DB!A:B,2,0))</f>
        <v/>
      </c>
      <c r="C391" s="5"/>
      <c r="D391" s="5"/>
      <c r="E391" s="5"/>
      <c r="F391" s="5"/>
      <c r="G391" s="5"/>
      <c r="H391" s="5"/>
      <c r="I391" s="5" t="str">
        <f>IF(H391="","",VLOOKUP(H391,DB!A:B,2,0))</f>
        <v/>
      </c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5"/>
      <c r="B392" s="6" t="str">
        <f>IF(A392="","",VLOOKUP(A392,DB!A:B,2,0))</f>
        <v/>
      </c>
      <c r="C392" s="5"/>
      <c r="D392" s="5"/>
      <c r="E392" s="5"/>
      <c r="F392" s="5"/>
      <c r="G392" s="5"/>
      <c r="H392" s="5"/>
      <c r="I392" s="5" t="str">
        <f>IF(H392="","",VLOOKUP(H392,DB!A:B,2,0))</f>
        <v/>
      </c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5"/>
      <c r="B393" s="6" t="str">
        <f>IF(A393="","",VLOOKUP(A393,DB!A:B,2,0))</f>
        <v/>
      </c>
      <c r="C393" s="5"/>
      <c r="D393" s="5"/>
      <c r="E393" s="5"/>
      <c r="F393" s="5"/>
      <c r="G393" s="5"/>
      <c r="H393" s="5"/>
      <c r="I393" s="5" t="str">
        <f>IF(H393="","",VLOOKUP(H393,DB!A:B,2,0))</f>
        <v/>
      </c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5"/>
      <c r="B394" s="6" t="str">
        <f>IF(A394="","",VLOOKUP(A394,DB!A:B,2,0))</f>
        <v/>
      </c>
      <c r="C394" s="5"/>
      <c r="D394" s="5"/>
      <c r="E394" s="5"/>
      <c r="F394" s="5"/>
      <c r="G394" s="5"/>
      <c r="H394" s="5"/>
      <c r="I394" s="5" t="str">
        <f>IF(H394="","",VLOOKUP(H394,DB!A:B,2,0))</f>
        <v/>
      </c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5"/>
      <c r="B395" s="6" t="str">
        <f>IF(A395="","",VLOOKUP(A395,DB!A:B,2,0))</f>
        <v/>
      </c>
      <c r="C395" s="5"/>
      <c r="D395" s="5"/>
      <c r="E395" s="5"/>
      <c r="F395" s="5"/>
      <c r="G395" s="5"/>
      <c r="H395" s="5"/>
      <c r="I395" s="5" t="str">
        <f>IF(H395="","",VLOOKUP(H395,DB!A:B,2,0))</f>
        <v/>
      </c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5"/>
      <c r="B396" s="6" t="str">
        <f>IF(A396="","",VLOOKUP(A396,DB!A:B,2,0))</f>
        <v/>
      </c>
      <c r="C396" s="5"/>
      <c r="D396" s="5"/>
      <c r="E396" s="5"/>
      <c r="F396" s="5"/>
      <c r="G396" s="5"/>
      <c r="H396" s="5"/>
      <c r="I396" s="5" t="str">
        <f>IF(H396="","",VLOOKUP(H396,DB!A:B,2,0))</f>
        <v/>
      </c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5"/>
      <c r="B397" s="6" t="str">
        <f>IF(A397="","",VLOOKUP(A397,DB!A:B,2,0))</f>
        <v/>
      </c>
      <c r="C397" s="5"/>
      <c r="D397" s="5"/>
      <c r="E397" s="5"/>
      <c r="F397" s="5"/>
      <c r="G397" s="5"/>
      <c r="H397" s="5"/>
      <c r="I397" s="5" t="str">
        <f>IF(H397="","",VLOOKUP(H397,DB!A:B,2,0))</f>
        <v/>
      </c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5"/>
      <c r="B398" s="6" t="str">
        <f>IF(A398="","",VLOOKUP(A398,DB!A:B,2,0))</f>
        <v/>
      </c>
      <c r="C398" s="5"/>
      <c r="D398" s="5"/>
      <c r="E398" s="5"/>
      <c r="F398" s="5"/>
      <c r="G398" s="5"/>
      <c r="H398" s="5"/>
      <c r="I398" s="5" t="str">
        <f>IF(H398="","",VLOOKUP(H398,DB!A:B,2,0))</f>
        <v/>
      </c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5"/>
      <c r="B399" s="6" t="str">
        <f>IF(A399="","",VLOOKUP(A399,DB!A:B,2,0))</f>
        <v/>
      </c>
      <c r="C399" s="5"/>
      <c r="D399" s="5"/>
      <c r="E399" s="5"/>
      <c r="F399" s="5"/>
      <c r="G399" s="5"/>
      <c r="H399" s="5"/>
      <c r="I399" s="5" t="str">
        <f>IF(H399="","",VLOOKUP(H399,DB!A:B,2,0))</f>
        <v/>
      </c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5"/>
      <c r="B400" s="6" t="str">
        <f>IF(A400="","",VLOOKUP(A400,DB!A:B,2,0))</f>
        <v/>
      </c>
      <c r="C400" s="5"/>
      <c r="D400" s="5"/>
      <c r="E400" s="5"/>
      <c r="F400" s="5"/>
      <c r="G400" s="5"/>
      <c r="H400" s="5"/>
      <c r="I400" s="5" t="str">
        <f>IF(H400="","",VLOOKUP(H400,DB!A:B,2,0))</f>
        <v/>
      </c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5"/>
      <c r="B401" s="6" t="str">
        <f>IF(A401="","",VLOOKUP(A401,DB!A:B,2,0))</f>
        <v/>
      </c>
      <c r="C401" s="5"/>
      <c r="D401" s="5"/>
      <c r="E401" s="5"/>
      <c r="F401" s="5"/>
      <c r="G401" s="5"/>
      <c r="H401" s="5"/>
      <c r="I401" s="5" t="str">
        <f>IF(H401="","",VLOOKUP(H401,DB!A:B,2,0))</f>
        <v/>
      </c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5"/>
      <c r="B402" s="6" t="str">
        <f>IF(A402="","",VLOOKUP(A402,DB!A:B,2,0))</f>
        <v/>
      </c>
      <c r="C402" s="5"/>
      <c r="D402" s="5"/>
      <c r="E402" s="5"/>
      <c r="F402" s="5"/>
      <c r="G402" s="5"/>
      <c r="H402" s="5"/>
      <c r="I402" s="5" t="str">
        <f>IF(H402="","",VLOOKUP(H402,DB!A:B,2,0))</f>
        <v/>
      </c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5"/>
      <c r="B403" s="6" t="str">
        <f>IF(A403="","",VLOOKUP(A403,DB!A:B,2,0))</f>
        <v/>
      </c>
      <c r="C403" s="5"/>
      <c r="D403" s="5"/>
      <c r="E403" s="5"/>
      <c r="F403" s="5"/>
      <c r="G403" s="5"/>
      <c r="H403" s="5"/>
      <c r="I403" s="5" t="str">
        <f>IF(H403="","",VLOOKUP(H403,DB!A:B,2,0))</f>
        <v/>
      </c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5"/>
      <c r="B404" s="6" t="str">
        <f>IF(A404="","",VLOOKUP(A404,DB!A:B,2,0))</f>
        <v/>
      </c>
      <c r="C404" s="5"/>
      <c r="D404" s="5"/>
      <c r="E404" s="5"/>
      <c r="F404" s="5"/>
      <c r="G404" s="5"/>
      <c r="H404" s="5"/>
      <c r="I404" s="5" t="str">
        <f>IF(H404="","",VLOOKUP(H404,DB!A:B,2,0))</f>
        <v/>
      </c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5"/>
      <c r="B405" s="6" t="str">
        <f>IF(A405="","",VLOOKUP(A405,DB!A:B,2,0))</f>
        <v/>
      </c>
      <c r="C405" s="5"/>
      <c r="D405" s="5"/>
      <c r="E405" s="5"/>
      <c r="F405" s="5"/>
      <c r="G405" s="5"/>
      <c r="H405" s="5"/>
      <c r="I405" s="5" t="str">
        <f>IF(H405="","",VLOOKUP(H405,DB!A:B,2,0))</f>
        <v/>
      </c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5"/>
      <c r="B406" s="6" t="str">
        <f>IF(A406="","",VLOOKUP(A406,DB!A:B,2,0))</f>
        <v/>
      </c>
      <c r="C406" s="5"/>
      <c r="D406" s="5"/>
      <c r="E406" s="5"/>
      <c r="F406" s="5"/>
      <c r="G406" s="5"/>
      <c r="H406" s="5"/>
      <c r="I406" s="5" t="str">
        <f>IF(H406="","",VLOOKUP(H406,DB!A:B,2,0))</f>
        <v/>
      </c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5"/>
      <c r="B407" s="6" t="str">
        <f>IF(A407="","",VLOOKUP(A407,DB!A:B,2,0))</f>
        <v/>
      </c>
      <c r="C407" s="5"/>
      <c r="D407" s="5"/>
      <c r="E407" s="5"/>
      <c r="F407" s="5"/>
      <c r="G407" s="5"/>
      <c r="H407" s="5"/>
      <c r="I407" s="5" t="str">
        <f>IF(H407="","",VLOOKUP(H407,DB!A:B,2,0))</f>
        <v/>
      </c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5"/>
      <c r="B408" s="6" t="str">
        <f>IF(A408="","",VLOOKUP(A408,DB!A:B,2,0))</f>
        <v/>
      </c>
      <c r="C408" s="5"/>
      <c r="D408" s="5"/>
      <c r="E408" s="5"/>
      <c r="F408" s="5"/>
      <c r="G408" s="5"/>
      <c r="H408" s="5"/>
      <c r="I408" s="5" t="str">
        <f>IF(H408="","",VLOOKUP(H408,DB!A:B,2,0))</f>
        <v/>
      </c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5"/>
      <c r="B409" s="6" t="str">
        <f>IF(A409="","",VLOOKUP(A409,DB!A:B,2,0))</f>
        <v/>
      </c>
      <c r="C409" s="5"/>
      <c r="D409" s="5"/>
      <c r="E409" s="5"/>
      <c r="F409" s="5"/>
      <c r="G409" s="5"/>
      <c r="H409" s="5"/>
      <c r="I409" s="5" t="str">
        <f>IF(H409="","",VLOOKUP(H409,DB!A:B,2,0))</f>
        <v/>
      </c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5"/>
      <c r="B410" s="6" t="str">
        <f>IF(A410="","",VLOOKUP(A410,DB!A:B,2,0))</f>
        <v/>
      </c>
      <c r="C410" s="5"/>
      <c r="D410" s="5"/>
      <c r="E410" s="5"/>
      <c r="F410" s="5"/>
      <c r="G410" s="5"/>
      <c r="H410" s="5"/>
      <c r="I410" s="5" t="str">
        <f>IF(H410="","",VLOOKUP(H410,DB!A:B,2,0))</f>
        <v/>
      </c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5"/>
      <c r="B411" s="6" t="str">
        <f>IF(A411="","",VLOOKUP(A411,DB!A:B,2,0))</f>
        <v/>
      </c>
      <c r="C411" s="5"/>
      <c r="D411" s="5"/>
      <c r="E411" s="5"/>
      <c r="F411" s="5"/>
      <c r="G411" s="5"/>
      <c r="H411" s="5"/>
      <c r="I411" s="5" t="str">
        <f>IF(H411="","",VLOOKUP(H411,DB!A:B,2,0))</f>
        <v/>
      </c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5"/>
      <c r="B412" s="6" t="str">
        <f>IF(A412="","",VLOOKUP(A412,DB!A:B,2,0))</f>
        <v/>
      </c>
      <c r="C412" s="5"/>
      <c r="D412" s="5"/>
      <c r="E412" s="5"/>
      <c r="F412" s="5"/>
      <c r="G412" s="5"/>
      <c r="H412" s="5"/>
      <c r="I412" s="5" t="str">
        <f>IF(H412="","",VLOOKUP(H412,DB!A:B,2,0))</f>
        <v/>
      </c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5"/>
      <c r="B413" s="6" t="str">
        <f>IF(A413="","",VLOOKUP(A413,DB!A:B,2,0))</f>
        <v/>
      </c>
      <c r="C413" s="5"/>
      <c r="D413" s="5"/>
      <c r="E413" s="5"/>
      <c r="F413" s="5"/>
      <c r="G413" s="5"/>
      <c r="H413" s="5"/>
      <c r="I413" s="5" t="str">
        <f>IF(H413="","",VLOOKUP(H413,DB!A:B,2,0))</f>
        <v/>
      </c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5"/>
      <c r="B414" s="6" t="str">
        <f>IF(A414="","",VLOOKUP(A414,DB!A:B,2,0))</f>
        <v/>
      </c>
      <c r="C414" s="5"/>
      <c r="D414" s="5"/>
      <c r="E414" s="5"/>
      <c r="F414" s="5"/>
      <c r="G414" s="5"/>
      <c r="H414" s="5"/>
      <c r="I414" s="5" t="str">
        <f>IF(H414="","",VLOOKUP(H414,DB!A:B,2,0))</f>
        <v/>
      </c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5"/>
      <c r="B415" s="6" t="str">
        <f>IF(A415="","",VLOOKUP(A415,DB!A:B,2,0))</f>
        <v/>
      </c>
      <c r="C415" s="5"/>
      <c r="D415" s="5"/>
      <c r="E415" s="5"/>
      <c r="F415" s="5"/>
      <c r="G415" s="5"/>
      <c r="H415" s="5"/>
      <c r="I415" s="5" t="str">
        <f>IF(H415="","",VLOOKUP(H415,DB!A:B,2,0))</f>
        <v/>
      </c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5"/>
      <c r="B416" s="6" t="str">
        <f>IF(A416="","",VLOOKUP(A416,DB!A:B,2,0))</f>
        <v/>
      </c>
      <c r="C416" s="5"/>
      <c r="D416" s="5"/>
      <c r="E416" s="5"/>
      <c r="F416" s="5"/>
      <c r="G416" s="5"/>
      <c r="H416" s="5"/>
      <c r="I416" s="5" t="str">
        <f>IF(H416="","",VLOOKUP(H416,DB!A:B,2,0))</f>
        <v/>
      </c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5"/>
      <c r="B417" s="6" t="str">
        <f>IF(A417="","",VLOOKUP(A417,DB!A:B,2,0))</f>
        <v/>
      </c>
      <c r="C417" s="5"/>
      <c r="D417" s="5"/>
      <c r="E417" s="5"/>
      <c r="F417" s="5"/>
      <c r="G417" s="5"/>
      <c r="H417" s="5"/>
      <c r="I417" s="5" t="str">
        <f>IF(H417="","",VLOOKUP(H417,DB!A:B,2,0))</f>
        <v/>
      </c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5"/>
      <c r="B418" s="6" t="str">
        <f>IF(A418="","",VLOOKUP(A418,DB!A:B,2,0))</f>
        <v/>
      </c>
      <c r="C418" s="5"/>
      <c r="D418" s="5"/>
      <c r="E418" s="5"/>
      <c r="F418" s="5"/>
      <c r="G418" s="5"/>
      <c r="H418" s="5"/>
      <c r="I418" s="5" t="str">
        <f>IF(H418="","",VLOOKUP(H418,DB!A:B,2,0))</f>
        <v/>
      </c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5"/>
      <c r="B419" s="6" t="str">
        <f>IF(A419="","",VLOOKUP(A419,DB!A:B,2,0))</f>
        <v/>
      </c>
      <c r="C419" s="5"/>
      <c r="D419" s="5"/>
      <c r="E419" s="5"/>
      <c r="F419" s="5"/>
      <c r="G419" s="5"/>
      <c r="H419" s="5"/>
      <c r="I419" s="5" t="str">
        <f>IF(H419="","",VLOOKUP(H419,DB!A:B,2,0))</f>
        <v/>
      </c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5"/>
      <c r="B420" s="6" t="str">
        <f>IF(A420="","",VLOOKUP(A420,DB!A:B,2,0))</f>
        <v/>
      </c>
      <c r="C420" s="5"/>
      <c r="D420" s="5"/>
      <c r="E420" s="5"/>
      <c r="F420" s="5"/>
      <c r="G420" s="5"/>
      <c r="H420" s="5"/>
      <c r="I420" s="5" t="str">
        <f>IF(H420="","",VLOOKUP(H420,DB!A:B,2,0))</f>
        <v/>
      </c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5"/>
      <c r="B421" s="6" t="str">
        <f>IF(A421="","",VLOOKUP(A421,DB!A:B,2,0))</f>
        <v/>
      </c>
      <c r="C421" s="5"/>
      <c r="D421" s="5"/>
      <c r="E421" s="5"/>
      <c r="F421" s="5"/>
      <c r="G421" s="5"/>
      <c r="H421" s="5"/>
      <c r="I421" s="5" t="str">
        <f>IF(H421="","",VLOOKUP(H421,DB!A:B,2,0))</f>
        <v/>
      </c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5"/>
      <c r="B422" s="6" t="str">
        <f>IF(A422="","",VLOOKUP(A422,DB!A:B,2,0))</f>
        <v/>
      </c>
      <c r="C422" s="5"/>
      <c r="D422" s="5"/>
      <c r="E422" s="5"/>
      <c r="F422" s="5"/>
      <c r="G422" s="5"/>
      <c r="H422" s="5"/>
      <c r="I422" s="5" t="str">
        <f>IF(H422="","",VLOOKUP(H422,DB!A:B,2,0))</f>
        <v/>
      </c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5"/>
      <c r="B423" s="6" t="str">
        <f>IF(A423="","",VLOOKUP(A423,DB!A:B,2,0))</f>
        <v/>
      </c>
      <c r="C423" s="5"/>
      <c r="D423" s="5"/>
      <c r="E423" s="5"/>
      <c r="F423" s="5"/>
      <c r="G423" s="5"/>
      <c r="H423" s="5"/>
      <c r="I423" s="5" t="str">
        <f>IF(H423="","",VLOOKUP(H423,DB!A:B,2,0))</f>
        <v/>
      </c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5"/>
      <c r="B424" s="6" t="str">
        <f>IF(A424="","",VLOOKUP(A424,DB!A:B,2,0))</f>
        <v/>
      </c>
      <c r="C424" s="5"/>
      <c r="D424" s="5"/>
      <c r="E424" s="5"/>
      <c r="F424" s="5"/>
      <c r="G424" s="5"/>
      <c r="H424" s="5"/>
      <c r="I424" s="5" t="str">
        <f>IF(H424="","",VLOOKUP(H424,DB!A:B,2,0))</f>
        <v/>
      </c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5"/>
      <c r="B425" s="6" t="str">
        <f>IF(A425="","",VLOOKUP(A425,DB!A:B,2,0))</f>
        <v/>
      </c>
      <c r="C425" s="5"/>
      <c r="D425" s="5"/>
      <c r="E425" s="5"/>
      <c r="F425" s="5"/>
      <c r="G425" s="5"/>
      <c r="H425" s="5"/>
      <c r="I425" s="5" t="str">
        <f>IF(H425="","",VLOOKUP(H425,DB!A:B,2,0))</f>
        <v/>
      </c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5"/>
      <c r="B426" s="6" t="str">
        <f>IF(A426="","",VLOOKUP(A426,DB!A:B,2,0))</f>
        <v/>
      </c>
      <c r="C426" s="5"/>
      <c r="D426" s="5"/>
      <c r="E426" s="5"/>
      <c r="F426" s="5"/>
      <c r="G426" s="5"/>
      <c r="H426" s="5"/>
      <c r="I426" s="5" t="str">
        <f>IF(H426="","",VLOOKUP(H426,DB!A:B,2,0))</f>
        <v/>
      </c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5"/>
      <c r="B427" s="6" t="str">
        <f>IF(A427="","",VLOOKUP(A427,DB!A:B,2,0))</f>
        <v/>
      </c>
      <c r="C427" s="5"/>
      <c r="D427" s="5"/>
      <c r="E427" s="5"/>
      <c r="F427" s="5"/>
      <c r="G427" s="5"/>
      <c r="H427" s="5"/>
      <c r="I427" s="5" t="str">
        <f>IF(H427="","",VLOOKUP(H427,DB!A:B,2,0))</f>
        <v/>
      </c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5"/>
      <c r="B428" s="6" t="str">
        <f>IF(A428="","",VLOOKUP(A428,DB!A:B,2,0))</f>
        <v/>
      </c>
      <c r="C428" s="5"/>
      <c r="D428" s="5"/>
      <c r="E428" s="5"/>
      <c r="F428" s="5"/>
      <c r="G428" s="5"/>
      <c r="H428" s="5"/>
      <c r="I428" s="5" t="str">
        <f>IF(H428="","",VLOOKUP(H428,DB!A:B,2,0))</f>
        <v/>
      </c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5"/>
      <c r="B429" s="6" t="str">
        <f>IF(A429="","",VLOOKUP(A429,DB!A:B,2,0))</f>
        <v/>
      </c>
      <c r="C429" s="5"/>
      <c r="D429" s="5"/>
      <c r="E429" s="5"/>
      <c r="F429" s="5"/>
      <c r="G429" s="5"/>
      <c r="H429" s="5"/>
      <c r="I429" s="5" t="str">
        <f>IF(H429="","",VLOOKUP(H429,DB!A:B,2,0))</f>
        <v/>
      </c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5"/>
      <c r="B430" s="6" t="str">
        <f>IF(A430="","",VLOOKUP(A430,DB!A:B,2,0))</f>
        <v/>
      </c>
      <c r="C430" s="5"/>
      <c r="D430" s="5"/>
      <c r="E430" s="5"/>
      <c r="F430" s="5"/>
      <c r="G430" s="5"/>
      <c r="H430" s="5"/>
      <c r="I430" s="5" t="str">
        <f>IF(H430="","",VLOOKUP(H430,DB!A:B,2,0))</f>
        <v/>
      </c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5"/>
      <c r="B431" s="6" t="str">
        <f>IF(A431="","",VLOOKUP(A431,DB!A:B,2,0))</f>
        <v/>
      </c>
      <c r="C431" s="5"/>
      <c r="D431" s="5"/>
      <c r="E431" s="5"/>
      <c r="F431" s="5"/>
      <c r="G431" s="5"/>
      <c r="H431" s="5"/>
      <c r="I431" s="5" t="str">
        <f>IF(H431="","",VLOOKUP(H431,DB!A:B,2,0))</f>
        <v/>
      </c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5"/>
      <c r="B432" s="6" t="str">
        <f>IF(A432="","",VLOOKUP(A432,DB!A:B,2,0))</f>
        <v/>
      </c>
      <c r="C432" s="5"/>
      <c r="D432" s="5"/>
      <c r="E432" s="5"/>
      <c r="F432" s="5"/>
      <c r="G432" s="5"/>
      <c r="H432" s="5"/>
      <c r="I432" s="5" t="str">
        <f>IF(H432="","",VLOOKUP(H432,DB!A:B,2,0))</f>
        <v/>
      </c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5"/>
      <c r="B433" s="6" t="str">
        <f>IF(A433="","",VLOOKUP(A433,DB!A:B,2,0))</f>
        <v/>
      </c>
      <c r="C433" s="5"/>
      <c r="D433" s="5"/>
      <c r="E433" s="5"/>
      <c r="F433" s="5"/>
      <c r="G433" s="5"/>
      <c r="H433" s="5"/>
      <c r="I433" s="5" t="str">
        <f>IF(H433="","",VLOOKUP(H433,DB!A:B,2,0))</f>
        <v/>
      </c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5"/>
      <c r="B434" s="6" t="str">
        <f>IF(A434="","",VLOOKUP(A434,DB!A:B,2,0))</f>
        <v/>
      </c>
      <c r="C434" s="5"/>
      <c r="D434" s="5"/>
      <c r="E434" s="5"/>
      <c r="F434" s="5"/>
      <c r="G434" s="5"/>
      <c r="H434" s="5"/>
      <c r="I434" s="5" t="str">
        <f>IF(H434="","",VLOOKUP(H434,DB!A:B,2,0))</f>
        <v/>
      </c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5"/>
      <c r="B435" s="6" t="str">
        <f>IF(A435="","",VLOOKUP(A435,DB!A:B,2,0))</f>
        <v/>
      </c>
      <c r="C435" s="5"/>
      <c r="D435" s="5"/>
      <c r="E435" s="5"/>
      <c r="F435" s="5"/>
      <c r="G435" s="5"/>
      <c r="H435" s="5"/>
      <c r="I435" s="5" t="str">
        <f>IF(H435="","",VLOOKUP(H435,DB!A:B,2,0))</f>
        <v/>
      </c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5"/>
      <c r="B436" s="6" t="str">
        <f>IF(A436="","",VLOOKUP(A436,DB!A:B,2,0))</f>
        <v/>
      </c>
      <c r="C436" s="5"/>
      <c r="D436" s="5"/>
      <c r="E436" s="5"/>
      <c r="F436" s="5"/>
      <c r="G436" s="5"/>
      <c r="H436" s="5"/>
      <c r="I436" s="5" t="str">
        <f>IF(H436="","",VLOOKUP(H436,DB!A:B,2,0))</f>
        <v/>
      </c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5"/>
      <c r="B437" s="6" t="str">
        <f>IF(A437="","",VLOOKUP(A437,DB!A:B,2,0))</f>
        <v/>
      </c>
      <c r="C437" s="5"/>
      <c r="D437" s="5"/>
      <c r="E437" s="5"/>
      <c r="F437" s="5"/>
      <c r="G437" s="5"/>
      <c r="H437" s="5"/>
      <c r="I437" s="5" t="str">
        <f>IF(H437="","",VLOOKUP(H437,DB!A:B,2,0))</f>
        <v/>
      </c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5"/>
      <c r="B438" s="6" t="str">
        <f>IF(A438="","",VLOOKUP(A438,DB!A:B,2,0))</f>
        <v/>
      </c>
      <c r="C438" s="5"/>
      <c r="D438" s="5"/>
      <c r="E438" s="5"/>
      <c r="F438" s="5"/>
      <c r="G438" s="5"/>
      <c r="H438" s="5"/>
      <c r="I438" s="5" t="str">
        <f>IF(H438="","",VLOOKUP(H438,DB!A:B,2,0))</f>
        <v/>
      </c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5"/>
      <c r="B439" s="6" t="str">
        <f>IF(A439="","",VLOOKUP(A439,DB!A:B,2,0))</f>
        <v/>
      </c>
      <c r="C439" s="5"/>
      <c r="D439" s="5"/>
      <c r="E439" s="5"/>
      <c r="F439" s="5"/>
      <c r="G439" s="5"/>
      <c r="H439" s="5"/>
      <c r="I439" s="5" t="str">
        <f>IF(H439="","",VLOOKUP(H439,DB!A:B,2,0))</f>
        <v/>
      </c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5"/>
      <c r="B440" s="6" t="str">
        <f>IF(A440="","",VLOOKUP(A440,DB!A:B,2,0))</f>
        <v/>
      </c>
      <c r="C440" s="5"/>
      <c r="D440" s="5"/>
      <c r="E440" s="5"/>
      <c r="F440" s="5"/>
      <c r="G440" s="5"/>
      <c r="H440" s="5"/>
      <c r="I440" s="5" t="str">
        <f>IF(H440="","",VLOOKUP(H440,DB!A:B,2,0))</f>
        <v/>
      </c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5"/>
      <c r="B441" s="6" t="str">
        <f>IF(A441="","",VLOOKUP(A441,DB!A:B,2,0))</f>
        <v/>
      </c>
      <c r="C441" s="5"/>
      <c r="D441" s="5"/>
      <c r="E441" s="5"/>
      <c r="F441" s="5"/>
      <c r="G441" s="5"/>
      <c r="H441" s="5"/>
      <c r="I441" s="5" t="str">
        <f>IF(H441="","",VLOOKUP(H441,DB!A:B,2,0))</f>
        <v/>
      </c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5"/>
      <c r="B442" s="6" t="str">
        <f>IF(A442="","",VLOOKUP(A442,DB!A:B,2,0))</f>
        <v/>
      </c>
      <c r="C442" s="5"/>
      <c r="D442" s="5"/>
      <c r="E442" s="5"/>
      <c r="F442" s="5"/>
      <c r="G442" s="5"/>
      <c r="H442" s="5"/>
      <c r="I442" s="5" t="str">
        <f>IF(H442="","",VLOOKUP(H442,DB!A:B,2,0))</f>
        <v/>
      </c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5"/>
      <c r="B443" s="6" t="str">
        <f>IF(A443="","",VLOOKUP(A443,DB!A:B,2,0))</f>
        <v/>
      </c>
      <c r="C443" s="5"/>
      <c r="D443" s="5"/>
      <c r="E443" s="5"/>
      <c r="F443" s="5"/>
      <c r="G443" s="5"/>
      <c r="H443" s="5"/>
      <c r="I443" s="5" t="str">
        <f>IF(H443="","",VLOOKUP(H443,DB!A:B,2,0))</f>
        <v/>
      </c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5"/>
      <c r="B444" s="6" t="str">
        <f>IF(A444="","",VLOOKUP(A444,DB!A:B,2,0))</f>
        <v/>
      </c>
      <c r="C444" s="5"/>
      <c r="D444" s="5"/>
      <c r="E444" s="5"/>
      <c r="F444" s="5"/>
      <c r="G444" s="5"/>
      <c r="H444" s="5"/>
      <c r="I444" s="5" t="str">
        <f>IF(H444="","",VLOOKUP(H444,DB!A:B,2,0))</f>
        <v/>
      </c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5"/>
      <c r="B445" s="6" t="str">
        <f>IF(A445="","",VLOOKUP(A445,DB!A:B,2,0))</f>
        <v/>
      </c>
      <c r="C445" s="5"/>
      <c r="D445" s="5"/>
      <c r="E445" s="5"/>
      <c r="F445" s="5"/>
      <c r="G445" s="5"/>
      <c r="H445" s="5"/>
      <c r="I445" s="5" t="str">
        <f>IF(H445="","",VLOOKUP(H445,DB!A:B,2,0))</f>
        <v/>
      </c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5"/>
      <c r="B446" s="6" t="str">
        <f>IF(A446="","",VLOOKUP(A446,DB!A:B,2,0))</f>
        <v/>
      </c>
      <c r="C446" s="5"/>
      <c r="D446" s="5"/>
      <c r="E446" s="5"/>
      <c r="F446" s="5"/>
      <c r="G446" s="5"/>
      <c r="H446" s="5"/>
      <c r="I446" s="5" t="str">
        <f>IF(H446="","",VLOOKUP(H446,DB!A:B,2,0))</f>
        <v/>
      </c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5"/>
      <c r="B447" s="6" t="str">
        <f>IF(A447="","",VLOOKUP(A447,DB!A:B,2,0))</f>
        <v/>
      </c>
      <c r="C447" s="5"/>
      <c r="D447" s="5"/>
      <c r="E447" s="5"/>
      <c r="F447" s="5"/>
      <c r="G447" s="5"/>
      <c r="H447" s="5"/>
      <c r="I447" s="5" t="str">
        <f>IF(H447="","",VLOOKUP(H447,DB!A:B,2,0))</f>
        <v/>
      </c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5"/>
      <c r="B448" s="6" t="str">
        <f>IF(A448="","",VLOOKUP(A448,DB!A:B,2,0))</f>
        <v/>
      </c>
      <c r="C448" s="5"/>
      <c r="D448" s="5"/>
      <c r="E448" s="5"/>
      <c r="F448" s="5"/>
      <c r="G448" s="5"/>
      <c r="H448" s="5"/>
      <c r="I448" s="5" t="str">
        <f>IF(H448="","",VLOOKUP(H448,DB!A:B,2,0))</f>
        <v/>
      </c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5"/>
      <c r="B449" s="6" t="str">
        <f>IF(A449="","",VLOOKUP(A449,DB!A:B,2,0))</f>
        <v/>
      </c>
      <c r="C449" s="5"/>
      <c r="D449" s="5"/>
      <c r="E449" s="5"/>
      <c r="F449" s="5"/>
      <c r="G449" s="5"/>
      <c r="H449" s="5"/>
      <c r="I449" s="5" t="str">
        <f>IF(H449="","",VLOOKUP(H449,DB!A:B,2,0))</f>
        <v/>
      </c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5"/>
      <c r="B450" s="6" t="str">
        <f>IF(A450="","",VLOOKUP(A450,DB!A:B,2,0))</f>
        <v/>
      </c>
      <c r="C450" s="5"/>
      <c r="D450" s="5"/>
      <c r="E450" s="5"/>
      <c r="F450" s="5"/>
      <c r="G450" s="5"/>
      <c r="H450" s="5"/>
      <c r="I450" s="5" t="str">
        <f>IF(H450="","",VLOOKUP(H450,DB!A:B,2,0))</f>
        <v/>
      </c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5"/>
      <c r="B451" s="6" t="str">
        <f>IF(A451="","",VLOOKUP(A451,DB!A:B,2,0))</f>
        <v/>
      </c>
      <c r="C451" s="5"/>
      <c r="D451" s="5"/>
      <c r="E451" s="5"/>
      <c r="F451" s="5"/>
      <c r="G451" s="5"/>
      <c r="H451" s="5"/>
      <c r="I451" s="5" t="str">
        <f>IF(H451="","",VLOOKUP(H451,DB!A:B,2,0))</f>
        <v/>
      </c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5"/>
      <c r="B452" s="6" t="str">
        <f>IF(A452="","",VLOOKUP(A452,DB!A:B,2,0))</f>
        <v/>
      </c>
      <c r="C452" s="5"/>
      <c r="D452" s="5"/>
      <c r="E452" s="5"/>
      <c r="F452" s="5"/>
      <c r="G452" s="5"/>
      <c r="H452" s="5"/>
      <c r="I452" s="5" t="str">
        <f>IF(H452="","",VLOOKUP(H452,DB!A:B,2,0))</f>
        <v/>
      </c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5"/>
      <c r="B453" s="6" t="str">
        <f>IF(A453="","",VLOOKUP(A453,DB!A:B,2,0))</f>
        <v/>
      </c>
      <c r="C453" s="5"/>
      <c r="D453" s="5"/>
      <c r="E453" s="5"/>
      <c r="F453" s="5"/>
      <c r="G453" s="5"/>
      <c r="H453" s="5"/>
      <c r="I453" s="5" t="str">
        <f>IF(H453="","",VLOOKUP(H453,DB!A:B,2,0))</f>
        <v/>
      </c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5"/>
      <c r="B454" s="6" t="str">
        <f>IF(A454="","",VLOOKUP(A454,DB!A:B,2,0))</f>
        <v/>
      </c>
      <c r="C454" s="5"/>
      <c r="D454" s="5"/>
      <c r="E454" s="5"/>
      <c r="F454" s="5"/>
      <c r="G454" s="5"/>
      <c r="H454" s="5"/>
      <c r="I454" s="5" t="str">
        <f>IF(H454="","",VLOOKUP(H454,DB!A:B,2,0))</f>
        <v/>
      </c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5"/>
      <c r="B455" s="6" t="str">
        <f>IF(A455="","",VLOOKUP(A455,DB!A:B,2,0))</f>
        <v/>
      </c>
      <c r="C455" s="5"/>
      <c r="D455" s="5"/>
      <c r="E455" s="5"/>
      <c r="F455" s="5"/>
      <c r="G455" s="5"/>
      <c r="H455" s="5"/>
      <c r="I455" s="5" t="str">
        <f>IF(H455="","",VLOOKUP(H455,DB!A:B,2,0))</f>
        <v/>
      </c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5"/>
      <c r="B456" s="6" t="str">
        <f>IF(A456="","",VLOOKUP(A456,DB!A:B,2,0))</f>
        <v/>
      </c>
      <c r="C456" s="5"/>
      <c r="D456" s="5"/>
      <c r="E456" s="5"/>
      <c r="F456" s="5"/>
      <c r="G456" s="5"/>
      <c r="H456" s="5"/>
      <c r="I456" s="5" t="str">
        <f>IF(H456="","",VLOOKUP(H456,DB!A:B,2,0))</f>
        <v/>
      </c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5"/>
      <c r="B457" s="6" t="str">
        <f>IF(A457="","",VLOOKUP(A457,DB!A:B,2,0))</f>
        <v/>
      </c>
      <c r="C457" s="5"/>
      <c r="D457" s="5"/>
      <c r="E457" s="5"/>
      <c r="F457" s="5"/>
      <c r="G457" s="5"/>
      <c r="H457" s="5"/>
      <c r="I457" s="5" t="str">
        <f>IF(H457="","",VLOOKUP(H457,DB!A:B,2,0))</f>
        <v/>
      </c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5"/>
      <c r="B458" s="6" t="str">
        <f>IF(A458="","",VLOOKUP(A458,DB!A:B,2,0))</f>
        <v/>
      </c>
      <c r="C458" s="5"/>
      <c r="D458" s="5"/>
      <c r="E458" s="5"/>
      <c r="F458" s="5"/>
      <c r="G458" s="5"/>
      <c r="H458" s="5"/>
      <c r="I458" s="5" t="str">
        <f>IF(H458="","",VLOOKUP(H458,DB!A:B,2,0))</f>
        <v/>
      </c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5"/>
      <c r="B459" s="6" t="str">
        <f>IF(A459="","",VLOOKUP(A459,DB!A:B,2,0))</f>
        <v/>
      </c>
      <c r="C459" s="5"/>
      <c r="D459" s="5"/>
      <c r="E459" s="5"/>
      <c r="F459" s="5"/>
      <c r="G459" s="5"/>
      <c r="H459" s="5"/>
      <c r="I459" s="5" t="str">
        <f>IF(H459="","",VLOOKUP(H459,DB!A:B,2,0))</f>
        <v/>
      </c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5"/>
      <c r="B460" s="6" t="str">
        <f>IF(A460="","",VLOOKUP(A460,DB!A:B,2,0))</f>
        <v/>
      </c>
      <c r="C460" s="5"/>
      <c r="D460" s="5"/>
      <c r="E460" s="5"/>
      <c r="F460" s="5"/>
      <c r="G460" s="5"/>
      <c r="H460" s="5"/>
      <c r="I460" s="5" t="str">
        <f>IF(H460="","",VLOOKUP(H460,DB!A:B,2,0))</f>
        <v/>
      </c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5"/>
      <c r="B461" s="6" t="str">
        <f>IF(A461="","",VLOOKUP(A461,DB!A:B,2,0))</f>
        <v/>
      </c>
      <c r="C461" s="5"/>
      <c r="D461" s="5"/>
      <c r="E461" s="5"/>
      <c r="F461" s="5"/>
      <c r="G461" s="5"/>
      <c r="H461" s="5"/>
      <c r="I461" s="5" t="str">
        <f>IF(H461="","",VLOOKUP(H461,DB!A:B,2,0))</f>
        <v/>
      </c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5"/>
      <c r="B462" s="6" t="str">
        <f>IF(A462="","",VLOOKUP(A462,DB!A:B,2,0))</f>
        <v/>
      </c>
      <c r="C462" s="5"/>
      <c r="D462" s="5"/>
      <c r="E462" s="5"/>
      <c r="F462" s="5"/>
      <c r="G462" s="5"/>
      <c r="H462" s="5"/>
      <c r="I462" s="5" t="str">
        <f>IF(H462="","",VLOOKUP(H462,DB!A:B,2,0))</f>
        <v/>
      </c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5"/>
      <c r="B463" s="6" t="str">
        <f>IF(A463="","",VLOOKUP(A463,DB!A:B,2,0))</f>
        <v/>
      </c>
      <c r="C463" s="5"/>
      <c r="D463" s="5"/>
      <c r="E463" s="5"/>
      <c r="F463" s="5"/>
      <c r="G463" s="5"/>
      <c r="H463" s="5"/>
      <c r="I463" s="5" t="str">
        <f>IF(H463="","",VLOOKUP(H463,DB!A:B,2,0))</f>
        <v/>
      </c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5"/>
      <c r="B464" s="6" t="str">
        <f>IF(A464="","",VLOOKUP(A464,DB!A:B,2,0))</f>
        <v/>
      </c>
      <c r="C464" s="5"/>
      <c r="D464" s="5"/>
      <c r="E464" s="5"/>
      <c r="F464" s="5"/>
      <c r="G464" s="5"/>
      <c r="H464" s="5"/>
      <c r="I464" s="5" t="str">
        <f>IF(H464="","",VLOOKUP(H464,DB!A:B,2,0))</f>
        <v/>
      </c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5"/>
      <c r="B465" s="6" t="str">
        <f>IF(A465="","",VLOOKUP(A465,DB!A:B,2,0))</f>
        <v/>
      </c>
      <c r="C465" s="5"/>
      <c r="D465" s="5"/>
      <c r="E465" s="5"/>
      <c r="F465" s="5"/>
      <c r="G465" s="5"/>
      <c r="H465" s="5"/>
      <c r="I465" s="5" t="str">
        <f>IF(H465="","",VLOOKUP(H465,DB!A:B,2,0))</f>
        <v/>
      </c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5"/>
      <c r="B466" s="6" t="str">
        <f>IF(A466="","",VLOOKUP(A466,DB!A:B,2,0))</f>
        <v/>
      </c>
      <c r="C466" s="5"/>
      <c r="D466" s="5"/>
      <c r="E466" s="5"/>
      <c r="F466" s="5"/>
      <c r="G466" s="5"/>
      <c r="H466" s="5"/>
      <c r="I466" s="5" t="str">
        <f>IF(H466="","",VLOOKUP(H466,DB!A:B,2,0))</f>
        <v/>
      </c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5"/>
      <c r="B467" s="6" t="str">
        <f>IF(A467="","",VLOOKUP(A467,DB!A:B,2,0))</f>
        <v/>
      </c>
      <c r="C467" s="5"/>
      <c r="D467" s="5"/>
      <c r="E467" s="5"/>
      <c r="F467" s="5"/>
      <c r="G467" s="5"/>
      <c r="H467" s="5"/>
      <c r="I467" s="5" t="str">
        <f>IF(H467="","",VLOOKUP(H467,DB!A:B,2,0))</f>
        <v/>
      </c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5"/>
      <c r="B468" s="6" t="str">
        <f>IF(A468="","",VLOOKUP(A468,DB!A:B,2,0))</f>
        <v/>
      </c>
      <c r="C468" s="5"/>
      <c r="D468" s="5"/>
      <c r="E468" s="5"/>
      <c r="F468" s="5"/>
      <c r="G468" s="5"/>
      <c r="H468" s="5"/>
      <c r="I468" s="5" t="str">
        <f>IF(H468="","",VLOOKUP(H468,DB!A:B,2,0))</f>
        <v/>
      </c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5"/>
      <c r="B469" s="6" t="str">
        <f>IF(A469="","",VLOOKUP(A469,DB!A:B,2,0))</f>
        <v/>
      </c>
      <c r="C469" s="5"/>
      <c r="D469" s="5"/>
      <c r="E469" s="5"/>
      <c r="F469" s="5"/>
      <c r="G469" s="5"/>
      <c r="H469" s="5"/>
      <c r="I469" s="5" t="str">
        <f>IF(H469="","",VLOOKUP(H469,DB!A:B,2,0))</f>
        <v/>
      </c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5"/>
      <c r="B470" s="6" t="str">
        <f>IF(A470="","",VLOOKUP(A470,DB!A:B,2,0))</f>
        <v/>
      </c>
      <c r="C470" s="5"/>
      <c r="D470" s="5"/>
      <c r="E470" s="5"/>
      <c r="F470" s="5"/>
      <c r="G470" s="5"/>
      <c r="H470" s="5"/>
      <c r="I470" s="5" t="str">
        <f>IF(H470="","",VLOOKUP(H470,DB!A:B,2,0))</f>
        <v/>
      </c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5"/>
      <c r="B471" s="6" t="str">
        <f>IF(A471="","",VLOOKUP(A471,DB!A:B,2,0))</f>
        <v/>
      </c>
      <c r="C471" s="5"/>
      <c r="D471" s="5"/>
      <c r="E471" s="5"/>
      <c r="F471" s="5"/>
      <c r="G471" s="5"/>
      <c r="H471" s="5"/>
      <c r="I471" s="5" t="str">
        <f>IF(H471="","",VLOOKUP(H471,DB!A:B,2,0))</f>
        <v/>
      </c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5"/>
      <c r="B472" s="6" t="str">
        <f>IF(A472="","",VLOOKUP(A472,DB!A:B,2,0))</f>
        <v/>
      </c>
      <c r="C472" s="5"/>
      <c r="D472" s="5"/>
      <c r="E472" s="5"/>
      <c r="F472" s="5"/>
      <c r="G472" s="5"/>
      <c r="H472" s="5"/>
      <c r="I472" s="5" t="str">
        <f>IF(H472="","",VLOOKUP(H472,DB!A:B,2,0))</f>
        <v/>
      </c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5"/>
      <c r="B473" s="6" t="str">
        <f>IF(A473="","",VLOOKUP(A473,DB!A:B,2,0))</f>
        <v/>
      </c>
      <c r="C473" s="5"/>
      <c r="D473" s="5"/>
      <c r="E473" s="5"/>
      <c r="F473" s="5"/>
      <c r="G473" s="5"/>
      <c r="H473" s="5"/>
      <c r="I473" s="5" t="str">
        <f>IF(H473="","",VLOOKUP(H473,DB!A:B,2,0))</f>
        <v/>
      </c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5"/>
      <c r="B474" s="6" t="str">
        <f>IF(A474="","",VLOOKUP(A474,DB!A:B,2,0))</f>
        <v/>
      </c>
      <c r="C474" s="5"/>
      <c r="D474" s="5"/>
      <c r="E474" s="5"/>
      <c r="F474" s="5"/>
      <c r="G474" s="5"/>
      <c r="H474" s="5"/>
      <c r="I474" s="5" t="str">
        <f>IF(H474="","",VLOOKUP(H474,DB!A:B,2,0))</f>
        <v/>
      </c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5"/>
      <c r="B475" s="6" t="str">
        <f>IF(A475="","",VLOOKUP(A475,DB!A:B,2,0))</f>
        <v/>
      </c>
      <c r="C475" s="5"/>
      <c r="D475" s="5"/>
      <c r="E475" s="5"/>
      <c r="F475" s="5"/>
      <c r="G475" s="5"/>
      <c r="H475" s="5"/>
      <c r="I475" s="5" t="str">
        <f>IF(H475="","",VLOOKUP(H475,DB!A:B,2,0))</f>
        <v/>
      </c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5"/>
      <c r="B476" s="6" t="str">
        <f>IF(A476="","",VLOOKUP(A476,DB!A:B,2,0))</f>
        <v/>
      </c>
      <c r="C476" s="5"/>
      <c r="D476" s="5"/>
      <c r="E476" s="5"/>
      <c r="F476" s="5"/>
      <c r="G476" s="5"/>
      <c r="H476" s="5"/>
      <c r="I476" s="5" t="str">
        <f>IF(H476="","",VLOOKUP(H476,DB!A:B,2,0))</f>
        <v/>
      </c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5"/>
      <c r="B477" s="6" t="str">
        <f>IF(A477="","",VLOOKUP(A477,DB!A:B,2,0))</f>
        <v/>
      </c>
      <c r="C477" s="5"/>
      <c r="D477" s="5"/>
      <c r="E477" s="5"/>
      <c r="F477" s="5"/>
      <c r="G477" s="5"/>
      <c r="H477" s="5"/>
      <c r="I477" s="5" t="str">
        <f>IF(H477="","",VLOOKUP(H477,DB!A:B,2,0))</f>
        <v/>
      </c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5"/>
      <c r="B478" s="6" t="str">
        <f>IF(A478="","",VLOOKUP(A478,DB!A:B,2,0))</f>
        <v/>
      </c>
      <c r="C478" s="5"/>
      <c r="D478" s="5"/>
      <c r="E478" s="5"/>
      <c r="F478" s="5"/>
      <c r="G478" s="5"/>
      <c r="H478" s="5"/>
      <c r="I478" s="5" t="str">
        <f>IF(H478="","",VLOOKUP(H478,DB!A:B,2,0))</f>
        <v/>
      </c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5"/>
      <c r="B479" s="6" t="str">
        <f>IF(A479="","",VLOOKUP(A479,DB!A:B,2,0))</f>
        <v/>
      </c>
      <c r="C479" s="5"/>
      <c r="D479" s="5"/>
      <c r="E479" s="5"/>
      <c r="F479" s="5"/>
      <c r="G479" s="5"/>
      <c r="H479" s="5"/>
      <c r="I479" s="5" t="str">
        <f>IF(H479="","",VLOOKUP(H479,DB!A:B,2,0))</f>
        <v/>
      </c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5"/>
      <c r="B480" s="6" t="str">
        <f>IF(A480="","",VLOOKUP(A480,DB!A:B,2,0))</f>
        <v/>
      </c>
      <c r="C480" s="5"/>
      <c r="D480" s="5"/>
      <c r="E480" s="5"/>
      <c r="F480" s="5"/>
      <c r="G480" s="5"/>
      <c r="H480" s="5"/>
      <c r="I480" s="5" t="str">
        <f>IF(H480="","",VLOOKUP(H480,DB!A:B,2,0))</f>
        <v/>
      </c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5"/>
      <c r="B481" s="6" t="str">
        <f>IF(A481="","",VLOOKUP(A481,DB!A:B,2,0))</f>
        <v/>
      </c>
      <c r="C481" s="5"/>
      <c r="D481" s="5"/>
      <c r="E481" s="5"/>
      <c r="F481" s="5"/>
      <c r="G481" s="5"/>
      <c r="H481" s="5"/>
      <c r="I481" s="5" t="str">
        <f>IF(H481="","",VLOOKUP(H481,DB!A:B,2,0))</f>
        <v/>
      </c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5"/>
      <c r="B482" s="6" t="str">
        <f>IF(A482="","",VLOOKUP(A482,DB!A:B,2,0))</f>
        <v/>
      </c>
      <c r="C482" s="5"/>
      <c r="D482" s="5"/>
      <c r="E482" s="5"/>
      <c r="F482" s="5"/>
      <c r="G482" s="5"/>
      <c r="H482" s="5"/>
      <c r="I482" s="5" t="str">
        <f>IF(H482="","",VLOOKUP(H482,DB!A:B,2,0))</f>
        <v/>
      </c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5"/>
      <c r="B483" s="6" t="str">
        <f>IF(A483="","",VLOOKUP(A483,DB!A:B,2,0))</f>
        <v/>
      </c>
      <c r="C483" s="5"/>
      <c r="D483" s="5"/>
      <c r="E483" s="5"/>
      <c r="F483" s="5"/>
      <c r="G483" s="5"/>
      <c r="H483" s="5"/>
      <c r="I483" s="5" t="str">
        <f>IF(H483="","",VLOOKUP(H483,DB!A:B,2,0))</f>
        <v/>
      </c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5"/>
      <c r="B484" s="6" t="str">
        <f>IF(A484="","",VLOOKUP(A484,DB!A:B,2,0))</f>
        <v/>
      </c>
      <c r="C484" s="5"/>
      <c r="D484" s="5"/>
      <c r="E484" s="5"/>
      <c r="F484" s="5"/>
      <c r="G484" s="5"/>
      <c r="H484" s="5"/>
      <c r="I484" s="5" t="str">
        <f>IF(H484="","",VLOOKUP(H484,DB!A:B,2,0))</f>
        <v/>
      </c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5"/>
      <c r="B485" s="6" t="str">
        <f>IF(A485="","",VLOOKUP(A485,DB!A:B,2,0))</f>
        <v/>
      </c>
      <c r="C485" s="5"/>
      <c r="D485" s="5"/>
      <c r="E485" s="5"/>
      <c r="F485" s="5"/>
      <c r="G485" s="5"/>
      <c r="H485" s="5"/>
      <c r="I485" s="5" t="str">
        <f>IF(H485="","",VLOOKUP(H485,DB!A:B,2,0))</f>
        <v/>
      </c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5"/>
      <c r="B486" s="6" t="str">
        <f>IF(A486="","",VLOOKUP(A486,DB!A:B,2,0))</f>
        <v/>
      </c>
      <c r="C486" s="5"/>
      <c r="D486" s="5"/>
      <c r="E486" s="5"/>
      <c r="F486" s="5"/>
      <c r="G486" s="5"/>
      <c r="H486" s="5"/>
      <c r="I486" s="5" t="str">
        <f>IF(H486="","",VLOOKUP(H486,DB!A:B,2,0))</f>
        <v/>
      </c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5"/>
      <c r="B487" s="6" t="str">
        <f>IF(A487="","",VLOOKUP(A487,DB!A:B,2,0))</f>
        <v/>
      </c>
      <c r="C487" s="5"/>
      <c r="D487" s="5"/>
      <c r="E487" s="5"/>
      <c r="F487" s="5"/>
      <c r="G487" s="5"/>
      <c r="H487" s="5"/>
      <c r="I487" s="5" t="str">
        <f>IF(H487="","",VLOOKUP(H487,DB!A:B,2,0))</f>
        <v/>
      </c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5"/>
      <c r="B488" s="6" t="str">
        <f>IF(A488="","",VLOOKUP(A488,DB!A:B,2,0))</f>
        <v/>
      </c>
      <c r="C488" s="5"/>
      <c r="D488" s="5"/>
      <c r="E488" s="5"/>
      <c r="F488" s="5"/>
      <c r="G488" s="5"/>
      <c r="H488" s="5"/>
      <c r="I488" s="5" t="str">
        <f>IF(H488="","",VLOOKUP(H488,DB!A:B,2,0))</f>
        <v/>
      </c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5"/>
      <c r="B489" s="6" t="str">
        <f>IF(A489="","",VLOOKUP(A489,DB!A:B,2,0))</f>
        <v/>
      </c>
      <c r="C489" s="5"/>
      <c r="D489" s="5"/>
      <c r="E489" s="5"/>
      <c r="F489" s="5"/>
      <c r="G489" s="5"/>
      <c r="H489" s="5"/>
      <c r="I489" s="5" t="str">
        <f>IF(H489="","",VLOOKUP(H489,DB!A:B,2,0))</f>
        <v/>
      </c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5"/>
      <c r="B490" s="6" t="str">
        <f>IF(A490="","",VLOOKUP(A490,DB!A:B,2,0))</f>
        <v/>
      </c>
      <c r="C490" s="5"/>
      <c r="D490" s="5"/>
      <c r="E490" s="5"/>
      <c r="F490" s="5"/>
      <c r="G490" s="5"/>
      <c r="H490" s="5"/>
      <c r="I490" s="5" t="str">
        <f>IF(H490="","",VLOOKUP(H490,DB!A:B,2,0))</f>
        <v/>
      </c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5"/>
      <c r="B491" s="6" t="str">
        <f>IF(A491="","",VLOOKUP(A491,DB!A:B,2,0))</f>
        <v/>
      </c>
      <c r="C491" s="5"/>
      <c r="D491" s="5"/>
      <c r="E491" s="5"/>
      <c r="F491" s="5"/>
      <c r="G491" s="5"/>
      <c r="H491" s="5"/>
      <c r="I491" s="5" t="str">
        <f>IF(H491="","",VLOOKUP(H491,DB!A:B,2,0))</f>
        <v/>
      </c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5"/>
      <c r="B492" s="6" t="str">
        <f>IF(A492="","",VLOOKUP(A492,DB!A:B,2,0))</f>
        <v/>
      </c>
      <c r="C492" s="5"/>
      <c r="D492" s="5"/>
      <c r="E492" s="5"/>
      <c r="F492" s="5"/>
      <c r="G492" s="5"/>
      <c r="H492" s="5"/>
      <c r="I492" s="5" t="str">
        <f>IF(H492="","",VLOOKUP(H492,DB!A:B,2,0))</f>
        <v/>
      </c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5"/>
      <c r="B493" s="6" t="str">
        <f>IF(A493="","",VLOOKUP(A493,DB!A:B,2,0))</f>
        <v/>
      </c>
      <c r="C493" s="5"/>
      <c r="D493" s="5"/>
      <c r="E493" s="5"/>
      <c r="F493" s="5"/>
      <c r="G493" s="5"/>
      <c r="H493" s="5"/>
      <c r="I493" s="5" t="str">
        <f>IF(H493="","",VLOOKUP(H493,DB!A:B,2,0))</f>
        <v/>
      </c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5"/>
      <c r="B494" s="6" t="str">
        <f>IF(A494="","",VLOOKUP(A494,DB!A:B,2,0))</f>
        <v/>
      </c>
      <c r="C494" s="5"/>
      <c r="D494" s="5"/>
      <c r="E494" s="5"/>
      <c r="F494" s="5"/>
      <c r="G494" s="5"/>
      <c r="H494" s="5"/>
      <c r="I494" s="5" t="str">
        <f>IF(H494="","",VLOOKUP(H494,DB!A:B,2,0))</f>
        <v/>
      </c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5"/>
      <c r="B495" s="6" t="str">
        <f>IF(A495="","",VLOOKUP(A495,DB!A:B,2,0))</f>
        <v/>
      </c>
      <c r="C495" s="5"/>
      <c r="D495" s="5"/>
      <c r="E495" s="5"/>
      <c r="F495" s="5"/>
      <c r="G495" s="5"/>
      <c r="H495" s="5"/>
      <c r="I495" s="5" t="str">
        <f>IF(H495="","",VLOOKUP(H495,DB!A:B,2,0))</f>
        <v/>
      </c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5"/>
      <c r="B496" s="6" t="str">
        <f>IF(A496="","",VLOOKUP(A496,DB!A:B,2,0))</f>
        <v/>
      </c>
      <c r="C496" s="5"/>
      <c r="D496" s="5"/>
      <c r="E496" s="5"/>
      <c r="F496" s="5"/>
      <c r="G496" s="5"/>
      <c r="H496" s="5"/>
      <c r="I496" s="5" t="str">
        <f>IF(H496="","",VLOOKUP(H496,DB!A:B,2,0))</f>
        <v/>
      </c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5"/>
      <c r="B497" s="6" t="str">
        <f>IF(A497="","",VLOOKUP(A497,DB!A:B,2,0))</f>
        <v/>
      </c>
      <c r="C497" s="5"/>
      <c r="D497" s="5"/>
      <c r="E497" s="5"/>
      <c r="F497" s="5"/>
      <c r="G497" s="5"/>
      <c r="H497" s="5"/>
      <c r="I497" s="5" t="str">
        <f>IF(H497="","",VLOOKUP(H497,DB!A:B,2,0))</f>
        <v/>
      </c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5"/>
      <c r="B498" s="6" t="str">
        <f>IF(A498="","",VLOOKUP(A498,DB!A:B,2,0))</f>
        <v/>
      </c>
      <c r="C498" s="5"/>
      <c r="D498" s="5"/>
      <c r="E498" s="5"/>
      <c r="F498" s="5"/>
      <c r="G498" s="5"/>
      <c r="H498" s="5"/>
      <c r="I498" s="5" t="str">
        <f>IF(H498="","",VLOOKUP(H498,DB!A:B,2,0))</f>
        <v/>
      </c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5"/>
      <c r="B499" s="6" t="str">
        <f>IF(A499="","",VLOOKUP(A499,DB!A:B,2,0))</f>
        <v/>
      </c>
      <c r="C499" s="5"/>
      <c r="D499" s="5"/>
      <c r="E499" s="5"/>
      <c r="F499" s="5"/>
      <c r="G499" s="5"/>
      <c r="H499" s="5"/>
      <c r="I499" s="5" t="str">
        <f>IF(H499="","",VLOOKUP(H499,DB!A:B,2,0))</f>
        <v/>
      </c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5"/>
      <c r="B500" s="6" t="str">
        <f>IF(A500="","",VLOOKUP(A500,DB!A:B,2,0))</f>
        <v/>
      </c>
      <c r="C500" s="5"/>
      <c r="D500" s="5"/>
      <c r="E500" s="5"/>
      <c r="F500" s="5"/>
      <c r="G500" s="5"/>
      <c r="H500" s="5"/>
      <c r="I500" s="5" t="str">
        <f>IF(H500="","",VLOOKUP(H500,DB!A:B,2,0))</f>
        <v/>
      </c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>
      <c r="A501" s="5"/>
      <c r="B501" s="6" t="str">
        <f>IF(A501="","",VLOOKUP(A501,DB!A:B,2,0))</f>
        <v/>
      </c>
      <c r="C501" s="5"/>
      <c r="D501" s="5"/>
      <c r="E501" s="5"/>
      <c r="F501" s="5"/>
      <c r="G501" s="5"/>
      <c r="H501" s="5"/>
      <c r="I501" s="5" t="str">
        <f>IF(H501="","",VLOOKUP(H501,DB!A:B,2,0))</f>
        <v/>
      </c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>
      <c r="A502" s="5"/>
      <c r="B502" s="6" t="str">
        <f>IF(A502="","",VLOOKUP(A502,DB!A:B,2,0))</f>
        <v/>
      </c>
      <c r="C502" s="5"/>
      <c r="D502" s="5"/>
      <c r="E502" s="5"/>
      <c r="F502" s="5"/>
      <c r="G502" s="5"/>
      <c r="H502" s="5"/>
      <c r="I502" s="5" t="str">
        <f>IF(H502="","",VLOOKUP(H502,DB!A:B,2,0))</f>
        <v/>
      </c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>
      <c r="A503" s="5"/>
      <c r="B503" s="6" t="str">
        <f>IF(A503="","",VLOOKUP(A503,DB!A:B,2,0))</f>
        <v/>
      </c>
      <c r="C503" s="5"/>
      <c r="D503" s="5"/>
      <c r="E503" s="5"/>
      <c r="F503" s="5"/>
      <c r="G503" s="5"/>
      <c r="H503" s="5"/>
      <c r="I503" s="5" t="str">
        <f>IF(H503="","",VLOOKUP(H503,DB!A:B,2,0))</f>
        <v/>
      </c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>
      <c r="A504" s="5"/>
      <c r="B504" s="6" t="str">
        <f>IF(A504="","",VLOOKUP(A504,DB!A:B,2,0))</f>
        <v/>
      </c>
      <c r="C504" s="5"/>
      <c r="D504" s="5"/>
      <c r="E504" s="5"/>
      <c r="F504" s="5"/>
      <c r="G504" s="5"/>
      <c r="H504" s="5"/>
      <c r="I504" s="5" t="str">
        <f>IF(H504="","",VLOOKUP(H504,DB!A:B,2,0))</f>
        <v/>
      </c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>
      <c r="A505" s="5"/>
      <c r="B505" s="6" t="str">
        <f>IF(A505="","",VLOOKUP(A505,DB!A:B,2,0))</f>
        <v/>
      </c>
      <c r="C505" s="5"/>
      <c r="D505" s="5"/>
      <c r="E505" s="5"/>
      <c r="F505" s="5"/>
      <c r="G505" s="5"/>
      <c r="H505" s="5"/>
      <c r="I505" s="5" t="str">
        <f>IF(H505="","",VLOOKUP(H505,DB!A:B,2,0))</f>
        <v/>
      </c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>
      <c r="A506" s="5"/>
      <c r="B506" s="6" t="str">
        <f>IF(A506="","",VLOOKUP(A506,DB!A:B,2,0))</f>
        <v/>
      </c>
      <c r="C506" s="5"/>
      <c r="D506" s="5"/>
      <c r="E506" s="5"/>
      <c r="F506" s="5"/>
      <c r="G506" s="5"/>
      <c r="H506" s="5"/>
      <c r="I506" s="5" t="str">
        <f>IF(H506="","",VLOOKUP(H506,DB!A:B,2,0))</f>
        <v/>
      </c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>
      <c r="A507" s="5"/>
      <c r="B507" s="6" t="str">
        <f>IF(A507="","",VLOOKUP(A507,DB!A:B,2,0))</f>
        <v/>
      </c>
      <c r="C507" s="5"/>
      <c r="D507" s="5"/>
      <c r="E507" s="5"/>
      <c r="F507" s="5"/>
      <c r="G507" s="5"/>
      <c r="H507" s="5"/>
      <c r="I507" s="5" t="str">
        <f>IF(H507="","",VLOOKUP(H507,DB!A:B,2,0))</f>
        <v/>
      </c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>
      <c r="A508" s="5"/>
      <c r="B508" s="6" t="str">
        <f>IF(A508="","",VLOOKUP(A508,DB!A:B,2,0))</f>
        <v/>
      </c>
      <c r="C508" s="5"/>
      <c r="D508" s="5"/>
      <c r="E508" s="5"/>
      <c r="F508" s="5"/>
      <c r="G508" s="5"/>
      <c r="H508" s="5"/>
      <c r="I508" s="5" t="str">
        <f>IF(H508="","",VLOOKUP(H508,DB!A:B,2,0))</f>
        <v/>
      </c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>
      <c r="A509" s="5"/>
      <c r="B509" s="6" t="str">
        <f>IF(A509="","",VLOOKUP(A509,DB!A:B,2,0))</f>
        <v/>
      </c>
      <c r="C509" s="5"/>
      <c r="D509" s="5"/>
      <c r="E509" s="5"/>
      <c r="F509" s="5"/>
      <c r="G509" s="5"/>
      <c r="H509" s="5"/>
      <c r="I509" s="5" t="str">
        <f>IF(H509="","",VLOOKUP(H509,DB!A:B,2,0))</f>
        <v/>
      </c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>
      <c r="A510" s="5"/>
      <c r="B510" s="6" t="str">
        <f>IF(A510="","",VLOOKUP(A510,DB!A:B,2,0))</f>
        <v/>
      </c>
      <c r="C510" s="5"/>
      <c r="D510" s="5"/>
      <c r="E510" s="5"/>
      <c r="F510" s="5"/>
      <c r="G510" s="5"/>
      <c r="H510" s="5"/>
      <c r="I510" s="5" t="str">
        <f>IF(H510="","",VLOOKUP(H510,DB!A:B,2,0))</f>
        <v/>
      </c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>
      <c r="A511" s="5"/>
      <c r="B511" s="6" t="str">
        <f>IF(A511="","",VLOOKUP(A511,DB!A:B,2,0))</f>
        <v/>
      </c>
      <c r="C511" s="5"/>
      <c r="D511" s="5"/>
      <c r="E511" s="5"/>
      <c r="F511" s="5"/>
      <c r="G511" s="5"/>
      <c r="H511" s="5"/>
      <c r="I511" s="5" t="str">
        <f>IF(H511="","",VLOOKUP(H511,DB!A:B,2,0))</f>
        <v/>
      </c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>
      <c r="A512" s="5"/>
      <c r="B512" s="6" t="str">
        <f>IF(A512="","",VLOOKUP(A512,DB!A:B,2,0))</f>
        <v/>
      </c>
      <c r="C512" s="5"/>
      <c r="D512" s="5"/>
      <c r="E512" s="5"/>
      <c r="F512" s="5"/>
      <c r="G512" s="5"/>
      <c r="H512" s="5"/>
      <c r="I512" s="5" t="str">
        <f>IF(H512="","",VLOOKUP(H512,DB!A:B,2,0))</f>
        <v/>
      </c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>
      <c r="A513" s="5"/>
      <c r="B513" s="6" t="str">
        <f>IF(A513="","",VLOOKUP(A513,DB!A:B,2,0))</f>
        <v/>
      </c>
      <c r="C513" s="5"/>
      <c r="D513" s="5"/>
      <c r="E513" s="5"/>
      <c r="F513" s="5"/>
      <c r="G513" s="5"/>
      <c r="H513" s="5"/>
      <c r="I513" s="5" t="str">
        <f>IF(H513="","",VLOOKUP(H513,DB!A:B,2,0))</f>
        <v/>
      </c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>
      <c r="A514" s="5"/>
      <c r="B514" s="6" t="str">
        <f>IF(A514="","",VLOOKUP(A514,DB!A:B,2,0))</f>
        <v/>
      </c>
      <c r="C514" s="5"/>
      <c r="D514" s="5"/>
      <c r="E514" s="5"/>
      <c r="F514" s="5"/>
      <c r="G514" s="5"/>
      <c r="H514" s="5"/>
      <c r="I514" s="5" t="str">
        <f>IF(H514="","",VLOOKUP(H514,DB!A:B,2,0))</f>
        <v/>
      </c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>
      <c r="A515" s="5"/>
      <c r="B515" s="6" t="str">
        <f>IF(A515="","",VLOOKUP(A515,DB!A:B,2,0))</f>
        <v/>
      </c>
      <c r="C515" s="5"/>
      <c r="D515" s="5"/>
      <c r="E515" s="5"/>
      <c r="F515" s="5"/>
      <c r="G515" s="5"/>
      <c r="H515" s="5"/>
      <c r="I515" s="5" t="str">
        <f>IF(H515="","",VLOOKUP(H515,DB!A:B,2,0))</f>
        <v/>
      </c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>
      <c r="A516" s="5"/>
      <c r="B516" s="6" t="str">
        <f>IF(A516="","",VLOOKUP(A516,DB!A:B,2,0))</f>
        <v/>
      </c>
      <c r="C516" s="5"/>
      <c r="D516" s="5"/>
      <c r="E516" s="5"/>
      <c r="F516" s="5"/>
      <c r="G516" s="5"/>
      <c r="H516" s="5"/>
      <c r="I516" s="5" t="str">
        <f>IF(H516="","",VLOOKUP(H516,DB!A:B,2,0))</f>
        <v/>
      </c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>
      <c r="A517" s="5"/>
      <c r="B517" s="6" t="str">
        <f>IF(A517="","",VLOOKUP(A517,DB!A:B,2,0))</f>
        <v/>
      </c>
      <c r="C517" s="5"/>
      <c r="D517" s="5"/>
      <c r="E517" s="5"/>
      <c r="F517" s="5"/>
      <c r="G517" s="5"/>
      <c r="H517" s="5"/>
      <c r="I517" s="5" t="str">
        <f>IF(H517="","",VLOOKUP(H517,DB!A:B,2,0))</f>
        <v/>
      </c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>
      <c r="A518" s="5"/>
      <c r="B518" s="6" t="str">
        <f>IF(A518="","",VLOOKUP(A518,DB!A:B,2,0))</f>
        <v/>
      </c>
      <c r="C518" s="5"/>
      <c r="D518" s="5"/>
      <c r="E518" s="5"/>
      <c r="F518" s="5"/>
      <c r="G518" s="5"/>
      <c r="H518" s="5"/>
      <c r="I518" s="5" t="str">
        <f>IF(H518="","",VLOOKUP(H518,DB!A:B,2,0))</f>
        <v/>
      </c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>
      <c r="A519" s="5"/>
      <c r="B519" s="6" t="str">
        <f>IF(A519="","",VLOOKUP(A519,DB!A:B,2,0))</f>
        <v/>
      </c>
      <c r="C519" s="5"/>
      <c r="D519" s="5"/>
      <c r="E519" s="5"/>
      <c r="F519" s="5"/>
      <c r="G519" s="5"/>
      <c r="H519" s="5"/>
      <c r="I519" s="5" t="str">
        <f>IF(H519="","",VLOOKUP(H519,DB!A:B,2,0))</f>
        <v/>
      </c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>
      <c r="A520" s="5"/>
      <c r="B520" s="6" t="str">
        <f>IF(A520="","",VLOOKUP(A520,DB!A:B,2,0))</f>
        <v/>
      </c>
      <c r="C520" s="5"/>
      <c r="D520" s="5"/>
      <c r="E520" s="5"/>
      <c r="F520" s="5"/>
      <c r="G520" s="5"/>
      <c r="H520" s="5"/>
      <c r="I520" s="5" t="str">
        <f>IF(H520="","",VLOOKUP(H520,DB!A:B,2,0))</f>
        <v/>
      </c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>
      <c r="A521" s="5"/>
      <c r="B521" s="6" t="str">
        <f>IF(A521="","",VLOOKUP(A521,DB!A:B,2,0))</f>
        <v/>
      </c>
      <c r="C521" s="5"/>
      <c r="D521" s="5"/>
      <c r="E521" s="5"/>
      <c r="F521" s="5"/>
      <c r="G521" s="5"/>
      <c r="H521" s="5"/>
      <c r="I521" s="5" t="str">
        <f>IF(H521="","",VLOOKUP(H521,DB!A:B,2,0))</f>
        <v/>
      </c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>
      <c r="A522" s="5"/>
      <c r="B522" s="6" t="str">
        <f>IF(A522="","",VLOOKUP(A522,DB!A:B,2,0))</f>
        <v/>
      </c>
      <c r="C522" s="5"/>
      <c r="D522" s="5"/>
      <c r="E522" s="5"/>
      <c r="F522" s="5"/>
      <c r="G522" s="5"/>
      <c r="H522" s="5"/>
      <c r="I522" s="5" t="str">
        <f>IF(H522="","",VLOOKUP(H522,DB!A:B,2,0))</f>
        <v/>
      </c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>
      <c r="A523" s="5"/>
      <c r="B523" s="6" t="str">
        <f>IF(A523="","",VLOOKUP(A523,DB!A:B,2,0))</f>
        <v/>
      </c>
      <c r="C523" s="5"/>
      <c r="D523" s="5"/>
      <c r="E523" s="5"/>
      <c r="F523" s="5"/>
      <c r="G523" s="5"/>
      <c r="H523" s="5"/>
      <c r="I523" s="5" t="str">
        <f>IF(H523="","",VLOOKUP(H523,DB!A:B,2,0))</f>
        <v/>
      </c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>
      <c r="A524" s="5"/>
      <c r="B524" s="6" t="str">
        <f>IF(A524="","",VLOOKUP(A524,DB!A:B,2,0))</f>
        <v/>
      </c>
      <c r="C524" s="5"/>
      <c r="D524" s="5"/>
      <c r="E524" s="5"/>
      <c r="F524" s="5"/>
      <c r="G524" s="5"/>
      <c r="H524" s="5"/>
      <c r="I524" s="5" t="str">
        <f>IF(H524="","",VLOOKUP(H524,DB!A:B,2,0))</f>
        <v/>
      </c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>
      <c r="A525" s="5"/>
      <c r="B525" s="6" t="str">
        <f>IF(A525="","",VLOOKUP(A525,DB!A:B,2,0))</f>
        <v/>
      </c>
      <c r="C525" s="5"/>
      <c r="D525" s="5"/>
      <c r="E525" s="5"/>
      <c r="F525" s="5"/>
      <c r="G525" s="5"/>
      <c r="H525" s="5"/>
      <c r="I525" s="5" t="str">
        <f>IF(H525="","",VLOOKUP(H525,DB!A:B,2,0))</f>
        <v/>
      </c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>
      <c r="A526" s="5"/>
      <c r="B526" s="6" t="str">
        <f>IF(A526="","",VLOOKUP(A526,DB!A:B,2,0))</f>
        <v/>
      </c>
      <c r="C526" s="5"/>
      <c r="D526" s="5"/>
      <c r="E526" s="5"/>
      <c r="F526" s="5"/>
      <c r="G526" s="5"/>
      <c r="H526" s="5"/>
      <c r="I526" s="5" t="str">
        <f>IF(H526="","",VLOOKUP(H526,DB!A:B,2,0))</f>
        <v/>
      </c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>
      <c r="A527" s="5"/>
      <c r="B527" s="6" t="str">
        <f>IF(A527="","",VLOOKUP(A527,DB!A:B,2,0))</f>
        <v/>
      </c>
      <c r="C527" s="5"/>
      <c r="D527" s="5"/>
      <c r="E527" s="5"/>
      <c r="F527" s="5"/>
      <c r="G527" s="5"/>
      <c r="H527" s="5"/>
      <c r="I527" s="5" t="str">
        <f>IF(H527="","",VLOOKUP(H527,DB!A:B,2,0))</f>
        <v/>
      </c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>
      <c r="A528" s="5"/>
      <c r="B528" s="6" t="str">
        <f>IF(A528="","",VLOOKUP(A528,DB!A:B,2,0))</f>
        <v/>
      </c>
      <c r="C528" s="5"/>
      <c r="D528" s="5"/>
      <c r="E528" s="5"/>
      <c r="F528" s="5"/>
      <c r="G528" s="5"/>
      <c r="H528" s="5"/>
      <c r="I528" s="5" t="str">
        <f>IF(H528="","",VLOOKUP(H528,DB!A:B,2,0))</f>
        <v/>
      </c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>
      <c r="A529" s="5"/>
      <c r="B529" s="6" t="str">
        <f>IF(A529="","",VLOOKUP(A529,DB!A:B,2,0))</f>
        <v/>
      </c>
      <c r="C529" s="5"/>
      <c r="D529" s="5"/>
      <c r="E529" s="5"/>
      <c r="F529" s="5"/>
      <c r="G529" s="5"/>
      <c r="H529" s="5"/>
      <c r="I529" s="5" t="str">
        <f>IF(H529="","",VLOOKUP(H529,DB!A:B,2,0))</f>
        <v/>
      </c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>
      <c r="A530" s="5"/>
      <c r="B530" s="6" t="str">
        <f>IF(A530="","",VLOOKUP(A530,DB!A:B,2,0))</f>
        <v/>
      </c>
      <c r="C530" s="5"/>
      <c r="D530" s="5"/>
      <c r="E530" s="5"/>
      <c r="F530" s="5"/>
      <c r="G530" s="5"/>
      <c r="H530" s="5"/>
      <c r="I530" s="5" t="str">
        <f>IF(H530="","",VLOOKUP(H530,DB!A:B,2,0))</f>
        <v/>
      </c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>
      <c r="A531" s="5"/>
      <c r="B531" s="6" t="str">
        <f>IF(A531="","",VLOOKUP(A531,DB!A:B,2,0))</f>
        <v/>
      </c>
      <c r="C531" s="5"/>
      <c r="D531" s="5"/>
      <c r="E531" s="5"/>
      <c r="F531" s="5"/>
      <c r="G531" s="5"/>
      <c r="H531" s="5"/>
      <c r="I531" s="5" t="str">
        <f>IF(H531="","",VLOOKUP(H531,DB!A:B,2,0))</f>
        <v/>
      </c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>
      <c r="A532" s="5"/>
      <c r="B532" s="6" t="str">
        <f>IF(A532="","",VLOOKUP(A532,DB!A:B,2,0))</f>
        <v/>
      </c>
      <c r="C532" s="5"/>
      <c r="D532" s="5"/>
      <c r="E532" s="5"/>
      <c r="F532" s="5"/>
      <c r="G532" s="5"/>
      <c r="H532" s="5"/>
      <c r="I532" s="5" t="str">
        <f>IF(H532="","",VLOOKUP(H532,DB!A:B,2,0))</f>
        <v/>
      </c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>
      <c r="A533" s="5"/>
      <c r="B533" s="6" t="str">
        <f>IF(A533="","",VLOOKUP(A533,DB!A:B,2,0))</f>
        <v/>
      </c>
      <c r="C533" s="5"/>
      <c r="D533" s="5"/>
      <c r="E533" s="5"/>
      <c r="F533" s="5"/>
      <c r="G533" s="5"/>
      <c r="H533" s="5"/>
      <c r="I533" s="5" t="str">
        <f>IF(H533="","",VLOOKUP(H533,DB!A:B,2,0))</f>
        <v/>
      </c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>
      <c r="A534" s="5"/>
      <c r="B534" s="6" t="str">
        <f>IF(A534="","",VLOOKUP(A534,DB!A:B,2,0))</f>
        <v/>
      </c>
      <c r="C534" s="5"/>
      <c r="D534" s="5"/>
      <c r="E534" s="5"/>
      <c r="F534" s="5"/>
      <c r="G534" s="5"/>
      <c r="H534" s="5"/>
      <c r="I534" s="5" t="str">
        <f>IF(H534="","",VLOOKUP(H534,DB!A:B,2,0))</f>
        <v/>
      </c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>
      <c r="A535" s="5"/>
      <c r="B535" s="6" t="str">
        <f>IF(A535="","",VLOOKUP(A535,DB!A:B,2,0))</f>
        <v/>
      </c>
      <c r="C535" s="5"/>
      <c r="D535" s="5"/>
      <c r="E535" s="5"/>
      <c r="F535" s="5"/>
      <c r="G535" s="5"/>
      <c r="H535" s="5"/>
      <c r="I535" s="5" t="str">
        <f>IF(H535="","",VLOOKUP(H535,DB!A:B,2,0))</f>
        <v/>
      </c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>
      <c r="A536" s="5"/>
      <c r="B536" s="6" t="str">
        <f>IF(A536="","",VLOOKUP(A536,DB!A:B,2,0))</f>
        <v/>
      </c>
      <c r="C536" s="5"/>
      <c r="D536" s="5"/>
      <c r="E536" s="5"/>
      <c r="F536" s="5"/>
      <c r="G536" s="5"/>
      <c r="H536" s="5"/>
      <c r="I536" s="5" t="str">
        <f>IF(H536="","",VLOOKUP(H536,DB!A:B,2,0))</f>
        <v/>
      </c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>
      <c r="A537" s="5"/>
      <c r="B537" s="6" t="str">
        <f>IF(A537="","",VLOOKUP(A537,DB!A:B,2,0))</f>
        <v/>
      </c>
      <c r="C537" s="5"/>
      <c r="D537" s="5"/>
      <c r="E537" s="5"/>
      <c r="F537" s="5"/>
      <c r="G537" s="5"/>
      <c r="H537" s="5"/>
      <c r="I537" s="5" t="str">
        <f>IF(H537="","",VLOOKUP(H537,DB!A:B,2,0))</f>
        <v/>
      </c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>
      <c r="A538" s="5"/>
      <c r="B538" s="6" t="str">
        <f>IF(A538="","",VLOOKUP(A538,DB!A:B,2,0))</f>
        <v/>
      </c>
      <c r="C538" s="5"/>
      <c r="D538" s="5"/>
      <c r="E538" s="5"/>
      <c r="F538" s="5"/>
      <c r="G538" s="5"/>
      <c r="H538" s="5"/>
      <c r="I538" s="5" t="str">
        <f>IF(H538="","",VLOOKUP(H538,DB!A:B,2,0))</f>
        <v/>
      </c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>
      <c r="A539" s="5"/>
      <c r="B539" s="6" t="str">
        <f>IF(A539="","",VLOOKUP(A539,DB!A:B,2,0))</f>
        <v/>
      </c>
      <c r="C539" s="5"/>
      <c r="D539" s="5"/>
      <c r="E539" s="5"/>
      <c r="F539" s="5"/>
      <c r="G539" s="5"/>
      <c r="H539" s="5"/>
      <c r="I539" s="5" t="str">
        <f>IF(H539="","",VLOOKUP(H539,DB!A:B,2,0))</f>
        <v/>
      </c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>
      <c r="A540" s="5"/>
      <c r="B540" s="6" t="str">
        <f>IF(A540="","",VLOOKUP(A540,DB!A:B,2,0))</f>
        <v/>
      </c>
      <c r="C540" s="5"/>
      <c r="D540" s="5"/>
      <c r="E540" s="5"/>
      <c r="F540" s="5"/>
      <c r="G540" s="5"/>
      <c r="H540" s="5"/>
      <c r="I540" s="5" t="str">
        <f>IF(H540="","",VLOOKUP(H540,DB!A:B,2,0))</f>
        <v/>
      </c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>
      <c r="A541" s="5"/>
      <c r="B541" s="6" t="str">
        <f>IF(A541="","",VLOOKUP(A541,DB!A:B,2,0))</f>
        <v/>
      </c>
      <c r="C541" s="5"/>
      <c r="D541" s="5"/>
      <c r="E541" s="5"/>
      <c r="F541" s="5"/>
      <c r="G541" s="5"/>
      <c r="H541" s="5"/>
      <c r="I541" s="5" t="str">
        <f>IF(H541="","",VLOOKUP(H541,DB!A:B,2,0))</f>
        <v/>
      </c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>
      <c r="A542" s="5"/>
      <c r="B542" s="6" t="str">
        <f>IF(A542="","",VLOOKUP(A542,DB!A:B,2,0))</f>
        <v/>
      </c>
      <c r="C542" s="5"/>
      <c r="D542" s="5"/>
      <c r="E542" s="5"/>
      <c r="F542" s="5"/>
      <c r="G542" s="5"/>
      <c r="H542" s="5"/>
      <c r="I542" s="5" t="str">
        <f>IF(H542="","",VLOOKUP(H542,DB!A:B,2,0))</f>
        <v/>
      </c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>
      <c r="A543" s="5"/>
      <c r="B543" s="6" t="str">
        <f>IF(A543="","",VLOOKUP(A543,DB!A:B,2,0))</f>
        <v/>
      </c>
      <c r="C543" s="5"/>
      <c r="D543" s="5"/>
      <c r="E543" s="5"/>
      <c r="F543" s="5"/>
      <c r="G543" s="5"/>
      <c r="H543" s="5"/>
      <c r="I543" s="5" t="str">
        <f>IF(H543="","",VLOOKUP(H543,DB!A:B,2,0))</f>
        <v/>
      </c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>
      <c r="A544" s="5"/>
      <c r="B544" s="6" t="str">
        <f>IF(A544="","",VLOOKUP(A544,DB!A:B,2,0))</f>
        <v/>
      </c>
      <c r="C544" s="5"/>
      <c r="D544" s="5"/>
      <c r="E544" s="5"/>
      <c r="F544" s="5"/>
      <c r="G544" s="5"/>
      <c r="H544" s="5"/>
      <c r="I544" s="5" t="str">
        <f>IF(H544="","",VLOOKUP(H544,DB!A:B,2,0))</f>
        <v/>
      </c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>
      <c r="A545" s="5"/>
      <c r="B545" s="6" t="str">
        <f>IF(A545="","",VLOOKUP(A545,DB!A:B,2,0))</f>
        <v/>
      </c>
      <c r="C545" s="5"/>
      <c r="D545" s="5"/>
      <c r="E545" s="5"/>
      <c r="F545" s="5"/>
      <c r="G545" s="5"/>
      <c r="H545" s="5"/>
      <c r="I545" s="5" t="str">
        <f>IF(H545="","",VLOOKUP(H545,DB!A:B,2,0))</f>
        <v/>
      </c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>
      <c r="A546" s="5"/>
      <c r="B546" s="6" t="str">
        <f>IF(A546="","",VLOOKUP(A546,DB!A:B,2,0))</f>
        <v/>
      </c>
      <c r="C546" s="5"/>
      <c r="D546" s="5"/>
      <c r="E546" s="5"/>
      <c r="F546" s="5"/>
      <c r="G546" s="5"/>
      <c r="H546" s="5"/>
      <c r="I546" s="5" t="str">
        <f>IF(H546="","",VLOOKUP(H546,DB!A:B,2,0))</f>
        <v/>
      </c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>
      <c r="A547" s="5"/>
      <c r="B547" s="6" t="str">
        <f>IF(A547="","",VLOOKUP(A547,DB!A:B,2,0))</f>
        <v/>
      </c>
      <c r="C547" s="5"/>
      <c r="D547" s="5"/>
      <c r="E547" s="5"/>
      <c r="F547" s="5"/>
      <c r="G547" s="5"/>
      <c r="H547" s="5"/>
      <c r="I547" s="5" t="str">
        <f>IF(H547="","",VLOOKUP(H547,DB!A:B,2,0))</f>
        <v/>
      </c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>
      <c r="A548" s="5"/>
      <c r="B548" s="6" t="str">
        <f>IF(A548="","",VLOOKUP(A548,DB!A:B,2,0))</f>
        <v/>
      </c>
      <c r="C548" s="5"/>
      <c r="D548" s="5"/>
      <c r="E548" s="5"/>
      <c r="F548" s="5"/>
      <c r="G548" s="5"/>
      <c r="H548" s="5"/>
      <c r="I548" s="5" t="str">
        <f>IF(H548="","",VLOOKUP(H548,DB!A:B,2,0))</f>
        <v/>
      </c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>
      <c r="A549" s="5"/>
      <c r="B549" s="6" t="str">
        <f>IF(A549="","",VLOOKUP(A549,DB!A:B,2,0))</f>
        <v/>
      </c>
      <c r="C549" s="5"/>
      <c r="D549" s="5"/>
      <c r="E549" s="5"/>
      <c r="F549" s="5"/>
      <c r="G549" s="5"/>
      <c r="H549" s="5"/>
      <c r="I549" s="5" t="str">
        <f>IF(H549="","",VLOOKUP(H549,DB!A:B,2,0))</f>
        <v/>
      </c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>
      <c r="A550" s="5"/>
      <c r="B550" s="6" t="str">
        <f>IF(A550="","",VLOOKUP(A550,DB!A:B,2,0))</f>
        <v/>
      </c>
      <c r="C550" s="5"/>
      <c r="D550" s="5"/>
      <c r="E550" s="5"/>
      <c r="F550" s="5"/>
      <c r="G550" s="5"/>
      <c r="H550" s="5"/>
      <c r="I550" s="5" t="str">
        <f>IF(H550="","",VLOOKUP(H550,DB!A:B,2,0))</f>
        <v/>
      </c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>
      <c r="A551" s="5"/>
      <c r="B551" s="6" t="str">
        <f>IF(A551="","",VLOOKUP(A551,DB!A:B,2,0))</f>
        <v/>
      </c>
      <c r="C551" s="5"/>
      <c r="D551" s="5"/>
      <c r="E551" s="5"/>
      <c r="F551" s="5"/>
      <c r="G551" s="5"/>
      <c r="H551" s="5"/>
      <c r="I551" s="5" t="str">
        <f>IF(H551="","",VLOOKUP(H551,DB!A:B,2,0))</f>
        <v/>
      </c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>
      <c r="A552" s="5"/>
      <c r="B552" s="6" t="str">
        <f>IF(A552="","",VLOOKUP(A552,DB!A:B,2,0))</f>
        <v/>
      </c>
      <c r="C552" s="5"/>
      <c r="D552" s="5"/>
      <c r="E552" s="5"/>
      <c r="F552" s="5"/>
      <c r="G552" s="5"/>
      <c r="H552" s="5"/>
      <c r="I552" s="5" t="str">
        <f>IF(H552="","",VLOOKUP(H552,DB!A:B,2,0))</f>
        <v/>
      </c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>
      <c r="A553" s="5"/>
      <c r="B553" s="6" t="str">
        <f>IF(A553="","",VLOOKUP(A553,DB!A:B,2,0))</f>
        <v/>
      </c>
      <c r="C553" s="5"/>
      <c r="D553" s="5"/>
      <c r="E553" s="5"/>
      <c r="F553" s="5"/>
      <c r="G553" s="5"/>
      <c r="H553" s="5"/>
      <c r="I553" s="5" t="str">
        <f>IF(H553="","",VLOOKUP(H553,DB!A:B,2,0))</f>
        <v/>
      </c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>
      <c r="A554" s="5"/>
      <c r="B554" s="6" t="str">
        <f>IF(A554="","",VLOOKUP(A554,DB!A:B,2,0))</f>
        <v/>
      </c>
      <c r="C554" s="5"/>
      <c r="D554" s="5"/>
      <c r="E554" s="5"/>
      <c r="F554" s="5"/>
      <c r="G554" s="5"/>
      <c r="H554" s="5"/>
      <c r="I554" s="5" t="str">
        <f>IF(H554="","",VLOOKUP(H554,DB!A:B,2,0))</f>
        <v/>
      </c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>
      <c r="A555" s="5"/>
      <c r="B555" s="6" t="str">
        <f>IF(A555="","",VLOOKUP(A555,DB!A:B,2,0))</f>
        <v/>
      </c>
      <c r="C555" s="5"/>
      <c r="D555" s="5"/>
      <c r="E555" s="5"/>
      <c r="F555" s="5"/>
      <c r="G555" s="5"/>
      <c r="H555" s="5"/>
      <c r="I555" s="5" t="str">
        <f>IF(H555="","",VLOOKUP(H555,DB!A:B,2,0))</f>
        <v/>
      </c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>
      <c r="A556" s="5"/>
      <c r="B556" s="6" t="str">
        <f>IF(A556="","",VLOOKUP(A556,DB!A:B,2,0))</f>
        <v/>
      </c>
      <c r="C556" s="5"/>
      <c r="D556" s="5"/>
      <c r="E556" s="5"/>
      <c r="F556" s="5"/>
      <c r="G556" s="5"/>
      <c r="H556" s="5"/>
      <c r="I556" s="5" t="str">
        <f>IF(H556="","",VLOOKUP(H556,DB!A:B,2,0))</f>
        <v/>
      </c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>
      <c r="A557" s="5"/>
      <c r="B557" s="6" t="str">
        <f>IF(A557="","",VLOOKUP(A557,DB!A:B,2,0))</f>
        <v/>
      </c>
      <c r="C557" s="5"/>
      <c r="D557" s="5"/>
      <c r="E557" s="5"/>
      <c r="F557" s="5"/>
      <c r="G557" s="5"/>
      <c r="H557" s="5"/>
      <c r="I557" s="5" t="str">
        <f>IF(H557="","",VLOOKUP(H557,DB!A:B,2,0))</f>
        <v/>
      </c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>
      <c r="A558" s="5"/>
      <c r="B558" s="6" t="str">
        <f>IF(A558="","",VLOOKUP(A558,DB!A:B,2,0))</f>
        <v/>
      </c>
      <c r="C558" s="5"/>
      <c r="D558" s="5"/>
      <c r="E558" s="5"/>
      <c r="F558" s="5"/>
      <c r="G558" s="5"/>
      <c r="H558" s="5"/>
      <c r="I558" s="5" t="str">
        <f>IF(H558="","",VLOOKUP(H558,DB!A:B,2,0))</f>
        <v/>
      </c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>
      <c r="A559" s="5"/>
      <c r="B559" s="6" t="str">
        <f>IF(A559="","",VLOOKUP(A559,DB!A:B,2,0))</f>
        <v/>
      </c>
      <c r="C559" s="5"/>
      <c r="D559" s="5"/>
      <c r="E559" s="5"/>
      <c r="F559" s="5"/>
      <c r="G559" s="5"/>
      <c r="H559" s="5"/>
      <c r="I559" s="5" t="str">
        <f>IF(H559="","",VLOOKUP(H559,DB!A:B,2,0))</f>
        <v/>
      </c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>
      <c r="A560" s="5"/>
      <c r="B560" s="6" t="str">
        <f>IF(A560="","",VLOOKUP(A560,DB!A:B,2,0))</f>
        <v/>
      </c>
      <c r="C560" s="5"/>
      <c r="D560" s="5"/>
      <c r="E560" s="5"/>
      <c r="F560" s="5"/>
      <c r="G560" s="5"/>
      <c r="H560" s="5"/>
      <c r="I560" s="5" t="str">
        <f>IF(H560="","",VLOOKUP(H560,DB!A:B,2,0))</f>
        <v/>
      </c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>
      <c r="A561" s="5"/>
      <c r="B561" s="6" t="str">
        <f>IF(A561="","",VLOOKUP(A561,DB!A:B,2,0))</f>
        <v/>
      </c>
      <c r="C561" s="5"/>
      <c r="D561" s="5"/>
      <c r="E561" s="5"/>
      <c r="F561" s="5"/>
      <c r="G561" s="5"/>
      <c r="H561" s="5"/>
      <c r="I561" s="5" t="str">
        <f>IF(H561="","",VLOOKUP(H561,DB!A:B,2,0))</f>
        <v/>
      </c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>
      <c r="A562" s="5"/>
      <c r="B562" s="6" t="str">
        <f>IF(A562="","",VLOOKUP(A562,DB!A:B,2,0))</f>
        <v/>
      </c>
      <c r="C562" s="5"/>
      <c r="D562" s="5"/>
      <c r="E562" s="5"/>
      <c r="F562" s="5"/>
      <c r="G562" s="5"/>
      <c r="H562" s="5"/>
      <c r="I562" s="5" t="str">
        <f>IF(H562="","",VLOOKUP(H562,DB!A:B,2,0))</f>
        <v/>
      </c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>
      <c r="A563" s="5"/>
      <c r="B563" s="6" t="str">
        <f>IF(A563="","",VLOOKUP(A563,DB!A:B,2,0))</f>
        <v/>
      </c>
      <c r="C563" s="5"/>
      <c r="D563" s="5"/>
      <c r="E563" s="5"/>
      <c r="F563" s="5"/>
      <c r="G563" s="5"/>
      <c r="H563" s="5"/>
      <c r="I563" s="5" t="str">
        <f>IF(H563="","",VLOOKUP(H563,DB!A:B,2,0))</f>
        <v/>
      </c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>
      <c r="A564" s="5"/>
      <c r="B564" s="6" t="str">
        <f>IF(A564="","",VLOOKUP(A564,DB!A:B,2,0))</f>
        <v/>
      </c>
      <c r="C564" s="5"/>
      <c r="D564" s="5"/>
      <c r="E564" s="5"/>
      <c r="F564" s="5"/>
      <c r="G564" s="5"/>
      <c r="H564" s="5"/>
      <c r="I564" s="5" t="str">
        <f>IF(H564="","",VLOOKUP(H564,DB!A:B,2,0))</f>
        <v/>
      </c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>
      <c r="A565" s="5"/>
      <c r="B565" s="6" t="str">
        <f>IF(A565="","",VLOOKUP(A565,DB!A:B,2,0))</f>
        <v/>
      </c>
      <c r="C565" s="5"/>
      <c r="D565" s="5"/>
      <c r="E565" s="5"/>
      <c r="F565" s="5"/>
      <c r="G565" s="5"/>
      <c r="H565" s="5"/>
      <c r="I565" s="5" t="str">
        <f>IF(H565="","",VLOOKUP(H565,DB!A:B,2,0))</f>
        <v/>
      </c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>
      <c r="A566" s="5"/>
      <c r="B566" s="6" t="str">
        <f>IF(A566="","",VLOOKUP(A566,DB!A:B,2,0))</f>
        <v/>
      </c>
      <c r="C566" s="5"/>
      <c r="D566" s="5"/>
      <c r="E566" s="5"/>
      <c r="F566" s="5"/>
      <c r="G566" s="5"/>
      <c r="H566" s="5"/>
      <c r="I566" s="5" t="str">
        <f>IF(H566="","",VLOOKUP(H566,DB!A:B,2,0))</f>
        <v/>
      </c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>
      <c r="A567" s="5"/>
      <c r="B567" s="6" t="str">
        <f>IF(A567="","",VLOOKUP(A567,DB!A:B,2,0))</f>
        <v/>
      </c>
      <c r="C567" s="5"/>
      <c r="D567" s="5"/>
      <c r="E567" s="5"/>
      <c r="F567" s="5"/>
      <c r="G567" s="5"/>
      <c r="H567" s="5"/>
      <c r="I567" s="5" t="str">
        <f>IF(H567="","",VLOOKUP(H567,DB!A:B,2,0))</f>
        <v/>
      </c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>
      <c r="A568" s="5"/>
      <c r="B568" s="6" t="str">
        <f>IF(A568="","",VLOOKUP(A568,DB!A:B,2,0))</f>
        <v/>
      </c>
      <c r="C568" s="5"/>
      <c r="D568" s="5"/>
      <c r="E568" s="5"/>
      <c r="F568" s="5"/>
      <c r="G568" s="5"/>
      <c r="H568" s="5"/>
      <c r="I568" s="5" t="str">
        <f>IF(H568="","",VLOOKUP(H568,DB!A:B,2,0))</f>
        <v/>
      </c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>
      <c r="A569" s="5"/>
      <c r="B569" s="6" t="str">
        <f>IF(A569="","",VLOOKUP(A569,DB!A:B,2,0))</f>
        <v/>
      </c>
      <c r="C569" s="5"/>
      <c r="D569" s="5"/>
      <c r="E569" s="5"/>
      <c r="F569" s="5"/>
      <c r="G569" s="5"/>
      <c r="H569" s="5"/>
      <c r="I569" s="5" t="str">
        <f>IF(H569="","",VLOOKUP(H569,DB!A:B,2,0))</f>
        <v/>
      </c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>
      <c r="A570" s="5"/>
      <c r="B570" s="6" t="str">
        <f>IF(A570="","",VLOOKUP(A570,DB!A:B,2,0))</f>
        <v/>
      </c>
      <c r="C570" s="5"/>
      <c r="D570" s="5"/>
      <c r="E570" s="5"/>
      <c r="F570" s="5"/>
      <c r="G570" s="5"/>
      <c r="H570" s="5"/>
      <c r="I570" s="5" t="str">
        <f>IF(H570="","",VLOOKUP(H570,DB!A:B,2,0))</f>
        <v/>
      </c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>
      <c r="A571" s="5"/>
      <c r="B571" s="6" t="str">
        <f>IF(A571="","",VLOOKUP(A571,DB!A:B,2,0))</f>
        <v/>
      </c>
      <c r="C571" s="5"/>
      <c r="D571" s="5"/>
      <c r="E571" s="5"/>
      <c r="F571" s="5"/>
      <c r="G571" s="5"/>
      <c r="H571" s="5"/>
      <c r="I571" s="5" t="str">
        <f>IF(H571="","",VLOOKUP(H571,DB!A:B,2,0))</f>
        <v/>
      </c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>
      <c r="A572" s="5"/>
      <c r="B572" s="6" t="str">
        <f>IF(A572="","",VLOOKUP(A572,DB!A:B,2,0))</f>
        <v/>
      </c>
      <c r="C572" s="5"/>
      <c r="D572" s="5"/>
      <c r="E572" s="5"/>
      <c r="F572" s="5"/>
      <c r="G572" s="5"/>
      <c r="H572" s="5"/>
      <c r="I572" s="5" t="str">
        <f>IF(H572="","",VLOOKUP(H572,DB!A:B,2,0))</f>
        <v/>
      </c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>
      <c r="A573" s="5"/>
      <c r="B573" s="6" t="str">
        <f>IF(A573="","",VLOOKUP(A573,DB!A:B,2,0))</f>
        <v/>
      </c>
      <c r="C573" s="5"/>
      <c r="D573" s="5"/>
      <c r="E573" s="5"/>
      <c r="F573" s="5"/>
      <c r="G573" s="5"/>
      <c r="H573" s="5"/>
      <c r="I573" s="5" t="str">
        <f>IF(H573="","",VLOOKUP(H573,DB!A:B,2,0))</f>
        <v/>
      </c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>
      <c r="A574" s="5"/>
      <c r="B574" s="6" t="str">
        <f>IF(A574="","",VLOOKUP(A574,DB!A:B,2,0))</f>
        <v/>
      </c>
      <c r="C574" s="5"/>
      <c r="D574" s="5"/>
      <c r="E574" s="5"/>
      <c r="F574" s="5"/>
      <c r="G574" s="5"/>
      <c r="H574" s="5"/>
      <c r="I574" s="5" t="str">
        <f>IF(H574="","",VLOOKUP(H574,DB!A:B,2,0))</f>
        <v/>
      </c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>
      <c r="A575" s="5"/>
      <c r="B575" s="6" t="str">
        <f>IF(A575="","",VLOOKUP(A575,DB!A:B,2,0))</f>
        <v/>
      </c>
      <c r="C575" s="5"/>
      <c r="D575" s="5"/>
      <c r="E575" s="5"/>
      <c r="F575" s="5"/>
      <c r="G575" s="5"/>
      <c r="H575" s="5"/>
      <c r="I575" s="5" t="str">
        <f>IF(H575="","",VLOOKUP(H575,DB!A:B,2,0))</f>
        <v/>
      </c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>
      <c r="A576" s="5"/>
      <c r="B576" s="6" t="str">
        <f>IF(A576="","",VLOOKUP(A576,DB!A:B,2,0))</f>
        <v/>
      </c>
      <c r="C576" s="5"/>
      <c r="D576" s="5"/>
      <c r="E576" s="5"/>
      <c r="F576" s="5"/>
      <c r="G576" s="5"/>
      <c r="H576" s="5"/>
      <c r="I576" s="5" t="str">
        <f>IF(H576="","",VLOOKUP(H576,DB!A:B,2,0))</f>
        <v/>
      </c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>
      <c r="A577" s="5"/>
      <c r="B577" s="6" t="str">
        <f>IF(A577="","",VLOOKUP(A577,DB!A:B,2,0))</f>
        <v/>
      </c>
      <c r="C577" s="5"/>
      <c r="D577" s="5"/>
      <c r="E577" s="5"/>
      <c r="F577" s="5"/>
      <c r="G577" s="5"/>
      <c r="H577" s="5"/>
      <c r="I577" s="5" t="str">
        <f>IF(H577="","",VLOOKUP(H577,DB!A:B,2,0))</f>
        <v/>
      </c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>
      <c r="A578" s="5"/>
      <c r="B578" s="6" t="str">
        <f>IF(A578="","",VLOOKUP(A578,DB!A:B,2,0))</f>
        <v/>
      </c>
      <c r="C578" s="5"/>
      <c r="D578" s="5"/>
      <c r="E578" s="5"/>
      <c r="F578" s="5"/>
      <c r="G578" s="5"/>
      <c r="H578" s="5"/>
      <c r="I578" s="5" t="str">
        <f>IF(H578="","",VLOOKUP(H578,DB!A:B,2,0))</f>
        <v/>
      </c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>
      <c r="A579" s="5"/>
      <c r="B579" s="6" t="str">
        <f>IF(A579="","",VLOOKUP(A579,DB!A:B,2,0))</f>
        <v/>
      </c>
      <c r="C579" s="5"/>
      <c r="D579" s="5"/>
      <c r="E579" s="5"/>
      <c r="F579" s="5"/>
      <c r="G579" s="5"/>
      <c r="H579" s="5"/>
      <c r="I579" s="5" t="str">
        <f>IF(H579="","",VLOOKUP(H579,DB!A:B,2,0))</f>
        <v/>
      </c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>
      <c r="A580" s="5"/>
      <c r="B580" s="6" t="str">
        <f>IF(A580="","",VLOOKUP(A580,DB!A:B,2,0))</f>
        <v/>
      </c>
      <c r="C580" s="5"/>
      <c r="D580" s="5"/>
      <c r="E580" s="5"/>
      <c r="F580" s="5"/>
      <c r="G580" s="5"/>
      <c r="H580" s="5"/>
      <c r="I580" s="5" t="str">
        <f>IF(H580="","",VLOOKUP(H580,DB!A:B,2,0))</f>
        <v/>
      </c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>
      <c r="A581" s="5"/>
      <c r="B581" s="6" t="str">
        <f>IF(A581="","",VLOOKUP(A581,DB!A:B,2,0))</f>
        <v/>
      </c>
      <c r="C581" s="5"/>
      <c r="D581" s="5"/>
      <c r="E581" s="5"/>
      <c r="F581" s="5"/>
      <c r="G581" s="5"/>
      <c r="H581" s="5"/>
      <c r="I581" s="5" t="str">
        <f>IF(H581="","",VLOOKUP(H581,DB!A:B,2,0))</f>
        <v/>
      </c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>
      <c r="A582" s="5"/>
      <c r="B582" s="6" t="str">
        <f>IF(A582="","",VLOOKUP(A582,DB!A:B,2,0))</f>
        <v/>
      </c>
      <c r="C582" s="5"/>
      <c r="D582" s="5"/>
      <c r="E582" s="5"/>
      <c r="F582" s="5"/>
      <c r="G582" s="5"/>
      <c r="H582" s="5"/>
      <c r="I582" s="5" t="str">
        <f>IF(H582="","",VLOOKUP(H582,DB!A:B,2,0))</f>
        <v/>
      </c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>
      <c r="A583" s="5"/>
      <c r="B583" s="6" t="str">
        <f>IF(A583="","",VLOOKUP(A583,DB!A:B,2,0))</f>
        <v/>
      </c>
      <c r="C583" s="5"/>
      <c r="D583" s="5"/>
      <c r="E583" s="5"/>
      <c r="F583" s="5"/>
      <c r="G583" s="5"/>
      <c r="H583" s="5"/>
      <c r="I583" s="5" t="str">
        <f>IF(H583="","",VLOOKUP(H583,DB!A:B,2,0))</f>
        <v/>
      </c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>
      <c r="A584" s="5"/>
      <c r="B584" s="6" t="str">
        <f>IF(A584="","",VLOOKUP(A584,DB!A:B,2,0))</f>
        <v/>
      </c>
      <c r="C584" s="5"/>
      <c r="D584" s="5"/>
      <c r="E584" s="5"/>
      <c r="F584" s="5"/>
      <c r="G584" s="5"/>
      <c r="H584" s="5"/>
      <c r="I584" s="5" t="str">
        <f>IF(H584="","",VLOOKUP(H584,DB!A:B,2,0))</f>
        <v/>
      </c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>
      <c r="A585" s="5"/>
      <c r="B585" s="6" t="str">
        <f>IF(A585="","",VLOOKUP(A585,DB!A:B,2,0))</f>
        <v/>
      </c>
      <c r="C585" s="5"/>
      <c r="D585" s="5"/>
      <c r="E585" s="5"/>
      <c r="F585" s="5"/>
      <c r="G585" s="5"/>
      <c r="H585" s="5"/>
      <c r="I585" s="5" t="str">
        <f>IF(H585="","",VLOOKUP(H585,DB!A:B,2,0))</f>
        <v/>
      </c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>
      <c r="A586" s="5"/>
      <c r="B586" s="6" t="str">
        <f>IF(A586="","",VLOOKUP(A586,DB!A:B,2,0))</f>
        <v/>
      </c>
      <c r="C586" s="5"/>
      <c r="D586" s="5"/>
      <c r="E586" s="5"/>
      <c r="F586" s="5"/>
      <c r="G586" s="5"/>
      <c r="H586" s="5"/>
      <c r="I586" s="5" t="str">
        <f>IF(H586="","",VLOOKUP(H586,DB!A:B,2,0))</f>
        <v/>
      </c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>
      <c r="A587" s="5"/>
      <c r="B587" s="6" t="str">
        <f>IF(A587="","",VLOOKUP(A587,DB!A:B,2,0))</f>
        <v/>
      </c>
      <c r="C587" s="5"/>
      <c r="D587" s="5"/>
      <c r="E587" s="5"/>
      <c r="F587" s="5"/>
      <c r="G587" s="5"/>
      <c r="H587" s="5"/>
      <c r="I587" s="5" t="str">
        <f>IF(H587="","",VLOOKUP(H587,DB!A:B,2,0))</f>
        <v/>
      </c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>
      <c r="A588" s="5"/>
      <c r="B588" s="6" t="str">
        <f>IF(A588="","",VLOOKUP(A588,DB!A:B,2,0))</f>
        <v/>
      </c>
      <c r="C588" s="5"/>
      <c r="D588" s="5"/>
      <c r="E588" s="5"/>
      <c r="F588" s="5"/>
      <c r="G588" s="5"/>
      <c r="H588" s="5"/>
      <c r="I588" s="5" t="str">
        <f>IF(H588="","",VLOOKUP(H588,DB!A:B,2,0))</f>
        <v/>
      </c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>
      <c r="A589" s="5"/>
      <c r="B589" s="6" t="str">
        <f>IF(A589="","",VLOOKUP(A589,DB!A:B,2,0))</f>
        <v/>
      </c>
      <c r="C589" s="5"/>
      <c r="D589" s="5"/>
      <c r="E589" s="5"/>
      <c r="F589" s="5"/>
      <c r="G589" s="5"/>
      <c r="H589" s="5"/>
      <c r="I589" s="5" t="str">
        <f>IF(H589="","",VLOOKUP(H589,DB!A:B,2,0))</f>
        <v/>
      </c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>
      <c r="A590" s="5"/>
      <c r="B590" s="6" t="str">
        <f>IF(A590="","",VLOOKUP(A590,DB!A:B,2,0))</f>
        <v/>
      </c>
      <c r="C590" s="5"/>
      <c r="D590" s="5"/>
      <c r="E590" s="5"/>
      <c r="F590" s="5"/>
      <c r="G590" s="5"/>
      <c r="H590" s="5"/>
      <c r="I590" s="5" t="str">
        <f>IF(H590="","",VLOOKUP(H590,DB!A:B,2,0))</f>
        <v/>
      </c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>
      <c r="A591" s="5"/>
      <c r="B591" s="6" t="str">
        <f>IF(A591="","",VLOOKUP(A591,DB!A:B,2,0))</f>
        <v/>
      </c>
      <c r="C591" s="5"/>
      <c r="D591" s="5"/>
      <c r="E591" s="5"/>
      <c r="F591" s="5"/>
      <c r="G591" s="5"/>
      <c r="H591" s="5"/>
      <c r="I591" s="5" t="str">
        <f>IF(H591="","",VLOOKUP(H591,DB!A:B,2,0))</f>
        <v/>
      </c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>
      <c r="A592" s="5"/>
      <c r="B592" s="6" t="str">
        <f>IF(A592="","",VLOOKUP(A592,DB!A:B,2,0))</f>
        <v/>
      </c>
      <c r="C592" s="5"/>
      <c r="D592" s="5"/>
      <c r="E592" s="5"/>
      <c r="F592" s="5"/>
      <c r="G592" s="5"/>
      <c r="H592" s="5"/>
      <c r="I592" s="5" t="str">
        <f>IF(H592="","",VLOOKUP(H592,DB!A:B,2,0))</f>
        <v/>
      </c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>
      <c r="A593" s="5"/>
      <c r="B593" s="6" t="str">
        <f>IF(A593="","",VLOOKUP(A593,DB!A:B,2,0))</f>
        <v/>
      </c>
      <c r="C593" s="5"/>
      <c r="D593" s="5"/>
      <c r="E593" s="5"/>
      <c r="F593" s="5"/>
      <c r="G593" s="5"/>
      <c r="H593" s="5"/>
      <c r="I593" s="5" t="str">
        <f>IF(H593="","",VLOOKUP(H593,DB!A:B,2,0))</f>
        <v/>
      </c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>
      <c r="A594" s="5"/>
      <c r="B594" s="6" t="str">
        <f>IF(A594="","",VLOOKUP(A594,DB!A:B,2,0))</f>
        <v/>
      </c>
      <c r="C594" s="5"/>
      <c r="D594" s="5"/>
      <c r="E594" s="5"/>
      <c r="F594" s="5"/>
      <c r="G594" s="5"/>
      <c r="H594" s="5"/>
      <c r="I594" s="5" t="str">
        <f>IF(H594="","",VLOOKUP(H594,DB!A:B,2,0))</f>
        <v/>
      </c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>
      <c r="A595" s="5"/>
      <c r="B595" s="6" t="str">
        <f>IF(A595="","",VLOOKUP(A595,DB!A:B,2,0))</f>
        <v/>
      </c>
      <c r="C595" s="5"/>
      <c r="D595" s="5"/>
      <c r="E595" s="5"/>
      <c r="F595" s="5"/>
      <c r="G595" s="5"/>
      <c r="H595" s="5"/>
      <c r="I595" s="5" t="str">
        <f>IF(H595="","",VLOOKUP(H595,DB!A:B,2,0))</f>
        <v/>
      </c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>
      <c r="A596" s="5"/>
      <c r="B596" s="6" t="str">
        <f>IF(A596="","",VLOOKUP(A596,DB!A:B,2,0))</f>
        <v/>
      </c>
      <c r="C596" s="5"/>
      <c r="D596" s="5"/>
      <c r="E596" s="5"/>
      <c r="F596" s="5"/>
      <c r="G596" s="5"/>
      <c r="H596" s="5"/>
      <c r="I596" s="5" t="str">
        <f>IF(H596="","",VLOOKUP(H596,DB!A:B,2,0))</f>
        <v/>
      </c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>
      <c r="A597" s="5"/>
      <c r="B597" s="6" t="str">
        <f>IF(A597="","",VLOOKUP(A597,DB!A:B,2,0))</f>
        <v/>
      </c>
      <c r="C597" s="5"/>
      <c r="D597" s="5"/>
      <c r="E597" s="5"/>
      <c r="F597" s="5"/>
      <c r="G597" s="5"/>
      <c r="H597" s="5"/>
      <c r="I597" s="5" t="str">
        <f>IF(H597="","",VLOOKUP(H597,DB!A:B,2,0))</f>
        <v/>
      </c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>
      <c r="A598" s="5"/>
      <c r="B598" s="6" t="str">
        <f>IF(A598="","",VLOOKUP(A598,DB!A:B,2,0))</f>
        <v/>
      </c>
      <c r="C598" s="5"/>
      <c r="D598" s="5"/>
      <c r="E598" s="5"/>
      <c r="F598" s="5"/>
      <c r="G598" s="5"/>
      <c r="H598" s="5"/>
      <c r="I598" s="5" t="str">
        <f>IF(H598="","",VLOOKUP(H598,DB!A:B,2,0))</f>
        <v/>
      </c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>
      <c r="A599" s="5"/>
      <c r="B599" s="6" t="str">
        <f>IF(A599="","",VLOOKUP(A599,DB!A:B,2,0))</f>
        <v/>
      </c>
      <c r="C599" s="5"/>
      <c r="D599" s="5"/>
      <c r="E599" s="5"/>
      <c r="F599" s="5"/>
      <c r="G599" s="5"/>
      <c r="H599" s="5"/>
      <c r="I599" s="5" t="str">
        <f>IF(H599="","",VLOOKUP(H599,DB!A:B,2,0))</f>
        <v/>
      </c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>
      <c r="A600" s="5"/>
      <c r="B600" s="6" t="str">
        <f>IF(A600="","",VLOOKUP(A600,DB!A:B,2,0))</f>
        <v/>
      </c>
      <c r="C600" s="5"/>
      <c r="D600" s="5"/>
      <c r="E600" s="5"/>
      <c r="F600" s="5"/>
      <c r="G600" s="5"/>
      <c r="H600" s="5"/>
      <c r="I600" s="5" t="str">
        <f>IF(H600="","",VLOOKUP(H600,DB!A:B,2,0))</f>
        <v/>
      </c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</sheetData>
  <conditionalFormatting sqref="A1:AB600">
    <cfRule type="cellIs" dxfId="0" priority="1" operator="equal">
      <formula>"?"</formula>
    </cfRule>
  </conditionalFormatting>
  <conditionalFormatting sqref="A1:AB600">
    <cfRule type="cellIs" dxfId="1" priority="2" operator="equal">
      <formula>"N/C"</formula>
    </cfRule>
  </conditionalFormatting>
  <conditionalFormatting sqref="A1:AB600">
    <cfRule type="expression" dxfId="2" priority="3">
      <formula>ISEVEN(ROW())</formula>
    </cfRule>
  </conditionalFormatting>
  <dataValidations>
    <dataValidation type="list" allowBlank="1" showErrorMessage="1" sqref="A2:A600 H2:H600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7" t="s">
        <v>381</v>
      </c>
      <c r="B1" s="8" t="s">
        <v>382</v>
      </c>
      <c r="C1" s="9" t="s">
        <v>383</v>
      </c>
      <c r="D1" s="10" t="s">
        <v>384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1" t="s">
        <v>385</v>
      </c>
      <c r="B2" s="11" t="s">
        <v>386</v>
      </c>
      <c r="C2" s="12" t="s">
        <v>387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1" t="s">
        <v>184</v>
      </c>
      <c r="B3" s="11" t="s">
        <v>388</v>
      </c>
      <c r="C3" s="12" t="s">
        <v>389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1" t="s">
        <v>188</v>
      </c>
      <c r="B4" s="11" t="s">
        <v>390</v>
      </c>
      <c r="C4" s="12" t="s">
        <v>391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1" t="s">
        <v>190</v>
      </c>
      <c r="B5" s="11" t="s">
        <v>392</v>
      </c>
      <c r="C5" s="12" t="s">
        <v>393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1" t="s">
        <v>157</v>
      </c>
      <c r="B6" s="11" t="s">
        <v>394</v>
      </c>
      <c r="C6" s="13" t="s">
        <v>179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/>
      <c r="B7" s="11"/>
      <c r="C7" s="12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1" t="s">
        <v>395</v>
      </c>
      <c r="B8" s="11" t="s">
        <v>396</v>
      </c>
      <c r="C8" s="12" t="s">
        <v>397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1" t="s">
        <v>71</v>
      </c>
      <c r="B9" s="11" t="s">
        <v>398</v>
      </c>
      <c r="C9" s="12" t="s">
        <v>399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1" t="s">
        <v>75</v>
      </c>
      <c r="B10" s="11" t="s">
        <v>400</v>
      </c>
      <c r="C10" s="12" t="s">
        <v>401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1" t="s">
        <v>80</v>
      </c>
      <c r="B11" s="11" t="s">
        <v>402</v>
      </c>
      <c r="C11" s="12" t="s">
        <v>403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1"/>
      <c r="B12" s="11"/>
      <c r="C12" s="12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1" t="s">
        <v>404</v>
      </c>
      <c r="B13" s="11" t="s">
        <v>405</v>
      </c>
      <c r="C13" s="13" t="s">
        <v>179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1" t="s">
        <v>406</v>
      </c>
      <c r="B14" s="11" t="s">
        <v>407</v>
      </c>
      <c r="C14" s="12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1" t="s">
        <v>14</v>
      </c>
      <c r="B15" s="11" t="s">
        <v>408</v>
      </c>
      <c r="C15" s="12" t="s">
        <v>409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1" t="s">
        <v>47</v>
      </c>
      <c r="B16" s="11" t="s">
        <v>410</v>
      </c>
      <c r="C16" s="12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1" t="s">
        <v>16</v>
      </c>
      <c r="B17" s="11" t="s">
        <v>411</v>
      </c>
      <c r="C17" s="13" t="s">
        <v>179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1" t="s">
        <v>218</v>
      </c>
      <c r="B18" s="11" t="s">
        <v>412</v>
      </c>
      <c r="C18" s="12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1" t="s">
        <v>111</v>
      </c>
      <c r="B19" s="11" t="s">
        <v>412</v>
      </c>
      <c r="C19" s="12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1"/>
      <c r="B20" s="11"/>
      <c r="C20" s="12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1" t="s">
        <v>246</v>
      </c>
      <c r="B21" s="14" t="s">
        <v>413</v>
      </c>
      <c r="C21" s="13" t="s">
        <v>414</v>
      </c>
      <c r="D21" s="6">
        <v>1030.0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1" t="s">
        <v>249</v>
      </c>
      <c r="B22" s="14" t="s">
        <v>415</v>
      </c>
      <c r="C22" s="13" t="s">
        <v>416</v>
      </c>
      <c r="D22" s="6">
        <v>1021.0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1" t="s">
        <v>417</v>
      </c>
      <c r="B23" s="11"/>
      <c r="C23" s="12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1"/>
      <c r="B24" s="11"/>
      <c r="C24" s="12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1" t="s">
        <v>316</v>
      </c>
      <c r="B25" s="11" t="s">
        <v>418</v>
      </c>
      <c r="C25" s="12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1" t="s">
        <v>419</v>
      </c>
      <c r="B26" s="11" t="s">
        <v>420</v>
      </c>
      <c r="C26" s="12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1" t="s">
        <v>319</v>
      </c>
      <c r="B27" s="11" t="s">
        <v>421</v>
      </c>
      <c r="C27" s="12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1" t="s">
        <v>322</v>
      </c>
      <c r="B28" s="11" t="s">
        <v>421</v>
      </c>
      <c r="C28" s="13" t="s">
        <v>179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1" t="s">
        <v>325</v>
      </c>
      <c r="B29" s="11" t="s">
        <v>422</v>
      </c>
      <c r="C29" s="12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1" t="s">
        <v>306</v>
      </c>
      <c r="B30" s="11" t="s">
        <v>423</v>
      </c>
      <c r="C30" s="12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1" t="s">
        <v>141</v>
      </c>
      <c r="B31" s="11" t="s">
        <v>424</v>
      </c>
      <c r="C31" s="12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1" t="s">
        <v>378</v>
      </c>
      <c r="B32" s="11" t="s">
        <v>420</v>
      </c>
      <c r="C32" s="12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1" t="s">
        <v>182</v>
      </c>
      <c r="B33" s="11" t="s">
        <v>424</v>
      </c>
      <c r="C33" s="12" t="s">
        <v>425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1" t="s">
        <v>426</v>
      </c>
      <c r="B34" s="11" t="s">
        <v>427</v>
      </c>
      <c r="C34" s="12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1" t="s">
        <v>66</v>
      </c>
      <c r="B35" s="11" t="s">
        <v>428</v>
      </c>
      <c r="C35" s="12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1" t="s">
        <v>148</v>
      </c>
      <c r="B36" s="11" t="s">
        <v>429</v>
      </c>
      <c r="C36" s="13" t="s">
        <v>179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1" t="s">
        <v>375</v>
      </c>
      <c r="B37" s="11" t="s">
        <v>429</v>
      </c>
      <c r="C37" s="12" t="s">
        <v>430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1" t="s">
        <v>431</v>
      </c>
      <c r="B38" s="11" t="s">
        <v>432</v>
      </c>
      <c r="C38" s="12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1" t="s">
        <v>433</v>
      </c>
      <c r="B39" s="11" t="s">
        <v>434</v>
      </c>
      <c r="C39" s="12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1" t="s">
        <v>332</v>
      </c>
      <c r="B40" s="11" t="s">
        <v>435</v>
      </c>
      <c r="C40" s="12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1"/>
      <c r="B41" s="11"/>
      <c r="C41" s="12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1" t="s">
        <v>436</v>
      </c>
      <c r="B42" s="11" t="s">
        <v>437</v>
      </c>
      <c r="C42" s="11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1" t="s">
        <v>152</v>
      </c>
      <c r="B43" s="11" t="s">
        <v>438</v>
      </c>
      <c r="C43" s="12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1" t="s">
        <v>172</v>
      </c>
      <c r="B44" s="11" t="s">
        <v>439</v>
      </c>
      <c r="C44" s="12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1" t="s">
        <v>99</v>
      </c>
      <c r="B45" s="11" t="s">
        <v>440</v>
      </c>
      <c r="C45" s="12" t="s">
        <v>441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1" t="s">
        <v>103</v>
      </c>
      <c r="B46" s="11" t="s">
        <v>442</v>
      </c>
      <c r="C46" s="12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1"/>
      <c r="B47" s="11"/>
      <c r="C47" s="12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1" t="s">
        <v>443</v>
      </c>
      <c r="B48" s="11" t="s">
        <v>179</v>
      </c>
      <c r="C48" s="12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1" t="s">
        <v>275</v>
      </c>
      <c r="B49" s="14" t="s">
        <v>444</v>
      </c>
      <c r="C49" s="12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1" t="s">
        <v>282</v>
      </c>
      <c r="B50" s="14" t="s">
        <v>445</v>
      </c>
      <c r="C50" s="12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1" t="s">
        <v>285</v>
      </c>
      <c r="B51" s="14" t="s">
        <v>446</v>
      </c>
      <c r="C51" s="12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1" t="s">
        <v>288</v>
      </c>
      <c r="B52" s="14" t="s">
        <v>447</v>
      </c>
      <c r="C52" s="12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1" t="s">
        <v>280</v>
      </c>
      <c r="B53" s="11" t="s">
        <v>448</v>
      </c>
      <c r="C53" s="12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11" t="s">
        <v>89</v>
      </c>
      <c r="B54" s="11" t="s">
        <v>449</v>
      </c>
      <c r="C54" s="13" t="s">
        <v>179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11" t="s">
        <v>301</v>
      </c>
      <c r="B55" s="11" t="s">
        <v>450</v>
      </c>
      <c r="C55" s="12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11"/>
      <c r="B56" s="11"/>
      <c r="C56" s="12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1" t="s">
        <v>451</v>
      </c>
      <c r="B57" s="11"/>
      <c r="C57" s="12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/>
      <c r="B58" s="11"/>
      <c r="C58" s="12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4" t="s">
        <v>452</v>
      </c>
      <c r="B59" s="6" t="s">
        <v>453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4" t="s">
        <v>454</v>
      </c>
      <c r="B60" s="14" t="s">
        <v>455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4" t="s">
        <v>456</v>
      </c>
      <c r="B61" s="14" t="s">
        <v>457</v>
      </c>
      <c r="C61" s="12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4" t="s">
        <v>238</v>
      </c>
      <c r="B62" s="14" t="s">
        <v>458</v>
      </c>
      <c r="C62" s="12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4" t="s">
        <v>459</v>
      </c>
      <c r="B63" s="11"/>
      <c r="C63" s="12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4" t="s">
        <v>308</v>
      </c>
      <c r="B64" s="11" t="s">
        <v>424</v>
      </c>
      <c r="C64" s="12" t="s">
        <v>460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4"/>
      <c r="B65" s="11"/>
      <c r="C65" s="12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4" t="s">
        <v>312</v>
      </c>
      <c r="B66" s="6" t="s">
        <v>461</v>
      </c>
      <c r="C66" s="12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4" t="s">
        <v>462</v>
      </c>
      <c r="B67" s="11"/>
      <c r="C67" s="12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4" t="s">
        <v>463</v>
      </c>
      <c r="B68" s="11"/>
      <c r="C68" s="12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11"/>
      <c r="C69" s="12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345</v>
      </c>
      <c r="B70" s="11" t="s">
        <v>464</v>
      </c>
      <c r="C70" s="12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369</v>
      </c>
      <c r="B71" s="11" t="s">
        <v>465</v>
      </c>
      <c r="C71" s="12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233</v>
      </c>
      <c r="B72" s="11" t="s">
        <v>466</v>
      </c>
      <c r="C72" s="12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/>
      <c r="B73" s="11"/>
      <c r="C73" s="12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 t="s">
        <v>239</v>
      </c>
      <c r="B74" s="11" t="s">
        <v>467</v>
      </c>
      <c r="C74" s="12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 t="s">
        <v>259</v>
      </c>
      <c r="B75" s="11" t="s">
        <v>468</v>
      </c>
      <c r="C75" s="12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237</v>
      </c>
      <c r="B76" s="11" t="s">
        <v>469</v>
      </c>
      <c r="C76" s="12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371</v>
      </c>
      <c r="B77" s="11" t="s">
        <v>470</v>
      </c>
      <c r="C77" s="12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11" t="s">
        <v>471</v>
      </c>
      <c r="B78" s="11" t="s">
        <v>472</v>
      </c>
      <c r="C78" s="12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11" t="s">
        <v>294</v>
      </c>
      <c r="B79" s="11" t="s">
        <v>473</v>
      </c>
      <c r="C79" s="12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11" t="s">
        <v>145</v>
      </c>
      <c r="B80" s="11" t="s">
        <v>474</v>
      </c>
      <c r="C80" s="12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11" t="s">
        <v>236</v>
      </c>
      <c r="B81" s="11" t="s">
        <v>475</v>
      </c>
      <c r="C81" s="12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296</v>
      </c>
      <c r="B82" s="11" t="s">
        <v>476</v>
      </c>
      <c r="C82" s="12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11" t="s">
        <v>107</v>
      </c>
      <c r="B83" s="11" t="s">
        <v>477</v>
      </c>
      <c r="C83" s="12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14" t="s">
        <v>373</v>
      </c>
      <c r="B84" s="14" t="s">
        <v>478</v>
      </c>
      <c r="C84" s="12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/>
      <c r="B85" s="11"/>
      <c r="C85" s="12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11" t="s">
        <v>479</v>
      </c>
      <c r="B86" s="11"/>
      <c r="C86" s="12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11"/>
      <c r="B87" s="11"/>
      <c r="C87" s="12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1" t="s">
        <v>179</v>
      </c>
      <c r="B88" s="11"/>
      <c r="C88" s="12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/>
      <c r="B89" s="11"/>
      <c r="C89" s="12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11" t="s">
        <v>87</v>
      </c>
      <c r="B90" s="11"/>
      <c r="C90" s="12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6" t="s">
        <v>240</v>
      </c>
      <c r="B92" s="6" t="s">
        <v>241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242</v>
      </c>
      <c r="B93" s="6" t="s">
        <v>243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244</v>
      </c>
      <c r="B94" s="6" t="s">
        <v>245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"?"</formula>
    </cfRule>
  </conditionalFormatting>
  <conditionalFormatting sqref="A1:Y1010">
    <cfRule type="expression" dxfId="2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480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6" t="s">
        <v>14</v>
      </c>
      <c r="B2" s="6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Conexiones!A2:N447,
    IF(A2="""", ROW(Conexiones!A2:A447)^0, ISNUMBER(SEARCH(A2, Conexiones!A2:A447))),
    IF(B2="""", ROW(Conexiones!B2:B447)^0, ISNUMBER(SEARCH(B2, Conexiones!B2:B447))),
    IF(C2="""", ROW(Conexiones!C2:C447)^0, "&amp;"ISNUMBER(SEARCH(C2, Conexiones!C2:C447))),
    IF(D2="""", ROW(Conexiones!D2:D447)^0, ISNUMBER(SEARCH(D2, Conexiones!D2:D447))),
    IF(E2="""", ROW(Conexiones!E2:E447)^0, ISNUMBER(SEARCH(E2, Conexiones!E2:E447))),
    IF(F2="""", ROW(Conexiones!F2:F447)^"&amp;"0, ISNUMBER(SEARCH(F2, Conexiones!F2:F447))),
    IF(G2="""", ROW(Conexiones!G2:G447)^0, ISNUMBER(SEARCH(G2, Conexiones!G2:G447))),
    IF(H2="""", ROW(Conexiones!H2:H447)^0, ISNUMBER(SEARCH(H2, Conexiones!H2:H447))),
    IF(B2="""", ROW(Conexiones!H2:H44"&amp;"7)^0, ISNUMBER(SEARCH(B2, Conexiones!H2:H447))),
    IF(I2="""", ROW(Conexiones!I2:I447)^0, ISNUMBER(SEARCH(I2, Conexiones!I2:I447))),
    IF(J2="""", ROW(Conexiones!J2:J447)^0, ISNUMBER(SEARCH(J2, Conexiones!J2:J447))),
    IF(K2="""", ROW(Conexiones!K2:"&amp;"K447)^0, ISNUMBER(SEARCH(K2, Conexiones!K2:K447))),
    IF(L2="""", ROW(Conexiones!L2:L447)^0, ISNUMBER(SEARCH(L2, Conexiones!L2:L447))),
    IF(M2="""", ROW(Conexiones!M2:M447)^0, ISNUMBER(SEARCH(M2, Conexiones!M2:M447))),
    IF(N2="""", ROW(Conexiones!"&amp;"N2:N447)^0, ISNUMBER(SEARCH(N2, Conexiones!N2:N447)))
  ),
  P2,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1")</f>
        <v>Out 1</v>
      </c>
      <c r="F3" s="5"/>
      <c r="G3" s="5"/>
      <c r="H3" s="5" t="str">
        <f>IFERROR(__xludf.DUMMYFUNCTION("""COMPUTED_VALUE"""),"C.5")</f>
        <v>C.5</v>
      </c>
      <c r="I3" s="5" t="str">
        <f>IFERROR(__xludf.DUMMYFUNCTION("""COMPUTED_VALUE"""),"Blackmagic 12 x 12")</f>
        <v>Blackmagic 12 x 12</v>
      </c>
      <c r="J3" s="5"/>
      <c r="K3" s="5" t="str">
        <f>IFERROR(__xludf.DUMMYFUNCTION("""COMPUTED_VALUE"""),"In 1")</f>
        <v>In 1</v>
      </c>
      <c r="L3" s="5" t="str">
        <f>IFERROR(__xludf.DUMMYFUNCTION("""COMPUTED_VALUE"""),"MATRIZ 1")</f>
        <v>MATRIZ 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IFERROR(__xludf.DUMMYFUNCTION("""COMPUTED_VALUE"""),"C.3")</f>
        <v>C.3</v>
      </c>
      <c r="B4" s="5" t="str">
        <f>IFERROR(__xludf.DUMMYFUNCTION("""COMPUTED_VALUE"""),"AJA KUMO 6464")</f>
        <v>AJA KUMO 6464</v>
      </c>
      <c r="C4" s="5"/>
      <c r="D4" s="5"/>
      <c r="E4" s="5" t="str">
        <f>IFERROR(__xludf.DUMMYFUNCTION("""COMPUTED_VALUE"""),"Out 2")</f>
        <v>Out 2</v>
      </c>
      <c r="F4" s="5"/>
      <c r="G4" s="5"/>
      <c r="H4" s="5" t="str">
        <f>IFERROR(__xludf.DUMMYFUNCTION("""COMPUTED_VALUE"""),"C.5")</f>
        <v>C.5</v>
      </c>
      <c r="I4" s="5" t="str">
        <f>IFERROR(__xludf.DUMMYFUNCTION("""COMPUTED_VALUE"""),"Blackmagic 12 x 12")</f>
        <v>Blackmagic 12 x 12</v>
      </c>
      <c r="J4" s="5"/>
      <c r="K4" s="5" t="str">
        <f>IFERROR(__xludf.DUMMYFUNCTION("""COMPUTED_VALUE"""),"In 2")</f>
        <v>In 2</v>
      </c>
      <c r="L4" s="5" t="str">
        <f>IFERROR(__xludf.DUMMYFUNCTION("""COMPUTED_VALUE"""),"MATRIZ 2")</f>
        <v>MATRIZ 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IFERROR(__xludf.DUMMYFUNCTION("""COMPUTED_VALUE"""),"C.3")</f>
        <v>C.3</v>
      </c>
      <c r="B5" s="5" t="str">
        <f>IFERROR(__xludf.DUMMYFUNCTION("""COMPUTED_VALUE"""),"AJA KUMO 6464")</f>
        <v>AJA KUMO 6464</v>
      </c>
      <c r="C5" s="5"/>
      <c r="D5" s="5"/>
      <c r="E5" s="5" t="str">
        <f>IFERROR(__xludf.DUMMYFUNCTION("""COMPUTED_VALUE"""),"Out 3")</f>
        <v>Out 3</v>
      </c>
      <c r="F5" s="5"/>
      <c r="G5" s="5"/>
      <c r="H5" s="5" t="str">
        <f>IFERROR(__xludf.DUMMYFUNCTION("""COMPUTED_VALUE"""),"C.5")</f>
        <v>C.5</v>
      </c>
      <c r="I5" s="5" t="str">
        <f>IFERROR(__xludf.DUMMYFUNCTION("""COMPUTED_VALUE"""),"Blackmagic 12 x 12")</f>
        <v>Blackmagic 12 x 12</v>
      </c>
      <c r="J5" s="5"/>
      <c r="K5" s="5" t="str">
        <f>IFERROR(__xludf.DUMMYFUNCTION("""COMPUTED_VALUE"""),"In 3")</f>
        <v>In 3</v>
      </c>
      <c r="L5" s="5" t="str">
        <f>IFERROR(__xludf.DUMMYFUNCTION("""COMPUTED_VALUE"""),"MATRIZ 3")</f>
        <v>MATRIZ 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IFERROR(__xludf.DUMMYFUNCTION("""COMPUTED_VALUE"""),"C.3")</f>
        <v>C.3</v>
      </c>
      <c r="B6" s="5" t="str">
        <f>IFERROR(__xludf.DUMMYFUNCTION("""COMPUTED_VALUE"""),"AJA KUMO 6464")</f>
        <v>AJA KUMO 6464</v>
      </c>
      <c r="C6" s="5"/>
      <c r="D6" s="5"/>
      <c r="E6" s="5" t="str">
        <f>IFERROR(__xludf.DUMMYFUNCTION("""COMPUTED_VALUE"""),"Out 4")</f>
        <v>Out 4</v>
      </c>
      <c r="F6" s="5"/>
      <c r="G6" s="5"/>
      <c r="H6" s="5" t="str">
        <f>IFERROR(__xludf.DUMMYFUNCTION("""COMPUTED_VALUE"""),"C.5")</f>
        <v>C.5</v>
      </c>
      <c r="I6" s="5" t="str">
        <f>IFERROR(__xludf.DUMMYFUNCTION("""COMPUTED_VALUE"""),"Blackmagic 12 x 12")</f>
        <v>Blackmagic 12 x 12</v>
      </c>
      <c r="J6" s="5"/>
      <c r="K6" s="5" t="str">
        <f>IFERROR(__xludf.DUMMYFUNCTION("""COMPUTED_VALUE"""),"In 4")</f>
        <v>In 4</v>
      </c>
      <c r="L6" s="5" t="str">
        <f>IFERROR(__xludf.DUMMYFUNCTION("""COMPUTED_VALUE"""),"MATRIZ 4")</f>
        <v>MATRIZ 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IFERROR(__xludf.DUMMYFUNCTION("""COMPUTED_VALUE"""),"C.3")</f>
        <v>C.3</v>
      </c>
      <c r="B7" s="5" t="str">
        <f>IFERROR(__xludf.DUMMYFUNCTION("""COMPUTED_VALUE"""),"AJA KUMO 6464")</f>
        <v>AJA KUMO 6464</v>
      </c>
      <c r="C7" s="5"/>
      <c r="D7" s="5"/>
      <c r="E7" s="5" t="str">
        <f>IFERROR(__xludf.DUMMYFUNCTION("""COMPUTED_VALUE"""),"Out 5")</f>
        <v>Out 5</v>
      </c>
      <c r="F7" s="5"/>
      <c r="G7" s="5"/>
      <c r="H7" s="5" t="str">
        <f>IFERROR(__xludf.DUMMYFUNCTION("""COMPUTED_VALUE"""),"C.5")</f>
        <v>C.5</v>
      </c>
      <c r="I7" s="5" t="str">
        <f>IFERROR(__xludf.DUMMYFUNCTION("""COMPUTED_VALUE"""),"Blackmagic 12 x 12")</f>
        <v>Blackmagic 12 x 12</v>
      </c>
      <c r="J7" s="5"/>
      <c r="K7" s="5" t="str">
        <f>IFERROR(__xludf.DUMMYFUNCTION("""COMPUTED_VALUE"""),"In 5")</f>
        <v>In 5</v>
      </c>
      <c r="L7" s="5" t="str">
        <f>IFERROR(__xludf.DUMMYFUNCTION("""COMPUTED_VALUE"""),"MATRIZ 5")</f>
        <v>MATRIZ 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IFERROR(__xludf.DUMMYFUNCTION("""COMPUTED_VALUE"""),"C.3")</f>
        <v>C.3</v>
      </c>
      <c r="B8" s="5" t="str">
        <f>IFERROR(__xludf.DUMMYFUNCTION("""COMPUTED_VALUE"""),"AJA KUMO 6464")</f>
        <v>AJA KUMO 6464</v>
      </c>
      <c r="C8" s="5"/>
      <c r="D8" s="5"/>
      <c r="E8" s="5" t="str">
        <f>IFERROR(__xludf.DUMMYFUNCTION("""COMPUTED_VALUE"""),"Out 6")</f>
        <v>Out 6</v>
      </c>
      <c r="F8" s="5"/>
      <c r="G8" s="5"/>
      <c r="H8" s="5" t="str">
        <f>IFERROR(__xludf.DUMMYFUNCTION("""COMPUTED_VALUE"""),"C.5")</f>
        <v>C.5</v>
      </c>
      <c r="I8" s="5" t="str">
        <f>IFERROR(__xludf.DUMMYFUNCTION("""COMPUTED_VALUE"""),"Blackmagic 12 x 12")</f>
        <v>Blackmagic 12 x 12</v>
      </c>
      <c r="J8" s="5"/>
      <c r="K8" s="5" t="str">
        <f>IFERROR(__xludf.DUMMYFUNCTION("""COMPUTED_VALUE"""),"In 6")</f>
        <v>In 6</v>
      </c>
      <c r="L8" s="5" t="str">
        <f>IFERROR(__xludf.DUMMYFUNCTION("""COMPUTED_VALUE"""),"MATRIZ 6")</f>
        <v>MATRIZ 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IFERROR(__xludf.DUMMYFUNCTION("""COMPUTED_VALUE"""),"C.3")</f>
        <v>C.3</v>
      </c>
      <c r="B9" s="5" t="str">
        <f>IFERROR(__xludf.DUMMYFUNCTION("""COMPUTED_VALUE"""),"AJA KUMO 6464")</f>
        <v>AJA KUMO 6464</v>
      </c>
      <c r="C9" s="5"/>
      <c r="D9" s="5"/>
      <c r="E9" s="5" t="str">
        <f>IFERROR(__xludf.DUMMYFUNCTION("""COMPUTED_VALUE"""),"Out 7")</f>
        <v>Out 7</v>
      </c>
      <c r="F9" s="5"/>
      <c r="G9" s="5"/>
      <c r="H9" s="5" t="str">
        <f>IFERROR(__xludf.DUMMYFUNCTION("""COMPUTED_VALUE"""),"C.5")</f>
        <v>C.5</v>
      </c>
      <c r="I9" s="5" t="str">
        <f>IFERROR(__xludf.DUMMYFUNCTION("""COMPUTED_VALUE"""),"Blackmagic 12 x 12")</f>
        <v>Blackmagic 12 x 12</v>
      </c>
      <c r="J9" s="5"/>
      <c r="K9" s="5" t="str">
        <f>IFERROR(__xludf.DUMMYFUNCTION("""COMPUTED_VALUE"""),"In 7")</f>
        <v>In 7</v>
      </c>
      <c r="L9" s="5" t="str">
        <f>IFERROR(__xludf.DUMMYFUNCTION("""COMPUTED_VALUE"""),"MATRIZ 7")</f>
        <v>MATRIZ 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IFERROR(__xludf.DUMMYFUNCTION("""COMPUTED_VALUE"""),"C.3")</f>
        <v>C.3</v>
      </c>
      <c r="B10" s="5" t="str">
        <f>IFERROR(__xludf.DUMMYFUNCTION("""COMPUTED_VALUE"""),"AJA KUMO 6464")</f>
        <v>AJA KUMO 6464</v>
      </c>
      <c r="C10" s="5"/>
      <c r="D10" s="5"/>
      <c r="E10" s="5" t="str">
        <f>IFERROR(__xludf.DUMMYFUNCTION("""COMPUTED_VALUE"""),"Out 8")</f>
        <v>Out 8</v>
      </c>
      <c r="F10" s="5"/>
      <c r="G10" s="5"/>
      <c r="H10" s="5" t="str">
        <f>IFERROR(__xludf.DUMMYFUNCTION("""COMPUTED_VALUE"""),"C.5")</f>
        <v>C.5</v>
      </c>
      <c r="I10" s="5" t="str">
        <f>IFERROR(__xludf.DUMMYFUNCTION("""COMPUTED_VALUE"""),"Blackmagic 12 x 12")</f>
        <v>Blackmagic 12 x 12</v>
      </c>
      <c r="J10" s="5"/>
      <c r="K10" s="5" t="str">
        <f>IFERROR(__xludf.DUMMYFUNCTION("""COMPUTED_VALUE"""),"In 8")</f>
        <v>In 8</v>
      </c>
      <c r="L10" s="5" t="str">
        <f>IFERROR(__xludf.DUMMYFUNCTION("""COMPUTED_VALUE"""),"MATRIZ 8")</f>
        <v>MATRIZ 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 t="str">
        <f>IFERROR(__xludf.DUMMYFUNCTION("""COMPUTED_VALUE"""),"C.3")</f>
        <v>C.3</v>
      </c>
      <c r="B11" s="5" t="str">
        <f>IFERROR(__xludf.DUMMYFUNCTION("""COMPUTED_VALUE"""),"AJA KUMO 6464")</f>
        <v>AJA KUMO 6464</v>
      </c>
      <c r="C11" s="5"/>
      <c r="D11" s="5"/>
      <c r="E11" s="5" t="str">
        <f>IFERROR(__xludf.DUMMYFUNCTION("""COMPUTED_VALUE"""),"Out 9")</f>
        <v>Out 9</v>
      </c>
      <c r="F11" s="5"/>
      <c r="G11" s="5"/>
      <c r="H11" s="5" t="str">
        <f>IFERROR(__xludf.DUMMYFUNCTION("""COMPUTED_VALUE"""),"C.5")</f>
        <v>C.5</v>
      </c>
      <c r="I11" s="5" t="str">
        <f>IFERROR(__xludf.DUMMYFUNCTION("""COMPUTED_VALUE"""),"Blackmagic 12 x 12")</f>
        <v>Blackmagic 12 x 12</v>
      </c>
      <c r="J11" s="5"/>
      <c r="K11" s="5" t="str">
        <f>IFERROR(__xludf.DUMMYFUNCTION("""COMPUTED_VALUE"""),"In 9")</f>
        <v>In 9</v>
      </c>
      <c r="L11" s="5" t="str">
        <f>IFERROR(__xludf.DUMMYFUNCTION("""COMPUTED_VALUE"""),"MATRIZ 9")</f>
        <v>MATRIZ 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 t="str">
        <f>IFERROR(__xludf.DUMMYFUNCTION("""COMPUTED_VALUE"""),"C.3")</f>
        <v>C.3</v>
      </c>
      <c r="B12" s="5" t="str">
        <f>IFERROR(__xludf.DUMMYFUNCTION("""COMPUTED_VALUE"""),"AJA KUMO 6464")</f>
        <v>AJA KUMO 6464</v>
      </c>
      <c r="C12" s="5"/>
      <c r="D12" s="5"/>
      <c r="E12" s="5" t="str">
        <f>IFERROR(__xludf.DUMMYFUNCTION("""COMPUTED_VALUE"""),"Out 10")</f>
        <v>Out 10</v>
      </c>
      <c r="F12" s="5"/>
      <c r="G12" s="5"/>
      <c r="H12" s="5" t="str">
        <f>IFERROR(__xludf.DUMMYFUNCTION("""COMPUTED_VALUE"""),"C.5")</f>
        <v>C.5</v>
      </c>
      <c r="I12" s="5" t="str">
        <f>IFERROR(__xludf.DUMMYFUNCTION("""COMPUTED_VALUE"""),"Blackmagic 12 x 12")</f>
        <v>Blackmagic 12 x 12</v>
      </c>
      <c r="J12" s="5"/>
      <c r="K12" s="5" t="str">
        <f>IFERROR(__xludf.DUMMYFUNCTION("""COMPUTED_VALUE"""),"In 10")</f>
        <v>In 10</v>
      </c>
      <c r="L12" s="5" t="str">
        <f>IFERROR(__xludf.DUMMYFUNCTION("""COMPUTED_VALUE"""),"MATRIZ 10")</f>
        <v>MATRIZ 10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 t="str">
        <f>IFERROR(__xludf.DUMMYFUNCTION("""COMPUTED_VALUE"""),"C.3")</f>
        <v>C.3</v>
      </c>
      <c r="B13" s="5" t="str">
        <f>IFERROR(__xludf.DUMMYFUNCTION("""COMPUTED_VALUE"""),"AJA KUMO 6464")</f>
        <v>AJA KUMO 6464</v>
      </c>
      <c r="C13" s="5"/>
      <c r="D13" s="5"/>
      <c r="E13" s="5" t="str">
        <f>IFERROR(__xludf.DUMMYFUNCTION("""COMPUTED_VALUE"""),"Out 11")</f>
        <v>Out 11</v>
      </c>
      <c r="F13" s="5"/>
      <c r="G13" s="5"/>
      <c r="H13" s="5" t="str">
        <f>IFERROR(__xludf.DUMMYFUNCTION("""COMPUTED_VALUE"""),"C.4")</f>
        <v>C.4</v>
      </c>
      <c r="I13" s="5" t="str">
        <f>IFERROR(__xludf.DUMMYFUNCTION("""COMPUTED_VALUE"""),"Blackmagic Multiview 16")</f>
        <v>Blackmagic Multiview 16</v>
      </c>
      <c r="J13" s="5"/>
      <c r="K13" s="5" t="str">
        <f>IFERROR(__xludf.DUMMYFUNCTION("""COMPUTED_VALUE"""),"In 11")</f>
        <v>In 11</v>
      </c>
      <c r="L13" s="5" t="str">
        <f>IFERROR(__xludf.DUMMYFUNCTION("""COMPUTED_VALUE"""),"MATRIZ 11")</f>
        <v>MATRIZ 11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 t="str">
        <f>IFERROR(__xludf.DUMMYFUNCTION("""COMPUTED_VALUE"""),"C.3")</f>
        <v>C.3</v>
      </c>
      <c r="B14" s="5" t="str">
        <f>IFERROR(__xludf.DUMMYFUNCTION("""COMPUTED_VALUE"""),"AJA KUMO 6464")</f>
        <v>AJA KUMO 6464</v>
      </c>
      <c r="C14" s="5"/>
      <c r="D14" s="5"/>
      <c r="E14" s="5" t="str">
        <f>IFERROR(__xludf.DUMMYFUNCTION("""COMPUTED_VALUE"""),"Out 12")</f>
        <v>Out 12</v>
      </c>
      <c r="F14" s="5"/>
      <c r="G14" s="5"/>
      <c r="H14" s="5" t="str">
        <f>IFERROR(__xludf.DUMMYFUNCTION("""COMPUTED_VALUE"""),"C.4")</f>
        <v>C.4</v>
      </c>
      <c r="I14" s="5" t="str">
        <f>IFERROR(__xludf.DUMMYFUNCTION("""COMPUTED_VALUE"""),"Blackmagic Multiview 16")</f>
        <v>Blackmagic Multiview 16</v>
      </c>
      <c r="J14" s="5"/>
      <c r="K14" s="5" t="str">
        <f>IFERROR(__xludf.DUMMYFUNCTION("""COMPUTED_VALUE"""),"In 12")</f>
        <v>In 12</v>
      </c>
      <c r="L14" s="5" t="str">
        <f>IFERROR(__xludf.DUMMYFUNCTION("""COMPUTED_VALUE"""),"MATRIZ 12")</f>
        <v>MATRIZ 12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 t="str">
        <f>IFERROR(__xludf.DUMMYFUNCTION("""COMPUTED_VALUE"""),"C.3")</f>
        <v>C.3</v>
      </c>
      <c r="B15" s="5" t="str">
        <f>IFERROR(__xludf.DUMMYFUNCTION("""COMPUTED_VALUE"""),"AJA KUMO 6464")</f>
        <v>AJA KUMO 6464</v>
      </c>
      <c r="C15" s="5"/>
      <c r="D15" s="5"/>
      <c r="E15" s="5" t="str">
        <f>IFERROR(__xludf.DUMMYFUNCTION("""COMPUTED_VALUE"""),"Out 13")</f>
        <v>Out 13</v>
      </c>
      <c r="F15" s="5"/>
      <c r="G15" s="5"/>
      <c r="H15" s="5" t="str">
        <f>IFERROR(__xludf.DUMMYFUNCTION("""COMPUTED_VALUE"""),"C.4")</f>
        <v>C.4</v>
      </c>
      <c r="I15" s="5" t="str">
        <f>IFERROR(__xludf.DUMMYFUNCTION("""COMPUTED_VALUE"""),"Blackmagic Multiview 16")</f>
        <v>Blackmagic Multiview 16</v>
      </c>
      <c r="J15" s="5"/>
      <c r="K15" s="5" t="str">
        <f>IFERROR(__xludf.DUMMYFUNCTION("""COMPUTED_VALUE"""),"In 13")</f>
        <v>In 13</v>
      </c>
      <c r="L15" s="5" t="str">
        <f>IFERROR(__xludf.DUMMYFUNCTION("""COMPUTED_VALUE"""),"MX 13 AUDIO")</f>
        <v>MX 13 AUDIO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 t="str">
        <f>IFERROR(__xludf.DUMMYFUNCTION("""COMPUTED_VALUE"""),"C.3")</f>
        <v>C.3</v>
      </c>
      <c r="B16" s="5" t="str">
        <f>IFERROR(__xludf.DUMMYFUNCTION("""COMPUTED_VALUE"""),"AJA KUMO 6464")</f>
        <v>AJA KUMO 6464</v>
      </c>
      <c r="C16" s="5"/>
      <c r="D16" s="5"/>
      <c r="E16" s="5" t="str">
        <f>IFERROR(__xludf.DUMMYFUNCTION("""COMPUTED_VALUE"""),"Out 14")</f>
        <v>Out 14</v>
      </c>
      <c r="F16" s="5"/>
      <c r="G16" s="5"/>
      <c r="H16" s="5" t="str">
        <f>IFERROR(__xludf.DUMMYFUNCTION("""COMPUTED_VALUE"""),"C.4")</f>
        <v>C.4</v>
      </c>
      <c r="I16" s="5" t="str">
        <f>IFERROR(__xludf.DUMMYFUNCTION("""COMPUTED_VALUE"""),"Blackmagic Multiview 16")</f>
        <v>Blackmagic Multiview 16</v>
      </c>
      <c r="J16" s="5"/>
      <c r="K16" s="5" t="str">
        <f>IFERROR(__xludf.DUMMYFUNCTION("""COMPUTED_VALUE"""),"In 14")</f>
        <v>In 14</v>
      </c>
      <c r="L16" s="5" t="str">
        <f>IFERROR(__xludf.DUMMYFUNCTION("""COMPUTED_VALUE"""),"MX 14 AUDIO")</f>
        <v>MX 14 AUDIO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 t="str">
        <f>IFERROR(__xludf.DUMMYFUNCTION("""COMPUTED_VALUE"""),"C.3")</f>
        <v>C.3</v>
      </c>
      <c r="B17" s="5" t="str">
        <f>IFERROR(__xludf.DUMMYFUNCTION("""COMPUTED_VALUE"""),"AJA KUMO 6464")</f>
        <v>AJA KUMO 6464</v>
      </c>
      <c r="C17" s="5"/>
      <c r="D17" s="5"/>
      <c r="E17" s="5" t="str">
        <f>IFERROR(__xludf.DUMMYFUNCTION("""COMPUTED_VALUE"""),"Out 15")</f>
        <v>Out 15</v>
      </c>
      <c r="F17" s="5"/>
      <c r="G17" s="5"/>
      <c r="H17" s="5" t="str">
        <f>IFERROR(__xludf.DUMMYFUNCTION("""COMPUTED_VALUE"""),"C.4")</f>
        <v>C.4</v>
      </c>
      <c r="I17" s="5" t="str">
        <f>IFERROR(__xludf.DUMMYFUNCTION("""COMPUTED_VALUE"""),"Blackmagic Multiview 16")</f>
        <v>Blackmagic Multiview 16</v>
      </c>
      <c r="J17" s="5"/>
      <c r="K17" s="5" t="str">
        <f>IFERROR(__xludf.DUMMYFUNCTION("""COMPUTED_VALUE"""),"In 15")</f>
        <v>In 15</v>
      </c>
      <c r="L17" s="5" t="str">
        <f>IFERROR(__xludf.DUMMYFUNCTION("""COMPUTED_VALUE"""),"MX 15 AUDIO")</f>
        <v>MX 15 AUDIO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 t="str">
        <f>IFERROR(__xludf.DUMMYFUNCTION("""COMPUTED_VALUE"""),"C.3")</f>
        <v>C.3</v>
      </c>
      <c r="B18" s="5" t="str">
        <f>IFERROR(__xludf.DUMMYFUNCTION("""COMPUTED_VALUE"""),"AJA KUMO 6464")</f>
        <v>AJA KUMO 6464</v>
      </c>
      <c r="C18" s="5"/>
      <c r="D18" s="5"/>
      <c r="E18" s="5" t="str">
        <f>IFERROR(__xludf.DUMMYFUNCTION("""COMPUTED_VALUE"""),"Out 16")</f>
        <v>Out 16</v>
      </c>
      <c r="F18" s="5"/>
      <c r="G18" s="5"/>
      <c r="H18" s="5" t="str">
        <f>IFERROR(__xludf.DUMMYFUNCTION("""COMPUTED_VALUE"""),"C.4")</f>
        <v>C.4</v>
      </c>
      <c r="I18" s="5" t="str">
        <f>IFERROR(__xludf.DUMMYFUNCTION("""COMPUTED_VALUE"""),"Blackmagic Multiview 16")</f>
        <v>Blackmagic Multiview 16</v>
      </c>
      <c r="J18" s="5"/>
      <c r="K18" s="5" t="str">
        <f>IFERROR(__xludf.DUMMYFUNCTION("""COMPUTED_VALUE"""),"In 16")</f>
        <v>In 16</v>
      </c>
      <c r="L18" s="5" t="str">
        <f>IFERROR(__xludf.DUMMYFUNCTION("""COMPUTED_VALUE"""),"MX 16 AUDIO")</f>
        <v>MX 16 AUDIO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 t="str">
        <f>IFERROR(__xludf.DUMMYFUNCTION("""COMPUTED_VALUE"""),"C.3")</f>
        <v>C.3</v>
      </c>
      <c r="B19" s="5" t="str">
        <f>IFERROR(__xludf.DUMMYFUNCTION("""COMPUTED_VALUE"""),"AJA KUMO 6464")</f>
        <v>AJA KUMO 6464</v>
      </c>
      <c r="C19" s="5"/>
      <c r="D19" s="5"/>
      <c r="E19" s="5" t="str">
        <f>IFERROR(__xludf.DUMMYFUNCTION("""COMPUTED_VALUE"""),"Out 17")</f>
        <v>Out 17</v>
      </c>
      <c r="F19" s="5"/>
      <c r="G19" s="5"/>
      <c r="H19" s="5" t="str">
        <f>IFERROR(__xludf.DUMMYFUNCTION("""COMPUTED_VALUE"""),"D.11")</f>
        <v>D.11</v>
      </c>
      <c r="I19" s="5" t="str">
        <f>IFERROR(__xludf.DUMMYFUNCTION("""COMPUTED_VALUE"""),"AJA FS4")</f>
        <v>AJA FS4</v>
      </c>
      <c r="J19" s="5"/>
      <c r="K19" s="5" t="str">
        <f>IFERROR(__xludf.DUMMYFUNCTION("""COMPUTED_VALUE"""),"SDI In 2")</f>
        <v>SDI In 2</v>
      </c>
      <c r="L19" s="5" t="str">
        <f>IFERROR(__xludf.DUMMYFUNCTION("""COMPUTED_VALUE"""),"LOOP A.1")</f>
        <v>LOOP A.1</v>
      </c>
      <c r="M19" s="5" t="str">
        <f>IFERROR(__xludf.DUMMYFUNCTION("""COMPUTED_VALUE"""),"Convierte norma para Loop A")</f>
        <v>Convierte norma para Loop A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 t="str">
        <f>IFERROR(__xludf.DUMMYFUNCTION("""COMPUTED_VALUE"""),"C.3")</f>
        <v>C.3</v>
      </c>
      <c r="B20" s="5" t="str">
        <f>IFERROR(__xludf.DUMMYFUNCTION("""COMPUTED_VALUE"""),"AJA KUMO 6464")</f>
        <v>AJA KUMO 6464</v>
      </c>
      <c r="C20" s="5"/>
      <c r="D20" s="5"/>
      <c r="E20" s="5" t="str">
        <f>IFERROR(__xludf.DUMMYFUNCTION("""COMPUTED_VALUE"""),"Out 18")</f>
        <v>Out 18</v>
      </c>
      <c r="F20" s="5"/>
      <c r="G20" s="5"/>
      <c r="H20" s="5" t="str">
        <f>IFERROR(__xludf.DUMMYFUNCTION("""COMPUTED_VALUE"""),"B.2")</f>
        <v>B.2</v>
      </c>
      <c r="I20" s="5" t="str">
        <f>IFERROR(__xludf.DUMMYFUNCTION("""COMPUTED_VALUE"""),"Loop A")</f>
        <v>Loop A</v>
      </c>
      <c r="J20" s="5">
        <f>IFERROR(__xludf.DUMMYFUNCTION("""COMPUTED_VALUE"""),2.0)</f>
        <v>2</v>
      </c>
      <c r="K20" s="5" t="str">
        <f>IFERROR(__xludf.DUMMYFUNCTION("""COMPUTED_VALUE"""),"In P1")</f>
        <v>In P1</v>
      </c>
      <c r="L20" s="5" t="str">
        <f>IFERROR(__xludf.DUMMYFUNCTION("""COMPUTED_VALUE"""),"LOOP A.2")</f>
        <v>LOOP A.2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 t="str">
        <f>IFERROR(__xludf.DUMMYFUNCTION("""COMPUTED_VALUE"""),"C.3")</f>
        <v>C.3</v>
      </c>
      <c r="B21" s="5" t="str">
        <f>IFERROR(__xludf.DUMMYFUNCTION("""COMPUTED_VALUE"""),"AJA KUMO 6464")</f>
        <v>AJA KUMO 6464</v>
      </c>
      <c r="C21" s="5"/>
      <c r="D21" s="5"/>
      <c r="E21" s="5" t="str">
        <f>IFERROR(__xludf.DUMMYFUNCTION("""COMPUTED_VALUE"""),"Out 19")</f>
        <v>Out 19</v>
      </c>
      <c r="F21" s="5"/>
      <c r="G21" s="5"/>
      <c r="H21" s="5" t="str">
        <f>IFERROR(__xludf.DUMMYFUNCTION("""COMPUTED_VALUE"""),"B.3")</f>
        <v>B.3</v>
      </c>
      <c r="I21" s="5" t="str">
        <f>IFERROR(__xludf.DUMMYFUNCTION("""COMPUTED_VALUE"""),"Loop B")</f>
        <v>Loop B</v>
      </c>
      <c r="J21" s="5">
        <f>IFERROR(__xludf.DUMMYFUNCTION("""COMPUTED_VALUE"""),1.0)</f>
        <v>1</v>
      </c>
      <c r="K21" s="5" t="str">
        <f>IFERROR(__xludf.DUMMYFUNCTION("""COMPUTED_VALUE"""),"In P1")</f>
        <v>In P1</v>
      </c>
      <c r="L21" s="5" t="str">
        <f>IFERROR(__xludf.DUMMYFUNCTION("""COMPUTED_VALUE"""),"LOOP B.1")</f>
        <v>LOOP B.1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 t="str">
        <f>IFERROR(__xludf.DUMMYFUNCTION("""COMPUTED_VALUE"""),"C.3")</f>
        <v>C.3</v>
      </c>
      <c r="B22" s="5" t="str">
        <f>IFERROR(__xludf.DUMMYFUNCTION("""COMPUTED_VALUE"""),"AJA KUMO 6464")</f>
        <v>AJA KUMO 6464</v>
      </c>
      <c r="C22" s="5"/>
      <c r="D22" s="5"/>
      <c r="E22" s="5" t="str">
        <f>IFERROR(__xludf.DUMMYFUNCTION("""COMPUTED_VALUE"""),"Out 20")</f>
        <v>Out 20</v>
      </c>
      <c r="F22" s="5"/>
      <c r="G22" s="5"/>
      <c r="H22" s="5" t="str">
        <f>IFERROR(__xludf.DUMMYFUNCTION("""COMPUTED_VALUE"""),"B.3")</f>
        <v>B.3</v>
      </c>
      <c r="I22" s="5" t="str">
        <f>IFERROR(__xludf.DUMMYFUNCTION("""COMPUTED_VALUE"""),"Loop B")</f>
        <v>Loop B</v>
      </c>
      <c r="J22" s="5">
        <f>IFERROR(__xludf.DUMMYFUNCTION("""COMPUTED_VALUE"""),2.0)</f>
        <v>2</v>
      </c>
      <c r="K22" s="5" t="str">
        <f>IFERROR(__xludf.DUMMYFUNCTION("""COMPUTED_VALUE"""),"In P1")</f>
        <v>In P1</v>
      </c>
      <c r="L22" s="5" t="str">
        <f>IFERROR(__xludf.DUMMYFUNCTION("""COMPUTED_VALUE"""),"LOOP B.2")</f>
        <v>LOOP B.2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 t="str">
        <f>IFERROR(__xludf.DUMMYFUNCTION("""COMPUTED_VALUE"""),"C.3")</f>
        <v>C.3</v>
      </c>
      <c r="B23" s="5" t="str">
        <f>IFERROR(__xludf.DUMMYFUNCTION("""COMPUTED_VALUE"""),"AJA KUMO 6464")</f>
        <v>AJA KUMO 6464</v>
      </c>
      <c r="C23" s="5"/>
      <c r="D23" s="5"/>
      <c r="E23" s="5" t="str">
        <f>IFERROR(__xludf.DUMMYFUNCTION("""COMPUTED_VALUE"""),"Out 21")</f>
        <v>Out 21</v>
      </c>
      <c r="F23" s="5"/>
      <c r="G23" s="5"/>
      <c r="H23" s="5" t="str">
        <f>IFERROR(__xludf.DUMMYFUNCTION("""COMPUTED_VALUE"""),"B.4")</f>
        <v>B.4</v>
      </c>
      <c r="I23" s="5" t="str">
        <f>IFERROR(__xludf.DUMMYFUNCTION("""COMPUTED_VALUE"""),"Loop C")</f>
        <v>Loop C</v>
      </c>
      <c r="J23" s="5">
        <f>IFERROR(__xludf.DUMMYFUNCTION("""COMPUTED_VALUE"""),1.0)</f>
        <v>1</v>
      </c>
      <c r="K23" s="5" t="str">
        <f>IFERROR(__xludf.DUMMYFUNCTION("""COMPUTED_VALUE"""),"In P1")</f>
        <v>In P1</v>
      </c>
      <c r="L23" s="5" t="str">
        <f>IFERROR(__xludf.DUMMYFUNCTION("""COMPUTED_VALUE"""),"LOOP C.1")</f>
        <v>LOOP C.1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 t="str">
        <f>IFERROR(__xludf.DUMMYFUNCTION("""COMPUTED_VALUE"""),"C.3")</f>
        <v>C.3</v>
      </c>
      <c r="B24" s="5" t="str">
        <f>IFERROR(__xludf.DUMMYFUNCTION("""COMPUTED_VALUE"""),"AJA KUMO 6464")</f>
        <v>AJA KUMO 6464</v>
      </c>
      <c r="C24" s="5"/>
      <c r="D24" s="5"/>
      <c r="E24" s="5" t="str">
        <f>IFERROR(__xludf.DUMMYFUNCTION("""COMPUTED_VALUE"""),"Out 22")</f>
        <v>Out 22</v>
      </c>
      <c r="F24" s="5"/>
      <c r="G24" s="5"/>
      <c r="H24" s="5" t="str">
        <f>IFERROR(__xludf.DUMMYFUNCTION("""COMPUTED_VALUE"""),"B.4")</f>
        <v>B.4</v>
      </c>
      <c r="I24" s="5" t="str">
        <f>IFERROR(__xludf.DUMMYFUNCTION("""COMPUTED_VALUE"""),"Loop C")</f>
        <v>Loop C</v>
      </c>
      <c r="J24" s="5">
        <f>IFERROR(__xludf.DUMMYFUNCTION("""COMPUTED_VALUE"""),2.0)</f>
        <v>2</v>
      </c>
      <c r="K24" s="5" t="str">
        <f>IFERROR(__xludf.DUMMYFUNCTION("""COMPUTED_VALUE"""),"In P1")</f>
        <v>In P1</v>
      </c>
      <c r="L24" s="5" t="str">
        <f>IFERROR(__xludf.DUMMYFUNCTION("""COMPUTED_VALUE"""),"LOOP C.2")</f>
        <v>LOOP C.2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 t="str">
        <f>IFERROR(__xludf.DUMMYFUNCTION("""COMPUTED_VALUE"""),"C.3")</f>
        <v>C.3</v>
      </c>
      <c r="B25" s="5" t="str">
        <f>IFERROR(__xludf.DUMMYFUNCTION("""COMPUTED_VALUE"""),"AJA KUMO 6464")</f>
        <v>AJA KUMO 6464</v>
      </c>
      <c r="C25" s="5"/>
      <c r="D25" s="5"/>
      <c r="E25" s="5" t="str">
        <f>IFERROR(__xludf.DUMMYFUNCTION("""COMPUTED_VALUE"""),"Out 23")</f>
        <v>Out 23</v>
      </c>
      <c r="F25" s="5"/>
      <c r="G25" s="5"/>
      <c r="H25" s="5" t="str">
        <f>IFERROR(__xludf.DUMMYFUNCTION("""COMPUTED_VALUE"""),"C.4")</f>
        <v>C.4</v>
      </c>
      <c r="I25" s="5" t="str">
        <f>IFERROR(__xludf.DUMMYFUNCTION("""COMPUTED_VALUE"""),"Blackmagic Multiview 16")</f>
        <v>Blackmagic Multiview 16</v>
      </c>
      <c r="J25" s="5"/>
      <c r="K25" s="5" t="str">
        <f>IFERROR(__xludf.DUMMYFUNCTION("""COMPUTED_VALUE"""),"In 1")</f>
        <v>In 1</v>
      </c>
      <c r="L25" s="5" t="str">
        <f>IFERROR(__xludf.DUMMYFUNCTION("""COMPUTED_VALUE"""),"1 MV TX")</f>
        <v>1 MV TX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 t="str">
        <f>IFERROR(__xludf.DUMMYFUNCTION("""COMPUTED_VALUE"""),"C.3")</f>
        <v>C.3</v>
      </c>
      <c r="B26" s="5" t="str">
        <f>IFERROR(__xludf.DUMMYFUNCTION("""COMPUTED_VALUE"""),"AJA KUMO 6464")</f>
        <v>AJA KUMO 6464</v>
      </c>
      <c r="C26" s="5"/>
      <c r="D26" s="5"/>
      <c r="E26" s="5" t="str">
        <f>IFERROR(__xludf.DUMMYFUNCTION("""COMPUTED_VALUE"""),"Out 24")</f>
        <v>Out 24</v>
      </c>
      <c r="F26" s="5"/>
      <c r="G26" s="5"/>
      <c r="H26" s="5" t="str">
        <f>IFERROR(__xludf.DUMMYFUNCTION("""COMPUTED_VALUE"""),"N/C")</f>
        <v>N/C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 t="str">
        <f>IFERROR(__xludf.DUMMYFUNCTION("""COMPUTED_VALUE"""),"C.3")</f>
        <v>C.3</v>
      </c>
      <c r="B27" s="5" t="str">
        <f>IFERROR(__xludf.DUMMYFUNCTION("""COMPUTED_VALUE"""),"AJA KUMO 6464")</f>
        <v>AJA KUMO 6464</v>
      </c>
      <c r="C27" s="5"/>
      <c r="D27" s="5"/>
      <c r="E27" s="5" t="str">
        <f>IFERROR(__xludf.DUMMYFUNCTION("""COMPUTED_VALUE"""),"Out 25")</f>
        <v>Out 25</v>
      </c>
      <c r="F27" s="5"/>
      <c r="G27" s="5"/>
      <c r="H27" s="5" t="str">
        <f>IFERROR(__xludf.DUMMYFUNCTION("""COMPUTED_VALUE"""),"F.7")</f>
        <v>F.7</v>
      </c>
      <c r="I27" s="5" t="str">
        <f>IFERROR(__xludf.DUMMYFUNCTION("""COMPUTED_VALUE"""),"FOR A HVS-390HS")</f>
        <v>FOR A HVS-390HS</v>
      </c>
      <c r="J27" s="5"/>
      <c r="K27" s="5" t="str">
        <f>IFERROR(__xludf.DUMMYFUNCTION("""COMPUTED_VALUE"""),"In 11")</f>
        <v>In 11</v>
      </c>
      <c r="L27" s="5" t="str">
        <f>IFERROR(__xludf.DUMMYFUNCTION("""COMPUTED_VALUE"""),"MX 25")</f>
        <v>MX 25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 t="str">
        <f>IFERROR(__xludf.DUMMYFUNCTION("""COMPUTED_VALUE"""),"C.3")</f>
        <v>C.3</v>
      </c>
      <c r="B28" s="5" t="str">
        <f>IFERROR(__xludf.DUMMYFUNCTION("""COMPUTED_VALUE"""),"AJA KUMO 6464")</f>
        <v>AJA KUMO 6464</v>
      </c>
      <c r="C28" s="5"/>
      <c r="D28" s="5"/>
      <c r="E28" s="5" t="str">
        <f>IFERROR(__xludf.DUMMYFUNCTION("""COMPUTED_VALUE"""),"Out 26")</f>
        <v>Out 26</v>
      </c>
      <c r="F28" s="5"/>
      <c r="G28" s="5"/>
      <c r="H28" s="5" t="str">
        <f>IFERROR(__xludf.DUMMYFUNCTION("""COMPUTED_VALUE"""),"F.7")</f>
        <v>F.7</v>
      </c>
      <c r="I28" s="5" t="str">
        <f>IFERROR(__xludf.DUMMYFUNCTION("""COMPUTED_VALUE"""),"FOR A HVS-390HS")</f>
        <v>FOR A HVS-390HS</v>
      </c>
      <c r="J28" s="5"/>
      <c r="K28" s="5" t="str">
        <f>IFERROR(__xludf.DUMMYFUNCTION("""COMPUTED_VALUE"""),"In 12")</f>
        <v>In 12</v>
      </c>
      <c r="L28" s="5" t="str">
        <f>IFERROR(__xludf.DUMMYFUNCTION("""COMPUTED_VALUE"""),"MX 26")</f>
        <v>MX 26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 t="str">
        <f>IFERROR(__xludf.DUMMYFUNCTION("""COMPUTED_VALUE"""),"C.3")</f>
        <v>C.3</v>
      </c>
      <c r="B29" s="5" t="str">
        <f>IFERROR(__xludf.DUMMYFUNCTION("""COMPUTED_VALUE"""),"AJA KUMO 6464")</f>
        <v>AJA KUMO 6464</v>
      </c>
      <c r="C29" s="5"/>
      <c r="D29" s="5"/>
      <c r="E29" s="5" t="str">
        <f>IFERROR(__xludf.DUMMYFUNCTION("""COMPUTED_VALUE"""),"Out 27")</f>
        <v>Out 27</v>
      </c>
      <c r="F29" s="5"/>
      <c r="G29" s="5"/>
      <c r="H29" s="5" t="str">
        <f>IFERROR(__xludf.DUMMYFUNCTION("""COMPUTED_VALUE"""),"F.7")</f>
        <v>F.7</v>
      </c>
      <c r="I29" s="5" t="str">
        <f>IFERROR(__xludf.DUMMYFUNCTION("""COMPUTED_VALUE"""),"FOR A HVS-390HS")</f>
        <v>FOR A HVS-390HS</v>
      </c>
      <c r="J29" s="5"/>
      <c r="K29" s="5" t="str">
        <f>IFERROR(__xludf.DUMMYFUNCTION("""COMPUTED_VALUE"""),"In 13")</f>
        <v>In 13</v>
      </c>
      <c r="L29" s="5" t="str">
        <f>IFERROR(__xludf.DUMMYFUNCTION("""COMPUTED_VALUE"""),"MX 27")</f>
        <v>MX 27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 t="str">
        <f>IFERROR(__xludf.DUMMYFUNCTION("""COMPUTED_VALUE"""),"C.3")</f>
        <v>C.3</v>
      </c>
      <c r="B30" s="5" t="str">
        <f>IFERROR(__xludf.DUMMYFUNCTION("""COMPUTED_VALUE"""),"AJA KUMO 6464")</f>
        <v>AJA KUMO 6464</v>
      </c>
      <c r="C30" s="5"/>
      <c r="D30" s="5"/>
      <c r="E30" s="5" t="str">
        <f>IFERROR(__xludf.DUMMYFUNCTION("""COMPUTED_VALUE"""),"Out 28")</f>
        <v>Out 28</v>
      </c>
      <c r="F30" s="5"/>
      <c r="G30" s="5"/>
      <c r="H30" s="5" t="str">
        <f>IFERROR(__xludf.DUMMYFUNCTION("""COMPUTED_VALUE"""),"F.7")</f>
        <v>F.7</v>
      </c>
      <c r="I30" s="5" t="str">
        <f>IFERROR(__xludf.DUMMYFUNCTION("""COMPUTED_VALUE"""),"FOR A HVS-390HS")</f>
        <v>FOR A HVS-390HS</v>
      </c>
      <c r="J30" s="5"/>
      <c r="K30" s="5" t="str">
        <f>IFERROR(__xludf.DUMMYFUNCTION("""COMPUTED_VALUE"""),"In 14")</f>
        <v>In 14</v>
      </c>
      <c r="L30" s="5" t="str">
        <f>IFERROR(__xludf.DUMMYFUNCTION("""COMPUTED_VALUE"""),"MX 28")</f>
        <v>MX 28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 t="str">
        <f>IFERROR(__xludf.DUMMYFUNCTION("""COMPUTED_VALUE"""),"C.3")</f>
        <v>C.3</v>
      </c>
      <c r="B31" s="5" t="str">
        <f>IFERROR(__xludf.DUMMYFUNCTION("""COMPUTED_VALUE"""),"AJA KUMO 6464")</f>
        <v>AJA KUMO 6464</v>
      </c>
      <c r="C31" s="5"/>
      <c r="D31" s="5"/>
      <c r="E31" s="5" t="str">
        <f>IFERROR(__xludf.DUMMYFUNCTION("""COMPUTED_VALUE"""),"Out 29")</f>
        <v>Out 29</v>
      </c>
      <c r="F31" s="5"/>
      <c r="G31" s="5"/>
      <c r="H31" s="5" t="str">
        <f>IFERROR(__xludf.DUMMYFUNCTION("""COMPUTED_VALUE"""),"N/C")</f>
        <v>N/C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 t="str">
        <f>IFERROR(__xludf.DUMMYFUNCTION("""COMPUTED_VALUE"""),"C.3")</f>
        <v>C.3</v>
      </c>
      <c r="B32" s="5" t="str">
        <f>IFERROR(__xludf.DUMMYFUNCTION("""COMPUTED_VALUE"""),"AJA KUMO 6464")</f>
        <v>AJA KUMO 6464</v>
      </c>
      <c r="C32" s="5"/>
      <c r="D32" s="5"/>
      <c r="E32" s="5" t="str">
        <f>IFERROR(__xludf.DUMMYFUNCTION("""COMPUTED_VALUE"""),"Out 30")</f>
        <v>Out 30</v>
      </c>
      <c r="F32" s="5"/>
      <c r="G32" s="5"/>
      <c r="H32" s="5" t="str">
        <f>IFERROR(__xludf.DUMMYFUNCTION("""COMPUTED_VALUE"""),"E.4")</f>
        <v>E.4</v>
      </c>
      <c r="I32" s="5" t="str">
        <f>IFERROR(__xludf.DUMMYFUNCTION("""COMPUTED_VALUE"""),"PC Rack")</f>
        <v>PC Rack</v>
      </c>
      <c r="J32" s="5">
        <f>IFERROR(__xludf.DUMMYFUNCTION("""COMPUTED_VALUE"""),1.0)</f>
        <v>1</v>
      </c>
      <c r="K32" s="5" t="str">
        <f>IFERROR(__xludf.DUMMYFUNCTION("""COMPUTED_VALUE"""),"In P3")</f>
        <v>In P3</v>
      </c>
      <c r="L32" s="5" t="str">
        <f>IFERROR(__xludf.DUMMYFUNCTION("""COMPUTED_VALUE"""),"D.L.1 Streaming")</f>
        <v>D.L.1 Streaming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 t="str">
        <f>IFERROR(__xludf.DUMMYFUNCTION("""COMPUTED_VALUE"""),"C.3")</f>
        <v>C.3</v>
      </c>
      <c r="B33" s="5" t="str">
        <f>IFERROR(__xludf.DUMMYFUNCTION("""COMPUTED_VALUE"""),"AJA KUMO 6464")</f>
        <v>AJA KUMO 6464</v>
      </c>
      <c r="C33" s="5"/>
      <c r="D33" s="5"/>
      <c r="E33" s="5" t="str">
        <f>IFERROR(__xludf.DUMMYFUNCTION("""COMPUTED_VALUE"""),"Out 31")</f>
        <v>Out 31</v>
      </c>
      <c r="F33" s="5"/>
      <c r="G33" s="5"/>
      <c r="H33" s="5" t="str">
        <f>IFERROR(__xludf.DUMMYFUNCTION("""COMPUTED_VALUE"""),"E.5")</f>
        <v>E.5</v>
      </c>
      <c r="I33" s="5" t="str">
        <f>IFERROR(__xludf.DUMMYFUNCTION("""COMPUTED_VALUE"""),"Datavideo TC-200")</f>
        <v>Datavideo TC-200</v>
      </c>
      <c r="J33" s="5"/>
      <c r="K33" s="5" t="str">
        <f>IFERROR(__xludf.DUMMYFUNCTION("""COMPUTED_VALUE"""),"SDI In")</f>
        <v>SDI In</v>
      </c>
      <c r="L33" s="5" t="str">
        <f>IFERROR(__xludf.DUMMYFUNCTION("""COMPUTED_VALUE"""),"CG")</f>
        <v>CG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 t="str">
        <f>IFERROR(__xludf.DUMMYFUNCTION("""COMPUTED_VALUE"""),"C.3")</f>
        <v>C.3</v>
      </c>
      <c r="B34" s="5" t="str">
        <f>IFERROR(__xludf.DUMMYFUNCTION("""COMPUTED_VALUE"""),"AJA KUMO 6464")</f>
        <v>AJA KUMO 6464</v>
      </c>
      <c r="C34" s="5"/>
      <c r="D34" s="5"/>
      <c r="E34" s="5" t="str">
        <f>IFERROR(__xludf.DUMMYFUNCTION("""COMPUTED_VALUE"""),"Out 32")</f>
        <v>Out 32</v>
      </c>
      <c r="F34" s="5"/>
      <c r="G34" s="5"/>
      <c r="H34" s="5" t="str">
        <f>IFERROR(__xludf.DUMMYFUNCTION("""COMPUTED_VALUE"""),"DC.10")</f>
        <v>DC.10</v>
      </c>
      <c r="I34" s="5" t="str">
        <f>IFERROR(__xludf.DUMMYFUNCTION("""COMPUTED_VALUE"""),"Escalador Pantalla")</f>
        <v>Escalador Pantalla</v>
      </c>
      <c r="J34" s="5"/>
      <c r="K34" s="5"/>
      <c r="L34" s="5" t="str">
        <f>IFERROR(__xludf.DUMMYFUNCTION("""COMPUTED_VALUE"""),"Esc pantalla")</f>
        <v>Esc pantalla</v>
      </c>
      <c r="M34" s="5" t="str">
        <f>IFERROR(__xludf.DUMMYFUNCTION("""COMPUTED_VALUE"""),"Aparentemente en bandeja arriba de iluminador")</f>
        <v>Aparentemente en bandeja arriba de iluminador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 t="str">
        <f>IFERROR(__xludf.DUMMYFUNCTION("""COMPUTED_VALUE"""),"C.3")</f>
        <v>C.3</v>
      </c>
      <c r="B35" s="5" t="str">
        <f>IFERROR(__xludf.DUMMYFUNCTION("""COMPUTED_VALUE"""),"AJA KUMO 6464")</f>
        <v>AJA KUMO 6464</v>
      </c>
      <c r="C35" s="5"/>
      <c r="D35" s="5"/>
      <c r="E35" s="5" t="str">
        <f>IFERROR(__xludf.DUMMYFUNCTION("""COMPUTED_VALUE"""),"Out 33")</f>
        <v>Out 33</v>
      </c>
      <c r="F35" s="5"/>
      <c r="G35" s="5"/>
      <c r="H35" s="5" t="str">
        <f>IFERROR(__xludf.DUMMYFUNCTION("""COMPUTED_VALUE"""),"C.7")</f>
        <v>C.7</v>
      </c>
      <c r="I35" s="5" t="str">
        <f>IFERROR(__xludf.DUMMYFUNCTION("""COMPUTED_VALUE"""),"Patch Panel")</f>
        <v>Patch Panel</v>
      </c>
      <c r="J35" s="5"/>
      <c r="K35" s="5" t="str">
        <f>IFERROR(__xludf.DUMMYFUNCTION("""COMPUTED_VALUE"""),"In 16")</f>
        <v>In 16</v>
      </c>
      <c r="L35" s="5" t="str">
        <f>IFERROR(__xludf.DUMMYFUNCTION("""COMPUTED_VALUE"""),"out out")</f>
        <v>out out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 t="str">
        <f>IFERROR(__xludf.DUMMYFUNCTION("""COMPUTED_VALUE"""),"C.3")</f>
        <v>C.3</v>
      </c>
      <c r="B36" s="5" t="str">
        <f>IFERROR(__xludf.DUMMYFUNCTION("""COMPUTED_VALUE"""),"AJA KUMO 6464")</f>
        <v>AJA KUMO 6464</v>
      </c>
      <c r="C36" s="5"/>
      <c r="D36" s="5"/>
      <c r="E36" s="5" t="str">
        <f>IFERROR(__xludf.DUMMYFUNCTION("""COMPUTED_VALUE"""),"Out 34")</f>
        <v>Out 34</v>
      </c>
      <c r="F36" s="5"/>
      <c r="G36" s="5"/>
      <c r="H36" s="5" t="str">
        <f>IFERROR(__xludf.DUMMYFUNCTION("""COMPUTED_VALUE"""),"C.7")</f>
        <v>C.7</v>
      </c>
      <c r="I36" s="5" t="str">
        <f>IFERROR(__xludf.DUMMYFUNCTION("""COMPUTED_VALUE"""),"Patch Panel")</f>
        <v>Patch Panel</v>
      </c>
      <c r="J36" s="5"/>
      <c r="K36" s="5" t="str">
        <f>IFERROR(__xludf.DUMMYFUNCTION("""COMPUTED_VALUE"""),"In 15")</f>
        <v>In 15</v>
      </c>
      <c r="L36" s="5" t="str">
        <f>IFERROR(__xludf.DUMMYFUNCTION("""COMPUTED_VALUE"""),"MON PISO")</f>
        <v>MON PISO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 t="str">
        <f>IFERROR(__xludf.DUMMYFUNCTION("""COMPUTED_VALUE"""),"C.3")</f>
        <v>C.3</v>
      </c>
      <c r="B37" s="5" t="str">
        <f>IFERROR(__xludf.DUMMYFUNCTION("""COMPUTED_VALUE"""),"AJA KUMO 6464")</f>
        <v>AJA KUMO 6464</v>
      </c>
      <c r="C37" s="5"/>
      <c r="D37" s="5"/>
      <c r="E37" s="5" t="str">
        <f>IFERROR(__xludf.DUMMYFUNCTION("""COMPUTED_VALUE"""),"Out 35")</f>
        <v>Out 35</v>
      </c>
      <c r="F37" s="5"/>
      <c r="G37" s="5"/>
      <c r="H37" s="5" t="str">
        <f>IFERROR(__xludf.DUMMYFUNCTION("""COMPUTED_VALUE"""),"C.7")</f>
        <v>C.7</v>
      </c>
      <c r="I37" s="5" t="str">
        <f>IFERROR(__xludf.DUMMYFUNCTION("""COMPUTED_VALUE"""),"Patch Panel")</f>
        <v>Patch Panel</v>
      </c>
      <c r="J37" s="5"/>
      <c r="K37" s="5" t="str">
        <f>IFERROR(__xludf.DUMMYFUNCTION("""COMPUTED_VALUE"""),"In 14")</f>
        <v>In 14</v>
      </c>
      <c r="L37" s="5" t="str">
        <f>IFERROR(__xludf.DUMMYFUNCTION("""COMPUTED_VALUE"""),"MON ILUMINA")</f>
        <v>MON ILUMINA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 t="str">
        <f>IFERROR(__xludf.DUMMYFUNCTION("""COMPUTED_VALUE"""),"C.3")</f>
        <v>C.3</v>
      </c>
      <c r="B38" s="5" t="str">
        <f>IFERROR(__xludf.DUMMYFUNCTION("""COMPUTED_VALUE"""),"AJA KUMO 6464")</f>
        <v>AJA KUMO 6464</v>
      </c>
      <c r="C38" s="5"/>
      <c r="D38" s="5"/>
      <c r="E38" s="5" t="str">
        <f>IFERROR(__xludf.DUMMYFUNCTION("""COMPUTED_VALUE"""),"Out 36")</f>
        <v>Out 36</v>
      </c>
      <c r="F38" s="5"/>
      <c r="G38" s="5"/>
      <c r="H38" s="5" t="str">
        <f>IFERROR(__xludf.DUMMYFUNCTION("""COMPUTED_VALUE"""),"C.7")</f>
        <v>C.7</v>
      </c>
      <c r="I38" s="5" t="str">
        <f>IFERROR(__xludf.DUMMYFUNCTION("""COMPUTED_VALUE"""),"Patch Panel")</f>
        <v>Patch Panel</v>
      </c>
      <c r="J38" s="5"/>
      <c r="K38" s="5" t="str">
        <f>IFERROR(__xludf.DUMMYFUNCTION("""COMPUTED_VALUE"""),"In 13")</f>
        <v>In 13</v>
      </c>
      <c r="L38" s="5" t="str">
        <f>IFERROR(__xludf.DUMMYFUNCTION("""COMPUTED_VALUE"""),"MON TITULOS")</f>
        <v>MON TITULOS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 t="str">
        <f>IFERROR(__xludf.DUMMYFUNCTION("""COMPUTED_VALUE"""),"C.3")</f>
        <v>C.3</v>
      </c>
      <c r="B39" s="5" t="str">
        <f>IFERROR(__xludf.DUMMYFUNCTION("""COMPUTED_VALUE"""),"AJA KUMO 6464")</f>
        <v>AJA KUMO 6464</v>
      </c>
      <c r="C39" s="5"/>
      <c r="D39" s="5"/>
      <c r="E39" s="5" t="str">
        <f>IFERROR(__xludf.DUMMYFUNCTION("""COMPUTED_VALUE"""),"Out 37")</f>
        <v>Out 37</v>
      </c>
      <c r="F39" s="5"/>
      <c r="G39" s="5"/>
      <c r="H39" s="5" t="str">
        <f>IFERROR(__xludf.DUMMYFUNCTION("""COMPUTED_VALUE"""),"C.7")</f>
        <v>C.7</v>
      </c>
      <c r="I39" s="5" t="str">
        <f>IFERROR(__xludf.DUMMYFUNCTION("""COMPUTED_VALUE"""),"Patch Panel")</f>
        <v>Patch Panel</v>
      </c>
      <c r="J39" s="5"/>
      <c r="K39" s="5" t="str">
        <f>IFERROR(__xludf.DUMMYFUNCTION("""COMPUTED_VALUE"""),"In 12")</f>
        <v>In 12</v>
      </c>
      <c r="L39" s="5" t="str">
        <f>IFERROR(__xludf.DUMMYFUNCTION("""COMPUTED_VALUE"""),"xxx xxx")</f>
        <v>xxx xxx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 t="str">
        <f>IFERROR(__xludf.DUMMYFUNCTION("""COMPUTED_VALUE"""),"C.3")</f>
        <v>C.3</v>
      </c>
      <c r="B40" s="5" t="str">
        <f>IFERROR(__xludf.DUMMYFUNCTION("""COMPUTED_VALUE"""),"AJA KUMO 6464")</f>
        <v>AJA KUMO 6464</v>
      </c>
      <c r="C40" s="5"/>
      <c r="D40" s="5"/>
      <c r="E40" s="5" t="str">
        <f>IFERROR(__xludf.DUMMYFUNCTION("""COMPUTED_VALUE"""),"Out 38")</f>
        <v>Out 38</v>
      </c>
      <c r="F40" s="5"/>
      <c r="G40" s="5"/>
      <c r="H40" s="5" t="str">
        <f>IFERROR(__xludf.DUMMYFUNCTION("""COMPUTED_VALUE"""),"C.7")</f>
        <v>C.7</v>
      </c>
      <c r="I40" s="5" t="str">
        <f>IFERROR(__xludf.DUMMYFUNCTION("""COMPUTED_VALUE"""),"Patch Panel")</f>
        <v>Patch Panel</v>
      </c>
      <c r="J40" s="5"/>
      <c r="K40" s="5" t="str">
        <f>IFERROR(__xludf.DUMMYFUNCTION("""COMPUTED_VALUE"""),"In 11")</f>
        <v>In 11</v>
      </c>
      <c r="L40" s="5" t="str">
        <f>IFERROR(__xludf.DUMMYFUNCTION("""COMPUTED_VALUE"""),"Fibra TDA 1 S")</f>
        <v>Fibra TDA 1 S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 t="str">
        <f>IFERROR(__xludf.DUMMYFUNCTION("""COMPUTED_VALUE"""),"C.3")</f>
        <v>C.3</v>
      </c>
      <c r="B41" s="5" t="str">
        <f>IFERROR(__xludf.DUMMYFUNCTION("""COMPUTED_VALUE"""),"AJA KUMO 6464")</f>
        <v>AJA KUMO 6464</v>
      </c>
      <c r="C41" s="5"/>
      <c r="D41" s="5"/>
      <c r="E41" s="5" t="str">
        <f>IFERROR(__xludf.DUMMYFUNCTION("""COMPUTED_VALUE"""),"Out 39")</f>
        <v>Out 39</v>
      </c>
      <c r="F41" s="5"/>
      <c r="G41" s="5"/>
      <c r="H41" s="5" t="str">
        <f>IFERROR(__xludf.DUMMYFUNCTION("""COMPUTED_VALUE"""),"C.7")</f>
        <v>C.7</v>
      </c>
      <c r="I41" s="5" t="str">
        <f>IFERROR(__xludf.DUMMYFUNCTION("""COMPUTED_VALUE"""),"Patch Panel")</f>
        <v>Patch Panel</v>
      </c>
      <c r="J41" s="5"/>
      <c r="K41" s="5" t="str">
        <f>IFERROR(__xludf.DUMMYFUNCTION("""COMPUTED_VALUE"""),"In 10")</f>
        <v>In 10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 t="str">
        <f>IFERROR(__xludf.DUMMYFUNCTION("""COMPUTED_VALUE"""),"C.3")</f>
        <v>C.3</v>
      </c>
      <c r="B42" s="5" t="str">
        <f>IFERROR(__xludf.DUMMYFUNCTION("""COMPUTED_VALUE"""),"AJA KUMO 6464")</f>
        <v>AJA KUMO 6464</v>
      </c>
      <c r="C42" s="5"/>
      <c r="D42" s="5"/>
      <c r="E42" s="5" t="str">
        <f>IFERROR(__xludf.DUMMYFUNCTION("""COMPUTED_VALUE"""),"Out 40")</f>
        <v>Out 40</v>
      </c>
      <c r="F42" s="5"/>
      <c r="G42" s="5"/>
      <c r="H42" s="5" t="str">
        <f>IFERROR(__xludf.DUMMYFUNCTION("""COMPUTED_VALUE"""),"C.7")</f>
        <v>C.7</v>
      </c>
      <c r="I42" s="5" t="str">
        <f>IFERROR(__xludf.DUMMYFUNCTION("""COMPUTED_VALUE"""),"Patch Panel")</f>
        <v>Patch Panel</v>
      </c>
      <c r="J42" s="5"/>
      <c r="K42" s="5" t="str">
        <f>IFERROR(__xludf.DUMMYFUNCTION("""COMPUTED_VALUE"""),"In 9")</f>
        <v>In 9</v>
      </c>
      <c r="L42" s="5" t="str">
        <f>IFERROR(__xludf.DUMMYFUNCTION("""COMPUTED_VALUE"""),"out out")</f>
        <v>out out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 t="str">
        <f>IFERROR(__xludf.DUMMYFUNCTION("""COMPUTED_VALUE"""),"C.3")</f>
        <v>C.3</v>
      </c>
      <c r="B43" s="5" t="str">
        <f>IFERROR(__xludf.DUMMYFUNCTION("""COMPUTED_VALUE"""),"AJA KUMO 6464")</f>
        <v>AJA KUMO 6464</v>
      </c>
      <c r="C43" s="5"/>
      <c r="D43" s="5"/>
      <c r="E43" s="5" t="str">
        <f>IFERROR(__xludf.DUMMYFUNCTION("""COMPUTED_VALUE"""),"Out 41")</f>
        <v>Out 41</v>
      </c>
      <c r="F43" s="5"/>
      <c r="G43" s="5"/>
      <c r="H43" s="5" t="str">
        <f>IFERROR(__xludf.DUMMYFUNCTION("""COMPUTED_VALUE"""),"C.7")</f>
        <v>C.7</v>
      </c>
      <c r="I43" s="5" t="str">
        <f>IFERROR(__xludf.DUMMYFUNCTION("""COMPUTED_VALUE"""),"Patch Panel")</f>
        <v>Patch Panel</v>
      </c>
      <c r="J43" s="5"/>
      <c r="K43" s="5" t="str">
        <f>IFERROR(__xludf.DUMMYFUNCTION("""COMPUTED_VALUE"""),"In 8")</f>
        <v>In 8</v>
      </c>
      <c r="L43" s="5" t="str">
        <f>IFERROR(__xludf.DUMMYFUNCTION("""COMPUTED_VALUE"""),"TO MOVIo")</f>
        <v>TO MOVIo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 t="str">
        <f>IFERROR(__xludf.DUMMYFUNCTION("""COMPUTED_VALUE"""),"C.3")</f>
        <v>C.3</v>
      </c>
      <c r="B44" s="5" t="str">
        <f>IFERROR(__xludf.DUMMYFUNCTION("""COMPUTED_VALUE"""),"AJA KUMO 6464")</f>
        <v>AJA KUMO 6464</v>
      </c>
      <c r="C44" s="5"/>
      <c r="D44" s="5"/>
      <c r="E44" s="5" t="str">
        <f>IFERROR(__xludf.DUMMYFUNCTION("""COMPUTED_VALUE"""),"Out 42")</f>
        <v>Out 42</v>
      </c>
      <c r="F44" s="5"/>
      <c r="G44" s="5"/>
      <c r="H44" s="5" t="str">
        <f>IFERROR(__xludf.DUMMYFUNCTION("""COMPUTED_VALUE"""),"C.7")</f>
        <v>C.7</v>
      </c>
      <c r="I44" s="5" t="str">
        <f>IFERROR(__xludf.DUMMYFUNCTION("""COMPUTED_VALUE"""),"Patch Panel")</f>
        <v>Patch Panel</v>
      </c>
      <c r="J44" s="5"/>
      <c r="K44" s="5" t="str">
        <f>IFERROR(__xludf.DUMMYFUNCTION("""COMPUTED_VALUE"""),"In 7")</f>
        <v>In 7</v>
      </c>
      <c r="L44" s="5" t="str">
        <f>IFERROR(__xludf.DUMMYFUNCTION("""COMPUTED_VALUE"""),"to cv hd")</f>
        <v>to cv hd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 t="str">
        <f>IFERROR(__xludf.DUMMYFUNCTION("""COMPUTED_VALUE"""),"C.3")</f>
        <v>C.3</v>
      </c>
      <c r="B45" s="5" t="str">
        <f>IFERROR(__xludf.DUMMYFUNCTION("""COMPUTED_VALUE"""),"AJA KUMO 6464")</f>
        <v>AJA KUMO 6464</v>
      </c>
      <c r="C45" s="5"/>
      <c r="D45" s="5"/>
      <c r="E45" s="5" t="str">
        <f>IFERROR(__xludf.DUMMYFUNCTION("""COMPUTED_VALUE"""),"Out 43")</f>
        <v>Out 43</v>
      </c>
      <c r="F45" s="5"/>
      <c r="G45" s="5"/>
      <c r="H45" s="5" t="str">
        <f>IFERROR(__xludf.DUMMYFUNCTION("""COMPUTED_VALUE"""),"C.7")</f>
        <v>C.7</v>
      </c>
      <c r="I45" s="5" t="str">
        <f>IFERROR(__xludf.DUMMYFUNCTION("""COMPUTED_VALUE"""),"Patch Panel")</f>
        <v>Patch Panel</v>
      </c>
      <c r="J45" s="5"/>
      <c r="K45" s="5" t="str">
        <f>IFERROR(__xludf.DUMMYFUNCTION("""COMPUTED_VALUE"""),"In 6")</f>
        <v>In 6</v>
      </c>
      <c r="L45" s="5" t="str">
        <f>IFERROR(__xludf.DUMMYFUNCTION("""COMPUTED_VALUE"""),"Radio desem")</f>
        <v>Radio desem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 t="str">
        <f>IFERROR(__xludf.DUMMYFUNCTION("""COMPUTED_VALUE"""),"C.3")</f>
        <v>C.3</v>
      </c>
      <c r="B46" s="5" t="str">
        <f>IFERROR(__xludf.DUMMYFUNCTION("""COMPUTED_VALUE"""),"AJA KUMO 6464")</f>
        <v>AJA KUMO 6464</v>
      </c>
      <c r="C46" s="5"/>
      <c r="D46" s="5"/>
      <c r="E46" s="5" t="str">
        <f>IFERROR(__xludf.DUMMYFUNCTION("""COMPUTED_VALUE"""),"Out 44")</f>
        <v>Out 44</v>
      </c>
      <c r="F46" s="5"/>
      <c r="G46" s="5"/>
      <c r="H46" s="5" t="str">
        <f>IFERROR(__xludf.DUMMYFUNCTION("""COMPUTED_VALUE"""),"C.7")</f>
        <v>C.7</v>
      </c>
      <c r="I46" s="5" t="str">
        <f>IFERROR(__xludf.DUMMYFUNCTION("""COMPUTED_VALUE"""),"Patch Panel")</f>
        <v>Patch Panel</v>
      </c>
      <c r="J46" s="5"/>
      <c r="K46" s="5" t="str">
        <f>IFERROR(__xludf.DUMMYFUNCTION("""COMPUTED_VALUE"""),"In 5")</f>
        <v>In 5</v>
      </c>
      <c r="L46" s="5" t="str">
        <f>IFERROR(__xludf.DUMMYFUNCTION("""COMPUTED_VALUE"""),"MON SONIDI")</f>
        <v>MON SONIDI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 t="str">
        <f>IFERROR(__xludf.DUMMYFUNCTION("""COMPUTED_VALUE"""),"C.3")</f>
        <v>C.3</v>
      </c>
      <c r="B47" s="5" t="str">
        <f>IFERROR(__xludf.DUMMYFUNCTION("""COMPUTED_VALUE"""),"AJA KUMO 6464")</f>
        <v>AJA KUMO 6464</v>
      </c>
      <c r="C47" s="5"/>
      <c r="D47" s="5"/>
      <c r="E47" s="5" t="str">
        <f>IFERROR(__xludf.DUMMYFUNCTION("""COMPUTED_VALUE"""),"Out 45")</f>
        <v>Out 45</v>
      </c>
      <c r="F47" s="5"/>
      <c r="G47" s="5"/>
      <c r="H47" s="5" t="str">
        <f>IFERROR(__xludf.DUMMYFUNCTION("""COMPUTED_VALUE"""),"C.7")</f>
        <v>C.7</v>
      </c>
      <c r="I47" s="5" t="str">
        <f>IFERROR(__xludf.DUMMYFUNCTION("""COMPUTED_VALUE"""),"Patch Panel")</f>
        <v>Patch Panel</v>
      </c>
      <c r="J47" s="5"/>
      <c r="K47" s="5" t="str">
        <f>IFERROR(__xludf.DUMMYFUNCTION("""COMPUTED_VALUE"""),"In 4")</f>
        <v>In 4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 t="str">
        <f>IFERROR(__xludf.DUMMYFUNCTION("""COMPUTED_VALUE"""),"C.3")</f>
        <v>C.3</v>
      </c>
      <c r="B48" s="5" t="str">
        <f>IFERROR(__xludf.DUMMYFUNCTION("""COMPUTED_VALUE"""),"AJA KUMO 6464")</f>
        <v>AJA KUMO 6464</v>
      </c>
      <c r="C48" s="5"/>
      <c r="D48" s="5"/>
      <c r="E48" s="5" t="str">
        <f>IFERROR(__xludf.DUMMYFUNCTION("""COMPUTED_VALUE"""),"Out 46")</f>
        <v>Out 46</v>
      </c>
      <c r="F48" s="5"/>
      <c r="G48" s="5"/>
      <c r="H48" s="5" t="str">
        <f>IFERROR(__xludf.DUMMYFUNCTION("""COMPUTED_VALUE"""),"C.7")</f>
        <v>C.7</v>
      </c>
      <c r="I48" s="5" t="str">
        <f>IFERROR(__xludf.DUMMYFUNCTION("""COMPUTED_VALUE"""),"Patch Panel")</f>
        <v>Patch Panel</v>
      </c>
      <c r="J48" s="5"/>
      <c r="K48" s="5" t="str">
        <f>IFERROR(__xludf.DUMMYFUNCTION("""COMPUTED_VALUE"""),"In 3")</f>
        <v>In 3</v>
      </c>
      <c r="L48" s="5" t="str">
        <f>IFERROR(__xludf.DUMMYFUNCTION("""COMPUTED_VALUE"""),"MONI LINEA")</f>
        <v>MONI LINEA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 t="str">
        <f>IFERROR(__xludf.DUMMYFUNCTION("""COMPUTED_VALUE"""),"C.3")</f>
        <v>C.3</v>
      </c>
      <c r="B49" s="5" t="str">
        <f>IFERROR(__xludf.DUMMYFUNCTION("""COMPUTED_VALUE"""),"AJA KUMO 6464")</f>
        <v>AJA KUMO 6464</v>
      </c>
      <c r="C49" s="5"/>
      <c r="D49" s="5"/>
      <c r="E49" s="5" t="str">
        <f>IFERROR(__xludf.DUMMYFUNCTION("""COMPUTED_VALUE"""),"Out 47")</f>
        <v>Out 47</v>
      </c>
      <c r="F49" s="5"/>
      <c r="G49" s="5"/>
      <c r="H49" s="5" t="str">
        <f>IFERROR(__xludf.DUMMYFUNCTION("""COMPUTED_VALUE"""),"C.7")</f>
        <v>C.7</v>
      </c>
      <c r="I49" s="5" t="str">
        <f>IFERROR(__xludf.DUMMYFUNCTION("""COMPUTED_VALUE"""),"Patch Panel")</f>
        <v>Patch Panel</v>
      </c>
      <c r="J49" s="5"/>
      <c r="K49" s="5" t="str">
        <f>IFERROR(__xludf.DUMMYFUNCTION("""COMPUTED_VALUE"""),"In 2")</f>
        <v>In 2</v>
      </c>
      <c r="L49" s="5" t="str">
        <f>IFERROR(__xludf.DUMMYFUNCTION("""COMPUTED_VALUE"""),"Dest 47")</f>
        <v>Dest 47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 t="str">
        <f>IFERROR(__xludf.DUMMYFUNCTION("""COMPUTED_VALUE"""),"C.3")</f>
        <v>C.3</v>
      </c>
      <c r="B50" s="5" t="str">
        <f>IFERROR(__xludf.DUMMYFUNCTION("""COMPUTED_VALUE"""),"AJA KUMO 6464")</f>
        <v>AJA KUMO 6464</v>
      </c>
      <c r="C50" s="5"/>
      <c r="D50" s="5"/>
      <c r="E50" s="5" t="str">
        <f>IFERROR(__xludf.DUMMYFUNCTION("""COMPUTED_VALUE"""),"Out 48")</f>
        <v>Out 48</v>
      </c>
      <c r="F50" s="5"/>
      <c r="G50" s="5"/>
      <c r="H50" s="5" t="str">
        <f>IFERROR(__xludf.DUMMYFUNCTION("""COMPUTED_VALUE"""),"C.7")</f>
        <v>C.7</v>
      </c>
      <c r="I50" s="5" t="str">
        <f>IFERROR(__xludf.DUMMYFUNCTION("""COMPUTED_VALUE"""),"Patch Panel")</f>
        <v>Patch Panel</v>
      </c>
      <c r="J50" s="5"/>
      <c r="K50" s="5" t="str">
        <f>IFERROR(__xludf.DUMMYFUNCTION("""COMPUTED_VALUE"""),"In 1")</f>
        <v>In 1</v>
      </c>
      <c r="L50" s="5" t="str">
        <f>IFERROR(__xludf.DUMMYFUNCTION("""COMPUTED_VALUE"""),"Dest 48")</f>
        <v>Dest 48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 t="str">
        <f>IFERROR(__xludf.DUMMYFUNCTION("""COMPUTED_VALUE"""),"C.3")</f>
        <v>C.3</v>
      </c>
      <c r="B51" s="5" t="str">
        <f>IFERROR(__xludf.DUMMYFUNCTION("""COMPUTED_VALUE"""),"AJA KUMO 6464")</f>
        <v>AJA KUMO 6464</v>
      </c>
      <c r="C51" s="5"/>
      <c r="D51" s="5"/>
      <c r="E51" s="5" t="str">
        <f>IFERROR(__xludf.DUMMYFUNCTION("""COMPUTED_VALUE"""),"Out 49")</f>
        <v>Out 49</v>
      </c>
      <c r="F51" s="5"/>
      <c r="G51" s="5"/>
      <c r="H51" s="5" t="str">
        <f>IFERROR(__xludf.DUMMYFUNCTION("""COMPUTED_VALUE"""),"D.7")</f>
        <v>D.7</v>
      </c>
      <c r="I51" s="5" t="str">
        <f>IFERROR(__xludf.DUMMYFUNCTION("""COMPUTED_VALUE"""),"openGear X")</f>
        <v>openGear X</v>
      </c>
      <c r="J51" s="5">
        <f>IFERROR(__xludf.DUMMYFUNCTION("""COMPUTED_VALUE"""),9.0)</f>
        <v>9</v>
      </c>
      <c r="K51" s="5" t="str">
        <f>IFERROR(__xludf.DUMMYFUNCTION("""COMPUTED_VALUE"""),"J2 (in)")</f>
        <v>J2 (in)</v>
      </c>
      <c r="L51" s="5" t="str">
        <f>IFERROR(__xludf.DUMMYFUNCTION("""COMPUTED_VALUE"""),"MON PISO")</f>
        <v>MON PISO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 t="str">
        <f>IFERROR(__xludf.DUMMYFUNCTION("""COMPUTED_VALUE"""),"C.3")</f>
        <v>C.3</v>
      </c>
      <c r="B52" s="5" t="str">
        <f>IFERROR(__xludf.DUMMYFUNCTION("""COMPUTED_VALUE"""),"AJA KUMO 6464")</f>
        <v>AJA KUMO 6464</v>
      </c>
      <c r="C52" s="5"/>
      <c r="D52" s="5"/>
      <c r="E52" s="5" t="str">
        <f>IFERROR(__xludf.DUMMYFUNCTION("""COMPUTED_VALUE"""),"Out 50")</f>
        <v>Out 50</v>
      </c>
      <c r="F52" s="5"/>
      <c r="G52" s="5"/>
      <c r="H52" s="5" t="str">
        <f>IFERROR(__xludf.DUMMYFUNCTION("""COMPUTED_VALUE"""),"N/C")</f>
        <v>N/C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 t="str">
        <f>IFERROR(__xludf.DUMMYFUNCTION("""COMPUTED_VALUE"""),"C.3")</f>
        <v>C.3</v>
      </c>
      <c r="B53" s="5" t="str">
        <f>IFERROR(__xludf.DUMMYFUNCTION("""COMPUTED_VALUE"""),"AJA KUMO 6464")</f>
        <v>AJA KUMO 6464</v>
      </c>
      <c r="C53" s="5"/>
      <c r="D53" s="5"/>
      <c r="E53" s="5" t="str">
        <f>IFERROR(__xludf.DUMMYFUNCTION("""COMPUTED_VALUE"""),"Out 51")</f>
        <v>Out 51</v>
      </c>
      <c r="F53" s="5"/>
      <c r="G53" s="5"/>
      <c r="H53" s="5" t="str">
        <f>IFERROR(__xludf.DUMMYFUNCTION("""COMPUTED_VALUE"""),"DC.7")</f>
        <v>DC.7</v>
      </c>
      <c r="I53" s="5" t="str">
        <f>IFERROR(__xludf.DUMMYFUNCTION("""COMPUTED_VALUE"""),"GrassValley T2")</f>
        <v>GrassValley T2</v>
      </c>
      <c r="J53" s="5"/>
      <c r="K53" s="5" t="str">
        <f>IFERROR(__xludf.DUMMYFUNCTION("""COMPUTED_VALUE"""),"In 1")</f>
        <v>In 1</v>
      </c>
      <c r="L53" s="5" t="str">
        <f>IFERROR(__xludf.DUMMYFUNCTION("""COMPUTED_VALUE"""),"GV DIR IN")</f>
        <v>GV DIR IN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 t="str">
        <f>IFERROR(__xludf.DUMMYFUNCTION("""COMPUTED_VALUE"""),"C.3")</f>
        <v>C.3</v>
      </c>
      <c r="B54" s="5" t="str">
        <f>IFERROR(__xludf.DUMMYFUNCTION("""COMPUTED_VALUE"""),"AJA KUMO 6464")</f>
        <v>AJA KUMO 6464</v>
      </c>
      <c r="C54" s="5"/>
      <c r="D54" s="5"/>
      <c r="E54" s="5" t="str">
        <f>IFERROR(__xludf.DUMMYFUNCTION("""COMPUTED_VALUE"""),"Out 52")</f>
        <v>Out 52</v>
      </c>
      <c r="F54" s="5"/>
      <c r="G54" s="5"/>
      <c r="H54" s="5" t="str">
        <f>IFERROR(__xludf.DUMMYFUNCTION("""COMPUTED_VALUE"""),"D.12")</f>
        <v>D.12</v>
      </c>
      <c r="I54" s="5" t="str">
        <f>IFERROR(__xludf.DUMMYFUNCTION("""COMPUTED_VALUE"""),"AJA FS2")</f>
        <v>AJA FS2</v>
      </c>
      <c r="J54" s="5"/>
      <c r="K54" s="5" t="str">
        <f>IFERROR(__xludf.DUMMYFUNCTION("""COMPUTED_VALUE"""),"In 2")</f>
        <v>In 2</v>
      </c>
      <c r="L54" s="5" t="str">
        <f>IFERROR(__xludf.DUMMYFUNCTION("""COMPUTED_VALUE"""),"fs2 c4")</f>
        <v>fs2 c4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 t="str">
        <f>IFERROR(__xludf.DUMMYFUNCTION("""COMPUTED_VALUE"""),"C.3")</f>
        <v>C.3</v>
      </c>
      <c r="B55" s="5" t="str">
        <f>IFERROR(__xludf.DUMMYFUNCTION("""COMPUTED_VALUE"""),"AJA KUMO 6464")</f>
        <v>AJA KUMO 6464</v>
      </c>
      <c r="C55" s="5"/>
      <c r="D55" s="5"/>
      <c r="E55" s="5" t="str">
        <f>IFERROR(__xludf.DUMMYFUNCTION("""COMPUTED_VALUE"""),"Out 53")</f>
        <v>Out 53</v>
      </c>
      <c r="F55" s="5"/>
      <c r="G55" s="5"/>
      <c r="H55" s="5" t="str">
        <f>IFERROR(__xludf.DUMMYFUNCTION("""COMPUTED_VALUE"""),"N/C")</f>
        <v>N/C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 t="str">
        <f>IFERROR(__xludf.DUMMYFUNCTION("""COMPUTED_VALUE"""),"C.3")</f>
        <v>C.3</v>
      </c>
      <c r="B56" s="5" t="str">
        <f>IFERROR(__xludf.DUMMYFUNCTION("""COMPUTED_VALUE"""),"AJA KUMO 6464")</f>
        <v>AJA KUMO 6464</v>
      </c>
      <c r="C56" s="5"/>
      <c r="D56" s="5"/>
      <c r="E56" s="5" t="str">
        <f>IFERROR(__xludf.DUMMYFUNCTION("""COMPUTED_VALUE"""),"Out 54")</f>
        <v>Out 54</v>
      </c>
      <c r="F56" s="5"/>
      <c r="G56" s="5"/>
      <c r="H56" s="5" t="str">
        <f>IFERROR(__xludf.DUMMYFUNCTION("""COMPUTED_VALUE"""),"E.2")</f>
        <v>E.2</v>
      </c>
      <c r="I56" s="5" t="str">
        <f>IFERROR(__xludf.DUMMYFUNCTION("""COMPUTED_VALUE"""),"Thomson ViBE CP6100")</f>
        <v>Thomson ViBE CP6100</v>
      </c>
      <c r="J56" s="5"/>
      <c r="K56" s="5" t="str">
        <f>IFERROR(__xludf.DUMMYFUNCTION("""COMPUTED_VALUE"""),"In")</f>
        <v>In</v>
      </c>
      <c r="L56" s="5" t="str">
        <f>IFERROR(__xludf.DUMMYFUNCTION("""COMPUTED_VALUE"""),"Thom up-link")</f>
        <v>Thom up-link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 t="str">
        <f>IFERROR(__xludf.DUMMYFUNCTION("""COMPUTED_VALUE"""),"C.3")</f>
        <v>C.3</v>
      </c>
      <c r="B57" s="5" t="str">
        <f>IFERROR(__xludf.DUMMYFUNCTION("""COMPUTED_VALUE"""),"AJA KUMO 6464")</f>
        <v>AJA KUMO 6464</v>
      </c>
      <c r="C57" s="5"/>
      <c r="D57" s="5"/>
      <c r="E57" s="5" t="str">
        <f>IFERROR(__xludf.DUMMYFUNCTION("""COMPUTED_VALUE"""),"Out 55")</f>
        <v>Out 55</v>
      </c>
      <c r="F57" s="5"/>
      <c r="G57" s="5"/>
      <c r="H57" s="5" t="str">
        <f>IFERROR(__xludf.DUMMYFUNCTION("""COMPUTED_VALUE"""),"N/C")</f>
        <v>N/C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 t="str">
        <f>IFERROR(__xludf.DUMMYFUNCTION("""COMPUTED_VALUE"""),"C.3")</f>
        <v>C.3</v>
      </c>
      <c r="B58" s="5" t="str">
        <f>IFERROR(__xludf.DUMMYFUNCTION("""COMPUTED_VALUE"""),"AJA KUMO 6464")</f>
        <v>AJA KUMO 6464</v>
      </c>
      <c r="C58" s="5"/>
      <c r="D58" s="5"/>
      <c r="E58" s="5" t="str">
        <f>IFERROR(__xludf.DUMMYFUNCTION("""COMPUTED_VALUE"""),"Out 56")</f>
        <v>Out 56</v>
      </c>
      <c r="F58" s="5"/>
      <c r="G58" s="5"/>
      <c r="H58" s="5" t="str">
        <f>IFERROR(__xludf.DUMMYFUNCTION("""COMPUTED_VALUE"""),"A.5")</f>
        <v>A.5</v>
      </c>
      <c r="I58" s="5" t="str">
        <f>IFERROR(__xludf.DUMMYFUNCTION("""COMPUTED_VALUE"""),"CGX")</f>
        <v>CGX</v>
      </c>
      <c r="J58" s="5">
        <f>IFERROR(__xludf.DUMMYFUNCTION("""COMPUTED_VALUE"""),1.0)</f>
        <v>1</v>
      </c>
      <c r="K58" s="5" t="str">
        <f>IFERROR(__xludf.DUMMYFUNCTION("""COMPUTED_VALUE"""),"In P1")</f>
        <v>In P1</v>
      </c>
      <c r="L58" s="5" t="str">
        <f>IFERROR(__xludf.DUMMYFUNCTION("""COMPUTED_VALUE"""),"IN CGX")</f>
        <v>IN CGX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 t="str">
        <f>IFERROR(__xludf.DUMMYFUNCTION("""COMPUTED_VALUE"""),"C.3")</f>
        <v>C.3</v>
      </c>
      <c r="B59" s="5" t="str">
        <f>IFERROR(__xludf.DUMMYFUNCTION("""COMPUTED_VALUE"""),"AJA KUMO 6464")</f>
        <v>AJA KUMO 6464</v>
      </c>
      <c r="C59" s="5"/>
      <c r="D59" s="5"/>
      <c r="E59" s="5" t="str">
        <f>IFERROR(__xludf.DUMMYFUNCTION("""COMPUTED_VALUE"""),"Out 57")</f>
        <v>Out 57</v>
      </c>
      <c r="F59" s="5"/>
      <c r="G59" s="5"/>
      <c r="H59" s="5" t="str">
        <f>IFERROR(__xludf.DUMMYFUNCTION("""COMPUTED_VALUE"""),"D.11")</f>
        <v>D.11</v>
      </c>
      <c r="I59" s="5" t="str">
        <f>IFERROR(__xludf.DUMMYFUNCTION("""COMPUTED_VALUE"""),"AJA FS4")</f>
        <v>AJA FS4</v>
      </c>
      <c r="J59" s="5"/>
      <c r="K59" s="5" t="str">
        <f>IFERROR(__xludf.DUMMYFUNCTION("""COMPUTED_VALUE"""),"SDI In 1")</f>
        <v>SDI In 1</v>
      </c>
      <c r="L59" s="5" t="str">
        <f>IFERROR(__xludf.DUMMYFUNCTION("""COMPUTED_VALUE"""),"CGX AJA FS4")</f>
        <v>CGX AJA FS4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 t="str">
        <f>IFERROR(__xludf.DUMMYFUNCTION("""COMPUTED_VALUE"""),"C.3")</f>
        <v>C.3</v>
      </c>
      <c r="B60" s="5" t="str">
        <f>IFERROR(__xludf.DUMMYFUNCTION("""COMPUTED_VALUE"""),"AJA KUMO 6464")</f>
        <v>AJA KUMO 6464</v>
      </c>
      <c r="C60" s="5"/>
      <c r="D60" s="5"/>
      <c r="E60" s="5" t="str">
        <f>IFERROR(__xludf.DUMMYFUNCTION("""COMPUTED_VALUE"""),"Out 58")</f>
        <v>Out 58</v>
      </c>
      <c r="F60" s="5"/>
      <c r="G60" s="5"/>
      <c r="H60" s="5" t="str">
        <f>IFERROR(__xludf.DUMMYFUNCTION("""COMPUTED_VALUE"""),"N/C")</f>
        <v>N/C</v>
      </c>
      <c r="I60" s="5"/>
      <c r="J60" s="5"/>
      <c r="K60" s="5"/>
      <c r="L60" s="5" t="str">
        <f>IFERROR(__xludf.DUMMYFUNCTION("""COMPUTED_VALUE"""),"AJA FS4 2")</f>
        <v>AJA FS4 2</v>
      </c>
      <c r="M60" s="5" t="str">
        <f>IFERROR(__xludf.DUMMYFUNCTION("""COMPUTED_VALUE"""),"Cable suelto en Rack D.11")</f>
        <v>Cable suelto en Rack D.11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 t="str">
        <f>IFERROR(__xludf.DUMMYFUNCTION("""COMPUTED_VALUE"""),"C.3")</f>
        <v>C.3</v>
      </c>
      <c r="B61" s="5" t="str">
        <f>IFERROR(__xludf.DUMMYFUNCTION("""COMPUTED_VALUE"""),"AJA KUMO 6464")</f>
        <v>AJA KUMO 6464</v>
      </c>
      <c r="C61" s="5"/>
      <c r="D61" s="5"/>
      <c r="E61" s="5" t="str">
        <f>IFERROR(__xludf.DUMMYFUNCTION("""COMPUTED_VALUE"""),"Out 59")</f>
        <v>Out 59</v>
      </c>
      <c r="F61" s="5"/>
      <c r="G61" s="5"/>
      <c r="H61" s="5" t="str">
        <f>IFERROR(__xludf.DUMMYFUNCTION("""COMPUTED_VALUE"""),"D.11")</f>
        <v>D.11</v>
      </c>
      <c r="I61" s="5" t="str">
        <f>IFERROR(__xludf.DUMMYFUNCTION("""COMPUTED_VALUE"""),"AJA FS4")</f>
        <v>AJA FS4</v>
      </c>
      <c r="J61" s="5"/>
      <c r="K61" s="5" t="str">
        <f>IFERROR(__xludf.DUMMYFUNCTION("""COMPUTED_VALUE"""),"SDI In 3")</f>
        <v>SDI In 3</v>
      </c>
      <c r="L61" s="5" t="str">
        <f>IFERROR(__xludf.DUMMYFUNCTION("""COMPUTED_VALUE"""),"AJA FS4 SAT 3")</f>
        <v>AJA FS4 SAT 3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 t="str">
        <f>IFERROR(__xludf.DUMMYFUNCTION("""COMPUTED_VALUE"""),"C.3")</f>
        <v>C.3</v>
      </c>
      <c r="B62" s="5" t="str">
        <f>IFERROR(__xludf.DUMMYFUNCTION("""COMPUTED_VALUE"""),"AJA KUMO 6464")</f>
        <v>AJA KUMO 6464</v>
      </c>
      <c r="C62" s="5"/>
      <c r="D62" s="5"/>
      <c r="E62" s="5" t="str">
        <f>IFERROR(__xludf.DUMMYFUNCTION("""COMPUTED_VALUE"""),"Out 60")</f>
        <v>Out 60</v>
      </c>
      <c r="F62" s="5"/>
      <c r="G62" s="5"/>
      <c r="H62" s="5" t="str">
        <f>IFERROR(__xludf.DUMMYFUNCTION("""COMPUTED_VALUE"""),"D.11")</f>
        <v>D.11</v>
      </c>
      <c r="I62" s="5" t="str">
        <f>IFERROR(__xludf.DUMMYFUNCTION("""COMPUTED_VALUE"""),"AJA FS4")</f>
        <v>AJA FS4</v>
      </c>
      <c r="J62" s="5"/>
      <c r="K62" s="5" t="str">
        <f>IFERROR(__xludf.DUMMYFUNCTION("""COMPUTED_VALUE"""),"SDI In 4")</f>
        <v>SDI In 4</v>
      </c>
      <c r="L62" s="5" t="str">
        <f>IFERROR(__xludf.DUMMYFUNCTION("""COMPUTED_VALUE"""),"AIRE!! AJA FS4")</f>
        <v>AIRE!! AJA FS4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 t="str">
        <f>IFERROR(__xludf.DUMMYFUNCTION("""COMPUTED_VALUE"""),"C.3")</f>
        <v>C.3</v>
      </c>
      <c r="B63" s="5" t="str">
        <f>IFERROR(__xludf.DUMMYFUNCTION("""COMPUTED_VALUE"""),"AJA KUMO 6464")</f>
        <v>AJA KUMO 6464</v>
      </c>
      <c r="C63" s="5"/>
      <c r="D63" s="5"/>
      <c r="E63" s="5" t="str">
        <f>IFERROR(__xludf.DUMMYFUNCTION("""COMPUTED_VALUE"""),"Out 61")</f>
        <v>Out 61</v>
      </c>
      <c r="F63" s="5"/>
      <c r="G63" s="5"/>
      <c r="H63" s="5" t="str">
        <f>IFERROR(__xludf.DUMMYFUNCTION("""COMPUTED_VALUE"""),"E.3")</f>
        <v>E.3</v>
      </c>
      <c r="I63" s="5" t="str">
        <f>IFERROR(__xludf.DUMMYFUNCTION("""COMPUTED_VALUE"""),"Leader LV 7770")</f>
        <v>Leader LV 7770</v>
      </c>
      <c r="J63" s="5"/>
      <c r="K63" s="5" t="str">
        <f>IFERROR(__xludf.DUMMYFUNCTION("""COMPUTED_VALUE"""),"SDI In A")</f>
        <v>SDI In A</v>
      </c>
      <c r="L63" s="5" t="str">
        <f>IFERROR(__xludf.DUMMYFUNCTION("""COMPUTED_VALUE"""),"OSC CANAL 1")</f>
        <v>OSC CANAL 1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 t="str">
        <f>IFERROR(__xludf.DUMMYFUNCTION("""COMPUTED_VALUE"""),"C.3")</f>
        <v>C.3</v>
      </c>
      <c r="B64" s="5" t="str">
        <f>IFERROR(__xludf.DUMMYFUNCTION("""COMPUTED_VALUE"""),"AJA KUMO 6464")</f>
        <v>AJA KUMO 6464</v>
      </c>
      <c r="C64" s="5"/>
      <c r="D64" s="5"/>
      <c r="E64" s="5" t="str">
        <f>IFERROR(__xludf.DUMMYFUNCTION("""COMPUTED_VALUE"""),"Out 62")</f>
        <v>Out 62</v>
      </c>
      <c r="F64" s="5"/>
      <c r="G64" s="5"/>
      <c r="H64" s="5" t="str">
        <f>IFERROR(__xludf.DUMMYFUNCTION("""COMPUTED_VALUE"""),"E.3")</f>
        <v>E.3</v>
      </c>
      <c r="I64" s="5" t="str">
        <f>IFERROR(__xludf.DUMMYFUNCTION("""COMPUTED_VALUE"""),"Leader LV 7770")</f>
        <v>Leader LV 7770</v>
      </c>
      <c r="J64" s="5"/>
      <c r="K64" s="5" t="str">
        <f>IFERROR(__xludf.DUMMYFUNCTION("""COMPUTED_VALUE"""),"SDI In B")</f>
        <v>SDI In B</v>
      </c>
      <c r="L64" s="5" t="str">
        <f>IFERROR(__xludf.DUMMYFUNCTION("""COMPUTED_VALUE"""),"OSC CANAL 2")</f>
        <v>OSC CANAL 2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 t="str">
        <f>IFERROR(__xludf.DUMMYFUNCTION("""COMPUTED_VALUE"""),"C.3")</f>
        <v>C.3</v>
      </c>
      <c r="B65" s="5" t="str">
        <f>IFERROR(__xludf.DUMMYFUNCTION("""COMPUTED_VALUE"""),"AJA KUMO 6464")</f>
        <v>AJA KUMO 6464</v>
      </c>
      <c r="C65" s="5"/>
      <c r="D65" s="5"/>
      <c r="E65" s="5" t="str">
        <f>IFERROR(__xludf.DUMMYFUNCTION("""COMPUTED_VALUE"""),"Out 63")</f>
        <v>Out 63</v>
      </c>
      <c r="F65" s="5"/>
      <c r="G65" s="5"/>
      <c r="H65" s="5" t="str">
        <f>IFERROR(__xludf.DUMMYFUNCTION("""COMPUTED_VALUE"""),"?")</f>
        <v>?</v>
      </c>
      <c r="I65" s="5"/>
      <c r="J65" s="5"/>
      <c r="K65" s="5"/>
      <c r="L65" s="5" t="str">
        <f>IFERROR(__xludf.DUMMYFUNCTION("""COMPUTED_VALUE"""),"RADIO TX")</f>
        <v>RADIO TX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 t="str">
        <f>IFERROR(__xludf.DUMMYFUNCTION("""COMPUTED_VALUE"""),"C.3")</f>
        <v>C.3</v>
      </c>
      <c r="B66" s="5" t="str">
        <f>IFERROR(__xludf.DUMMYFUNCTION("""COMPUTED_VALUE"""),"AJA KUMO 6464")</f>
        <v>AJA KUMO 6464</v>
      </c>
      <c r="C66" s="5"/>
      <c r="D66" s="5"/>
      <c r="E66" s="5" t="str">
        <f>IFERROR(__xludf.DUMMYFUNCTION("""COMPUTED_VALUE"""),"Out 64")</f>
        <v>Out 64</v>
      </c>
      <c r="F66" s="5"/>
      <c r="G66" s="5"/>
      <c r="H66" s="5" t="str">
        <f>IFERROR(__xludf.DUMMYFUNCTION("""COMPUTED_VALUE"""),"D.9")</f>
        <v>D.9</v>
      </c>
      <c r="I66" s="5" t="str">
        <f>IFERROR(__xludf.DUMMYFUNCTION("""COMPUTED_VALUE"""),"openGear X")</f>
        <v>openGear X</v>
      </c>
      <c r="J66" s="5">
        <f>IFERROR(__xludf.DUMMYFUNCTION("""COMPUTED_VALUE"""),5.0)</f>
        <v>5</v>
      </c>
      <c r="K66" s="5" t="str">
        <f>IFERROR(__xludf.DUMMYFUNCTION("""COMPUTED_VALUE"""),"SDI In")</f>
        <v>SDI In</v>
      </c>
      <c r="L66" s="5" t="str">
        <f>IFERROR(__xludf.DUMMYFUNCTION("""COMPUTED_VALUE"""),"AIRE")</f>
        <v>AIRE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2" priority="3">
      <formula>ISEVEN(ROW())</formula>
    </cfRule>
  </conditionalFormatting>
  <conditionalFormatting sqref="A1:AW1000">
    <cfRule type="expression" dxfId="2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