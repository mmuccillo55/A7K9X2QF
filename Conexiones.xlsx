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<sst xmlns="http://schemas.openxmlformats.org/spreadsheetml/2006/main" count="1905" uniqueCount="539">
  <si>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</si>
  <si>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</si>
  <si>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</si>
  <si>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</si>
  <si>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</si>
  <si>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</si>
  <si>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</si>
  <si>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</si>
  <si>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</si>
  <si>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</si>
  <si>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</si>
  <si>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</si>
  <si>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</si>
  <si>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</si>
  <si>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</si>
  <si>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</si>
  <si>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</si>
  <si>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</si>
  <si>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</si>
  <si>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</si>
  <si>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</si>
  <si>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</si>
  <si>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</si>
  <si>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</si>
  <si>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</si>
  <si>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</si>
  <si>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</si>
  <si>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</si>
  <si>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</si>
  <si>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</si>
  <si>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</si>
  <si>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</si>
  <si>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</si>
  <si>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</si>
  <si>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</si>
  <si>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</si>
  <si>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</si>
  <si>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</si>
  <si>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</si>
  <si>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</si>
  <si>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</si>
  <si>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</si>
  <si>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</si>
  <si>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</si>
  <si>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</si>
  <si>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</si>
  <si>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</si>
  <si>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</si>
  <si>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</si>
  <si>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</si>
  <si>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</si>
  <si>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</si>
  <si>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</si>
  <si>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</si>
  <si>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</si>
  <si>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</si>
  <si>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</si>
  <si>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</si>
  <si>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</si>
  <si>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</si>
  <si>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</si>
  <si>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</si>
  <si>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</si>
  <si>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</si>
  <si>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</si>
  <si>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</si>
  <si>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</si>
  <si>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</si>
  <si>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</si>
  <si>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</si>
  <si>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</si>
  <si>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</si>
  <si>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</si>
  <si>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</si>
  <si>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</si>
  <si>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</si>
  <si>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</si>
  <si>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</si>
  <si>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</si>
  <si>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</si>
  <si>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</si>
  <si>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</si>
  <si>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</si>
  <si>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</si>
  <si>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</si>
  <si>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</si>
  <si>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</si>
  <si>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</si>
  <si>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</si>
  <si>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</si>
  <si>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</si>
  <si>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</si>
  <si>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</si>
  <si>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</si>
  <si>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</si>
  <si>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</si>
  <si>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</si>
  <si>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</si>
  <si>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</si>
  <si>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</si>
  <si>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</si>
  <si>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</si>
  <si>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</si>
  <si>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</si>
  <si>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</si>
  <si>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</si>
  <si>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</si>
  <si>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</si>
  <si>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</si>
  <si>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</si>
  <si>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</si>
  <si>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</si>
  <si>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</si>
  <si>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</si>
  <si>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</si>
  <si>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</si>
  <si>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</si>
  <si>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</si>
  <si>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</si>
  <si>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</si>
  <si>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</si>
  <si>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</si>
  <si>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</si>
  <si>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</si>
  <si>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</si>
  <si>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</si>
  <si>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</si>
  <si>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</si>
  <si>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</si>
  <si>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</si>
  <si>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</si>
  <si>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</si>
  <si>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</si>
  <si>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</si>
  <si>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</si>
  <si>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</si>
  <si>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</si>
  <si>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</si>
  <si>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</si>
  <si>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</si>
  <si>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</si>
  <si>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</si>
  <si>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</si>
  <si>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</si>
  <si>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</si>
  <si>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</si>
  <si>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</si>
  <si>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</si>
  <si>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</si>
  <si>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</si>
  <si>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</si>
  <si>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</si>
  <si>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</si>
  <si>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</si>
  <si>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</si>
  <si>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</si>
  <si>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</si>
  <si>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</si>
  <si>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</si>
  <si>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</si>
  <si>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</si>
  <si>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</si>
  <si>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</si>
  <si>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</si>
  <si>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</si>
  <si>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</si>
  <si>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</si>
  <si>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</si>
  <si>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</si>
  <si>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</si>
  <si>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</si>
  <si>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</si>
  <si>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</si>
  <si>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</si>
  <si>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</si>
  <si>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</si>
  <si>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</si>
  <si>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</si>
  <si>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</si>
  <si>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</si>
  <si>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</si>
  <si>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</si>
  <si>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</si>
  <si>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</si>
  <si>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</si>
  <si>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</si>
  <si>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</si>
  <si>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</si>
  <si>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</si>
  <si>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</si>
  <si>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</si>
  <si>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</si>
  <si>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</si>
  <si>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</si>
  <si>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</si>
  <si>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</si>
  <si>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</si>
  <si>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</si>
  <si>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</si>
  <si>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</si>
  <si>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</si>
  <si>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</si>
  <si>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</si>
  <si>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</si>
  <si>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</si>
  <si>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</si>
  <si>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</si>
  <si>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</si>
  <si>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</si>
  <si>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</si>
  <si>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</si>
  <si>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</si>
  <si>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</si>
  <si>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</si>
  <si>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</si>
  <si>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</si>
  <si>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</si>
  <si>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</si>
  <si>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</si>
  <si>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</si>
  <si>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</si>
  <si>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</si>
  <si>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</si>
  <si>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</si>
  <si>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</si>
  <si>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</si>
  <si>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</si>
  <si>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</si>
  <si>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</si>
  <si>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</si>
  <si>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</si>
  <si>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</si>
  <si>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</si>
  <si>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</si>
  <si>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</si>
  <si>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</si>
  <si>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</si>
  <si>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</si>
  <si>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</si>
  <si>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</si>
  <si>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</si>
  <si>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</si>
  <si>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</si>
  <si>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</si>
  <si>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</si>
  <si>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</si>
  <si>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</si>
  <si>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</si>
  <si>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</si>
  <si>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</si>
  <si>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</si>
  <si>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</si>
  <si>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</si>
  <si>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</si>
  <si>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</si>
  <si>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</si>
  <si>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</si>
  <si>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</si>
  <si>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</si>
  <si>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</si>
  <si>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</si>
  <si>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</si>
  <si>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</si>
  <si>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</si>
  <si>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</si>
  <si>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</si>
  <si>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</si>
  <si>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</si>
  <si>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</si>
  <si>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</si>
  <si>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</si>
  <si>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</si>
  <si>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</si>
  <si>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</si>
  <si>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</si>
  <si>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</si>
  <si>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</si>
  <si>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</si>
  <si>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</si>
  <si>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</si>
  <si>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</si>
  <si>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</si>
  <si>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</si>
  <si>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</si>
  <si>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</si>
  <si>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</si>
  <si>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</si>
  <si>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</si>
  <si>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</si>
  <si>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</si>
  <si>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</si>
  <si>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</si>
  <si>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</si>
  <si>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</si>
  <si>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</si>
  <si>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</si>
  <si>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</si>
  <si>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</si>
  <si>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</si>
  <si>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</si>
  <si>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</si>
  <si>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</si>
  <si>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</si>
  <si>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</si>
  <si>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</si>
  <si>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</si>
  <si>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</si>
  <si>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</si>
  <si>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</si>
  <si>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</si>
  <si>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</si>
  <si>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</si>
  <si>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</si>
  <si>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</si>
  <si>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</si>
  <si>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</si>
  <si>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</si>
  <si>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</si>
  <si>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</si>
  <si>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</si>
  <si>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</si>
  <si>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</si>
  <si>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</si>
  <si>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</si>
  <si>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</si>
  <si>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</si>
  <si>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</si>
  <si>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</si>
  <si>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</si>
  <si>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</si>
  <si>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</si>
  <si>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</si>
  <si>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</si>
  <si>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</si>
  <si>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</si>
  <si>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</si>
  <si>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</si>
  <si>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</si>
  <si>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</si>
  <si>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</si>
  <si>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</si>
  <si>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</si>
  <si>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</si>
  <si>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</si>
  <si>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</si>
  <si>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</si>
  <si>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</si>
  <si>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</si>
  <si>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</si>
  <si>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</si>
  <si>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</si>
  <si>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</si>
  <si>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</si>
  <si>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</si>
  <si>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</si>
  <si>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</si>
  <si>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</si>
  <si>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</si>
  <si>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</si>
  <si>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</si>
  <si>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</si>
  <si>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</si>
  <si>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</si>
  <si>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</si>
  <si>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</si>
  <si>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</si>
  <si>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</si>
  <si>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</si>
  <si>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</si>
  <si>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Emb / De-emb</t>
  </si>
  <si>
    <t>A1</t>
  </si>
  <si>
    <t>A2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</si>
  <si>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</si>
  <si>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</si>
  <si>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</si>
  <si>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</si>
  <si>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</si>
  <si>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</si>
  <si>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</si>
  <si>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</si>
  <si>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</si>
  <si>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</si>
  <si>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</si>
  <si>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</si>
  <si>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</si>
  <si>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</si>
  <si>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</si>
  <si>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</si>
  <si>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</si>
  <si>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</si>
  <si>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</si>
  <si>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</si>
  <si>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</si>
  <si>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</si>
  <si>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</si>
  <si>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</si>
  <si>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</si>
  <si>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</si>
  <si>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</si>
  <si>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</si>
  <si>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</si>
  <si>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</si>
  <si>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</si>
  <si>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</si>
  <si>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</si>
  <si>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</si>
  <si>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</si>
  <si>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</si>
  <si>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</si>
  <si>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</si>
  <si>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</si>
  <si>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</si>
  <si>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</si>
  <si>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</si>
  <si>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</si>
  <si>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</si>
  <si>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</si>
  <si>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</si>
  <si>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</si>
  <si>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</si>
  <si>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</si>
  <si>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</si>
  <si>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</si>
  <si>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</si>
  <si>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</si>
  <si>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</si>
  <si>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</si>
  <si>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</si>
  <si>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</si>
  <si>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</si>
  <si>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</si>
  <si>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</si>
  <si>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</si>
  <si>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</si>
  <si>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</si>
  <si>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</si>
  <si>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</si>
  <si>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</si>
  <si>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</si>
  <si>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</si>
  <si>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</si>
  <si>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</si>
  <si>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</si>
  <si>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</si>
  <si>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</si>
  <si>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</si>
  <si>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</si>
  <si>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</si>
  <si>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</si>
  <si>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</si>
  <si>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</si>
  <si>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</si>
  <si>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</si>
  <si>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</si>
  <si>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</si>
  <si>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</si>
  <si>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</si>
  <si>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</si>
  <si>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</si>
  <si>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</si>
  <si>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</si>
  <si>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</si>
  <si>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</si>
  <si>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</si>
  <si>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</si>
  <si>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</si>
  <si>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</si>
  <si>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</si>
  <si>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</si>
  <si>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</si>
  <si>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</si>
  <si>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</si>
  <si>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</si>
  <si>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</si>
  <si>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</si>
  <si>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</si>
  <si>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</si>
  <si>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</si>
  <si>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</si>
  <si>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</si>
  <si>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</si>
  <si>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</si>
  <si>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</si>
  <si>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</si>
  <si>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</si>
  <si>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</si>
  <si>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</si>
  <si>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</si>
  <si>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</si>
  <si>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</si>
  <si>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</si>
  <si>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</si>
  <si>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</si>
  <si>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</si>
  <si>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</si>
  <si>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</si>
  <si>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</si>
  <si>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</si>
  <si>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</si>
  <si>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</si>
  <si>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</si>
  <si>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</si>
  <si>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</si>
  <si>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</si>
  <si>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</si>
  <si>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</si>
  <si>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</si>
  <si>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</si>
  <si>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</si>
  <si>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</si>
  <si>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</si>
  <si>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</si>
  <si>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</si>
  <si>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</si>
  <si>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</si>
  <si>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</si>
  <si>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</si>
  <si>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</si>
  <si>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</si>
  <si>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</si>
  <si>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</si>
  <si>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</si>
  <si>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</si>
  <si>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</si>
  <si>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</si>
  <si>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</si>
  <si>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</si>
  <si>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</si>
  <si>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</si>
  <si>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</si>
  <si>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</si>
  <si>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</si>
  <si>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</si>
  <si>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</si>
  <si>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</si>
  <si>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</si>
  <si>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</si>
  <si>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</si>
  <si>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d.11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</si>
</sst>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200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203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204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204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204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204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204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89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243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243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243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243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243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243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243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296</v>
      </c>
      <c r="M115" s="6" t="s">
        <v>89</v>
      </c>
      <c r="N115" s="6" t="s">
        <v>297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89</v>
      </c>
      <c r="N116" s="6" t="s">
        <v>297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189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199</v>
      </c>
      <c r="F122" s="6" t="s">
        <v>243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243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243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243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243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243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243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243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243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243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243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243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243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243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243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243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243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243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243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243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243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243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243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243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243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243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243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243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243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243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243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243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243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243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243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243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243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243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243</v>
      </c>
      <c r="G174" s="6" t="s">
        <v>36</v>
      </c>
      <c r="H174" s="6" t="s">
        <v>89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243</v>
      </c>
      <c r="G175" s="6" t="s">
        <v>39</v>
      </c>
      <c r="H175" s="6" t="s">
        <v>89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243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243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243</v>
      </c>
      <c r="G178" s="6" t="s">
        <v>49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243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243</v>
      </c>
      <c r="G180" s="6" t="s">
        <v>55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243</v>
      </c>
      <c r="G181" s="6" t="s">
        <v>58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243</v>
      </c>
      <c r="G182" s="6" t="s">
        <v>61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243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243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206</v>
      </c>
      <c r="F186" s="6" t="s">
        <v>243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107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353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354</v>
      </c>
      <c r="F188" s="6" t="s">
        <v>243</v>
      </c>
      <c r="G188" s="6" t="s">
        <v>107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355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206</v>
      </c>
      <c r="F189" s="6" t="s">
        <v>243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107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356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354</v>
      </c>
      <c r="F191" s="6" t="s">
        <v>243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206</v>
      </c>
      <c r="F192" s="6" t="s">
        <v>243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107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357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354</v>
      </c>
      <c r="F194" s="6" t="s">
        <v>243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206</v>
      </c>
      <c r="F195" s="6" t="s">
        <v>243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107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358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354</v>
      </c>
      <c r="F197" s="6" t="s">
        <v>243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206</v>
      </c>
      <c r="F198" s="6" t="s">
        <v>243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354</v>
      </c>
      <c r="F200" s="6" t="s">
        <v>243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359</v>
      </c>
      <c r="F201" s="6" t="s">
        <v>243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361</v>
      </c>
      <c r="F202" s="6" t="s">
        <v>243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362</v>
      </c>
      <c r="F203" s="6" t="s">
        <v>243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363</v>
      </c>
      <c r="F204" s="6" t="s">
        <v>243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243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364</v>
      </c>
      <c r="F206" s="6" t="s">
        <v>243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365</v>
      </c>
      <c r="F207" s="6" t="s">
        <v>243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366</v>
      </c>
      <c r="F208" s="6" t="s">
        <v>243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367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368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1.0</v>
      </c>
      <c r="D210" s="6" t="s">
        <v>369</v>
      </c>
      <c r="E210" s="6" t="s">
        <v>206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1.0</v>
      </c>
      <c r="D211" s="6" t="s">
        <v>369</v>
      </c>
      <c r="E211" s="6" t="s">
        <v>370</v>
      </c>
      <c r="F211" s="5"/>
      <c r="G211" s="6"/>
      <c r="H211" s="6" t="s">
        <v>182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1.0</v>
      </c>
      <c r="D212" s="6" t="s">
        <v>369</v>
      </c>
      <c r="E212" s="6" t="s">
        <v>371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2.0</v>
      </c>
      <c r="D213" s="6" t="s">
        <v>369</v>
      </c>
      <c r="E213" s="6" t="s">
        <v>206</v>
      </c>
      <c r="F213" s="5"/>
      <c r="G213" s="6"/>
      <c r="H213" s="6" t="s">
        <v>182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2.0</v>
      </c>
      <c r="D214" s="6" t="s">
        <v>369</v>
      </c>
      <c r="E214" s="6" t="s">
        <v>370</v>
      </c>
      <c r="F214" s="5"/>
      <c r="G214" s="6"/>
      <c r="H214" s="6" t="s">
        <v>182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2.0</v>
      </c>
      <c r="D215" s="6" t="s">
        <v>369</v>
      </c>
      <c r="E215" s="6" t="s">
        <v>371</v>
      </c>
      <c r="F215" s="5"/>
      <c r="G215" s="6"/>
      <c r="H215" s="6" t="s">
        <v>182</v>
      </c>
      <c r="I215" s="5" t="str">
        <f>IF(H215="","",VLOOKUP(H215,DB!A:B,2,0))</f>
        <v>?????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3.0</v>
      </c>
      <c r="D216" s="6" t="s">
        <v>369</v>
      </c>
      <c r="E216" s="6" t="s">
        <v>370</v>
      </c>
      <c r="F216" s="5"/>
      <c r="G216" s="6"/>
      <c r="H216" s="6" t="s">
        <v>182</v>
      </c>
      <c r="I216" s="5" t="str">
        <f>IF(H216="","",VLOOKUP(H216,DB!A:B,2,0))</f>
        <v>?????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5.0</v>
      </c>
      <c r="D217" s="6" t="s">
        <v>186</v>
      </c>
      <c r="E217" s="6" t="s">
        <v>206</v>
      </c>
      <c r="F217" s="6" t="s">
        <v>243</v>
      </c>
      <c r="G217" s="6" t="s">
        <v>107</v>
      </c>
      <c r="H217" s="6" t="s">
        <v>224</v>
      </c>
      <c r="I217" s="5" t="str">
        <f>IF(H217="","",VLOOKUP(H217,DB!A:B,2,0))</f>
        <v>AJA FS2</v>
      </c>
      <c r="J217" s="5"/>
      <c r="K217" s="6"/>
      <c r="L217" s="6" t="s">
        <v>163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5.0</v>
      </c>
      <c r="D218" s="6" t="s">
        <v>369</v>
      </c>
      <c r="E218" s="6" t="s">
        <v>371</v>
      </c>
      <c r="F218" s="6" t="s">
        <v>243</v>
      </c>
      <c r="G218" s="6" t="s">
        <v>107</v>
      </c>
      <c r="H218" s="6" t="s">
        <v>182</v>
      </c>
      <c r="I218" s="5" t="str">
        <f>IF(H218="","",VLOOKUP(H218,DB!A:B,2,0))</f>
        <v>?????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185</v>
      </c>
      <c r="B219" s="6" t="str">
        <f>IF(A219="","",VLOOKUP(A219,DB!A:B,2,0))</f>
        <v>openGear X</v>
      </c>
      <c r="C219" s="6">
        <v>6.0</v>
      </c>
      <c r="D219" s="6" t="s">
        <v>317</v>
      </c>
      <c r="E219" s="6" t="s">
        <v>364</v>
      </c>
      <c r="F219" s="6" t="s">
        <v>243</v>
      </c>
      <c r="G219" s="6" t="s">
        <v>319</v>
      </c>
      <c r="H219" s="6" t="s">
        <v>372</v>
      </c>
      <c r="I219" s="5" t="str">
        <f>IF(H219="","",VLOOKUP(H219,DB!A:B,2,0))</f>
        <v>VIDEOTRON</v>
      </c>
      <c r="J219" s="5"/>
      <c r="K219" s="6"/>
      <c r="L219" s="6" t="s">
        <v>163</v>
      </c>
      <c r="M219" s="5"/>
      <c r="N219" s="6" t="s">
        <v>182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185</v>
      </c>
      <c r="B220" s="6" t="str">
        <f>IF(A220="","",VLOOKUP(A220,DB!A:B,2,0))</f>
        <v>openGear X</v>
      </c>
      <c r="C220" s="6">
        <v>6.0</v>
      </c>
      <c r="D220" s="6" t="s">
        <v>317</v>
      </c>
      <c r="E220" s="6" t="s">
        <v>373</v>
      </c>
      <c r="F220" s="6" t="s">
        <v>243</v>
      </c>
      <c r="G220" s="6" t="s">
        <v>319</v>
      </c>
      <c r="H220" s="6" t="s">
        <v>89</v>
      </c>
      <c r="I220" s="5" t="str">
        <f>IF(H220="","",VLOOKUP(H220,DB!A:B,2,0))</f>
        <v/>
      </c>
      <c r="J220" s="5"/>
      <c r="K220" s="6"/>
      <c r="L220" s="6"/>
      <c r="M220" s="5"/>
      <c r="N220" s="6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185</v>
      </c>
      <c r="B221" s="6" t="str">
        <f>IF(A221="","",VLOOKUP(A221,DB!A:B,2,0))</f>
        <v>openGear X</v>
      </c>
      <c r="C221" s="6">
        <v>6.0</v>
      </c>
      <c r="D221" s="6" t="s">
        <v>317</v>
      </c>
      <c r="E221" s="6" t="s">
        <v>359</v>
      </c>
      <c r="F221" s="6" t="s">
        <v>243</v>
      </c>
      <c r="G221" s="6" t="s">
        <v>319</v>
      </c>
      <c r="H221" s="6" t="s">
        <v>89</v>
      </c>
      <c r="I221" s="5" t="str">
        <f>IF(H221="","",VLOOKUP(H221,DB!A:B,2,0))</f>
        <v/>
      </c>
      <c r="J221" s="5"/>
      <c r="K221" s="6"/>
      <c r="L221" s="6"/>
      <c r="M221" s="5"/>
      <c r="N221" s="6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185</v>
      </c>
      <c r="B222" s="6" t="str">
        <f>IF(A222="","",VLOOKUP(A222,DB!A:B,2,0))</f>
        <v>openGear X</v>
      </c>
      <c r="C222" s="6">
        <v>6.0</v>
      </c>
      <c r="D222" s="6" t="s">
        <v>317</v>
      </c>
      <c r="E222" s="6" t="s">
        <v>361</v>
      </c>
      <c r="F222" s="6" t="s">
        <v>243</v>
      </c>
      <c r="G222" s="6" t="s">
        <v>319</v>
      </c>
      <c r="H222" s="6" t="s">
        <v>89</v>
      </c>
      <c r="I222" s="5" t="str">
        <f>IF(H222="","",VLOOKUP(H222,DB!A:B,2,0))</f>
        <v/>
      </c>
      <c r="J222" s="5"/>
      <c r="K222" s="6"/>
      <c r="L222" s="6"/>
      <c r="M222" s="5"/>
      <c r="N222" s="6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185</v>
      </c>
      <c r="B223" s="6" t="str">
        <f>IF(A223="","",VLOOKUP(A223,DB!A:B,2,0))</f>
        <v>openGear X</v>
      </c>
      <c r="C223" s="6">
        <v>6.0</v>
      </c>
      <c r="D223" s="6" t="s">
        <v>317</v>
      </c>
      <c r="E223" s="6" t="s">
        <v>365</v>
      </c>
      <c r="F223" s="6" t="s">
        <v>243</v>
      </c>
      <c r="G223" s="6" t="s">
        <v>319</v>
      </c>
      <c r="H223" s="6" t="s">
        <v>89</v>
      </c>
      <c r="I223" s="5" t="str">
        <f>IF(H223="","",VLOOKUP(H223,DB!A:B,2,0))</f>
        <v/>
      </c>
      <c r="J223" s="5"/>
      <c r="K223" s="6"/>
      <c r="L223" s="6"/>
      <c r="M223" s="5"/>
      <c r="N223" s="6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185</v>
      </c>
      <c r="B224" s="6" t="str">
        <f>IF(A224="","",VLOOKUP(A224,DB!A:B,2,0))</f>
        <v>openGear X</v>
      </c>
      <c r="C224" s="6">
        <v>6.0</v>
      </c>
      <c r="D224" s="6" t="s">
        <v>317</v>
      </c>
      <c r="E224" s="6" t="s">
        <v>362</v>
      </c>
      <c r="F224" s="6" t="s">
        <v>243</v>
      </c>
      <c r="G224" s="6" t="s">
        <v>319</v>
      </c>
      <c r="H224" s="6" t="s">
        <v>89</v>
      </c>
      <c r="I224" s="5" t="str">
        <f>IF(H224="","",VLOOKUP(H224,DB!A:B,2,0))</f>
        <v/>
      </c>
      <c r="J224" s="5"/>
      <c r="K224" s="6"/>
      <c r="L224" s="6"/>
      <c r="M224" s="5"/>
      <c r="N224" s="6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185</v>
      </c>
      <c r="B225" s="6" t="str">
        <f>IF(A225="","",VLOOKUP(A225,DB!A:B,2,0))</f>
        <v>openGear X</v>
      </c>
      <c r="C225" s="6">
        <v>6.0</v>
      </c>
      <c r="D225" s="6" t="s">
        <v>317</v>
      </c>
      <c r="E225" s="6" t="s">
        <v>366</v>
      </c>
      <c r="F225" s="6" t="s">
        <v>243</v>
      </c>
      <c r="G225" s="6" t="s">
        <v>319</v>
      </c>
      <c r="H225" s="6" t="s">
        <v>89</v>
      </c>
      <c r="I225" s="5" t="str">
        <f>IF(H225="","",VLOOKUP(H225,DB!A:B,2,0))</f>
        <v/>
      </c>
      <c r="J225" s="5"/>
      <c r="K225" s="6"/>
      <c r="L225" s="6"/>
      <c r="M225" s="5"/>
      <c r="N225" s="6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185</v>
      </c>
      <c r="B226" s="6" t="str">
        <f>IF(A226="","",VLOOKUP(A226,DB!A:B,2,0))</f>
        <v>openGear X</v>
      </c>
      <c r="C226" s="6">
        <v>6.0</v>
      </c>
      <c r="D226" s="6" t="s">
        <v>317</v>
      </c>
      <c r="E226" s="6" t="s">
        <v>363</v>
      </c>
      <c r="F226" s="6" t="s">
        <v>243</v>
      </c>
      <c r="G226" s="6" t="s">
        <v>319</v>
      </c>
      <c r="H226" s="6" t="s">
        <v>89</v>
      </c>
      <c r="I226" s="5" t="str">
        <f>IF(H226="","",VLOOKUP(H226,DB!A:B,2,0))</f>
        <v/>
      </c>
      <c r="J226" s="5"/>
      <c r="K226" s="6"/>
      <c r="L226" s="6"/>
      <c r="M226" s="5"/>
      <c r="N226" s="6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374</v>
      </c>
      <c r="B227" s="6" t="str">
        <f>IF(A227="","",VLOOKUP(A227,DB!A:B,2,0))</f>
        <v>Raspberry PI 1</v>
      </c>
      <c r="C227" s="5"/>
      <c r="D227" s="6"/>
      <c r="E227" s="6" t="s">
        <v>260</v>
      </c>
      <c r="F227" s="5"/>
      <c r="G227" s="5"/>
      <c r="H227" s="6" t="s">
        <v>144</v>
      </c>
      <c r="I227" s="5" t="str">
        <f>IF(H227="","",VLOOKUP(H227,DB!A:B,2,0))</f>
        <v>openGear X</v>
      </c>
      <c r="J227" s="6">
        <v>1.0</v>
      </c>
      <c r="K227" s="6" t="s">
        <v>242</v>
      </c>
      <c r="L227" s="6" t="s">
        <v>244</v>
      </c>
      <c r="M227" s="5"/>
      <c r="N227" s="6" t="s">
        <v>375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376</v>
      </c>
      <c r="B228" s="6" t="str">
        <f>IF(A228="","",VLOOKUP(A228,DB!A:B,2,0))</f>
        <v>Raspberry PI 2</v>
      </c>
      <c r="C228" s="5"/>
      <c r="D228" s="6"/>
      <c r="E228" s="6" t="s">
        <v>260</v>
      </c>
      <c r="F228" s="5"/>
      <c r="G228" s="5"/>
      <c r="H228" s="6" t="s">
        <v>144</v>
      </c>
      <c r="I228" s="5" t="str">
        <f>IF(H228="","",VLOOKUP(H228,DB!A:B,2,0))</f>
        <v>openGear X</v>
      </c>
      <c r="J228" s="6">
        <v>2.0</v>
      </c>
      <c r="K228" s="6" t="s">
        <v>242</v>
      </c>
      <c r="L228" s="6" t="s">
        <v>244</v>
      </c>
      <c r="M228" s="5"/>
      <c r="N228" s="6" t="s">
        <v>377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378</v>
      </c>
      <c r="B229" s="6" t="str">
        <f>IF(A229="","",VLOOKUP(A229,DB!A:B,2,0))</f>
        <v>Deco Direccion</v>
      </c>
      <c r="C229" s="5"/>
      <c r="D229" s="5"/>
      <c r="E229" s="6" t="s">
        <v>260</v>
      </c>
      <c r="F229" s="5"/>
      <c r="G229" s="5"/>
      <c r="H229" s="6" t="s">
        <v>264</v>
      </c>
      <c r="I229" s="5" t="str">
        <f>IF(H229="","",VLOOKUP(H229,DB!A:B,2,0))</f>
        <v>Patch Panel</v>
      </c>
      <c r="J229" s="5"/>
      <c r="K229" s="6"/>
      <c r="L229" s="6" t="s">
        <v>42</v>
      </c>
      <c r="M229" s="5"/>
      <c r="N229" s="5"/>
      <c r="O229" s="6" t="s">
        <v>263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379</v>
      </c>
      <c r="B230" s="6" t="str">
        <f>IF(A230="","",VLOOKUP(A230,DB!A:B,2,0))</f>
        <v>PC Videollamada</v>
      </c>
      <c r="C230" s="6">
        <v>1.0</v>
      </c>
      <c r="D230" s="6" t="s">
        <v>73</v>
      </c>
      <c r="E230" s="6" t="s">
        <v>380</v>
      </c>
      <c r="F230" s="5"/>
      <c r="G230" s="5"/>
      <c r="H230" s="6" t="s">
        <v>264</v>
      </c>
      <c r="I230" s="5" t="str">
        <f>IF(H230="","",VLOOKUP(H230,DB!A:B,2,0))</f>
        <v>Patch Panel</v>
      </c>
      <c r="J230" s="5"/>
      <c r="K230" s="6"/>
      <c r="L230" s="6" t="s">
        <v>58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279</v>
      </c>
      <c r="B231" s="6" t="str">
        <f>IF(A231="","",VLOOKUP(A231,DB!A:B,2,0))</f>
        <v>Sony HXCU-100 Cam 1</v>
      </c>
      <c r="C231" s="5"/>
      <c r="D231" s="5"/>
      <c r="E231" s="6" t="s">
        <v>202</v>
      </c>
      <c r="F231" s="5"/>
      <c r="G231" s="5"/>
      <c r="H231" s="6" t="s">
        <v>253</v>
      </c>
      <c r="I231" s="5" t="str">
        <f>IF(H231="","",VLOOKUP(H231,DB!A:B,2,0))</f>
        <v>Blackmagic Multiview 4</v>
      </c>
      <c r="J231" s="5"/>
      <c r="K231" s="6"/>
      <c r="L231" s="6" t="s">
        <v>18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279</v>
      </c>
      <c r="B232" s="6" t="str">
        <f>IF(A232="","",VLOOKUP(A232,DB!A:B,2,0))</f>
        <v>Sony HXCU-100 Cam 1</v>
      </c>
      <c r="C232" s="5"/>
      <c r="D232" s="5"/>
      <c r="E232" s="6" t="s">
        <v>310</v>
      </c>
      <c r="F232" s="5"/>
      <c r="G232" s="5"/>
      <c r="H232" s="6" t="s">
        <v>91</v>
      </c>
      <c r="I232" s="5" t="str">
        <f>IF(H232="","",VLOOKUP(H232,DB!A:B,2,0))</f>
        <v>FOR A HVS-390HS</v>
      </c>
      <c r="J232" s="5"/>
      <c r="K232" s="6"/>
      <c r="L232" s="6" t="s">
        <v>18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282</v>
      </c>
      <c r="B233" s="6" t="str">
        <f>IF(A233="","",VLOOKUP(A233,DB!A:B,2,0))</f>
        <v>Sony HXCU-100 Cam 2</v>
      </c>
      <c r="C233" s="5"/>
      <c r="D233" s="5"/>
      <c r="E233" s="6" t="s">
        <v>202</v>
      </c>
      <c r="F233" s="5"/>
      <c r="G233" s="5"/>
      <c r="H233" s="6" t="s">
        <v>253</v>
      </c>
      <c r="I233" s="5" t="str">
        <f>IF(H233="","",VLOOKUP(H233,DB!A:B,2,0))</f>
        <v>Blackmagic Multiview 4</v>
      </c>
      <c r="J233" s="5"/>
      <c r="K233" s="6"/>
      <c r="L233" s="6" t="s">
        <v>21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282</v>
      </c>
      <c r="B234" s="6" t="str">
        <f>IF(A234="","",VLOOKUP(A234,DB!A:B,2,0))</f>
        <v>Sony HXCU-100 Cam 2</v>
      </c>
      <c r="C234" s="5"/>
      <c r="D234" s="5"/>
      <c r="E234" s="6" t="s">
        <v>310</v>
      </c>
      <c r="F234" s="5"/>
      <c r="G234" s="5"/>
      <c r="H234" s="6" t="s">
        <v>91</v>
      </c>
      <c r="I234" s="5" t="str">
        <f>IF(H234="","",VLOOKUP(H234,DB!A:B,2,0))</f>
        <v>FOR A HVS-390HS</v>
      </c>
      <c r="J234" s="5"/>
      <c r="K234" s="6"/>
      <c r="L234" s="6" t="s">
        <v>21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285</v>
      </c>
      <c r="B235" s="6" t="str">
        <f>IF(A235="","",VLOOKUP(A235,DB!A:B,2,0))</f>
        <v>Sony HXCU-100 Cam 3</v>
      </c>
      <c r="C235" s="5"/>
      <c r="D235" s="5"/>
      <c r="E235" s="6" t="s">
        <v>202</v>
      </c>
      <c r="F235" s="5"/>
      <c r="G235" s="5"/>
      <c r="H235" s="6" t="s">
        <v>253</v>
      </c>
      <c r="I235" s="5" t="str">
        <f>IF(H235="","",VLOOKUP(H235,DB!A:B,2,0))</f>
        <v>Blackmagic Multiview 4</v>
      </c>
      <c r="J235" s="5"/>
      <c r="K235" s="6"/>
      <c r="L235" s="6" t="s">
        <v>24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285</v>
      </c>
      <c r="B236" s="6" t="str">
        <f>IF(A236="","",VLOOKUP(A236,DB!A:B,2,0))</f>
        <v>Sony HXCU-100 Cam 3</v>
      </c>
      <c r="C236" s="5"/>
      <c r="D236" s="5"/>
      <c r="E236" s="6" t="s">
        <v>310</v>
      </c>
      <c r="F236" s="5"/>
      <c r="G236" s="5"/>
      <c r="H236" s="6" t="s">
        <v>91</v>
      </c>
      <c r="I236" s="5" t="str">
        <f>IF(H236="","",VLOOKUP(H236,DB!A:B,2,0))</f>
        <v>FOR A HVS-390HS</v>
      </c>
      <c r="J236" s="5"/>
      <c r="K236" s="6"/>
      <c r="L236" s="6" t="s">
        <v>24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288</v>
      </c>
      <c r="B237" s="6" t="str">
        <f>IF(A237="","",VLOOKUP(A237,DB!A:B,2,0))</f>
        <v>Sony HXCU-100 Cam 4</v>
      </c>
      <c r="C237" s="5"/>
      <c r="D237" s="5"/>
      <c r="E237" s="6" t="s">
        <v>202</v>
      </c>
      <c r="F237" s="5"/>
      <c r="G237" s="5"/>
      <c r="H237" s="6" t="s">
        <v>253</v>
      </c>
      <c r="I237" s="5" t="str">
        <f>IF(H237="","",VLOOKUP(H237,DB!A:B,2,0))</f>
        <v>Blackmagic Multiview 4</v>
      </c>
      <c r="J237" s="5"/>
      <c r="K237" s="6"/>
      <c r="L237" s="6" t="s">
        <v>27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288</v>
      </c>
      <c r="B238" s="6" t="str">
        <f>IF(A238="","",VLOOKUP(A238,DB!A:B,2,0))</f>
        <v>Sony HXCU-100 Cam 4</v>
      </c>
      <c r="C238" s="5"/>
      <c r="D238" s="5"/>
      <c r="E238" s="6" t="s">
        <v>310</v>
      </c>
      <c r="F238" s="5"/>
      <c r="G238" s="5"/>
      <c r="H238" s="6" t="s">
        <v>91</v>
      </c>
      <c r="I238" s="5" t="str">
        <f>IF(H238="","",VLOOKUP(H238,DB!A:B,2,0))</f>
        <v>FOR A HVS-390HS</v>
      </c>
      <c r="J238" s="5"/>
      <c r="K238" s="6"/>
      <c r="L238" s="6" t="s">
        <v>27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91</v>
      </c>
      <c r="B239" s="6" t="str">
        <f>IF(A239="","",VLOOKUP(A239,DB!A:B,2,0))</f>
        <v>FOR A HVS-390HS</v>
      </c>
      <c r="C239" s="5"/>
      <c r="D239" s="5"/>
      <c r="E239" s="6" t="s">
        <v>381</v>
      </c>
      <c r="F239" s="5"/>
      <c r="G239" s="5"/>
      <c r="H239" s="6" t="s">
        <v>382</v>
      </c>
      <c r="I239" s="5" t="str">
        <f>IF(H239="","",VLOOKUP(H239,DB!A:B,2,0))</f>
        <v>Monitor Director 2</v>
      </c>
      <c r="J239" s="5"/>
      <c r="K239" s="6"/>
      <c r="L239" s="6" t="s">
        <v>244</v>
      </c>
      <c r="M239" s="5"/>
      <c r="N239" s="5"/>
      <c r="O239" s="6" t="s">
        <v>343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91</v>
      </c>
      <c r="B240" s="6" t="str">
        <f>IF(A240="","",VLOOKUP(A240,DB!A:B,2,0))</f>
        <v>FOR A HVS-390HS</v>
      </c>
      <c r="C240" s="5"/>
      <c r="D240" s="5"/>
      <c r="E240" s="6" t="s">
        <v>383</v>
      </c>
      <c r="F240" s="5"/>
      <c r="G240" s="5"/>
      <c r="H240" s="6" t="s">
        <v>384</v>
      </c>
      <c r="I240" s="5" t="str">
        <f>IF(H240="","",VLOOKUP(H240,DB!A:B,2,0))</f>
        <v>PC Pantalla</v>
      </c>
      <c r="J240" s="5"/>
      <c r="K240" s="6"/>
      <c r="L240" s="6" t="s">
        <v>244</v>
      </c>
      <c r="M240" s="5"/>
      <c r="N240" s="5"/>
      <c r="O240" s="6" t="s">
        <v>385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91</v>
      </c>
      <c r="B241" s="6" t="str">
        <f>IF(A241="","",VLOOKUP(A241,DB!A:B,2,0))</f>
        <v>FOR A HVS-390HS</v>
      </c>
      <c r="C241" s="5"/>
      <c r="D241" s="5"/>
      <c r="E241" s="6" t="s">
        <v>20</v>
      </c>
      <c r="F241" s="5"/>
      <c r="G241" s="5"/>
      <c r="H241" s="6" t="s">
        <v>386</v>
      </c>
      <c r="I241" s="5" t="str">
        <f>IF(H241="","",VLOOKUP(H241,DB!A:B,2,0))</f>
        <v>AJA HD5DA</v>
      </c>
      <c r="J241" s="5"/>
      <c r="K241" s="6"/>
      <c r="L241" s="6" t="s">
        <v>107</v>
      </c>
      <c r="M241" s="5"/>
      <c r="N241" s="5"/>
      <c r="O241" s="6" t="s">
        <v>387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386</v>
      </c>
      <c r="B242" s="6" t="str">
        <f>IF(A242="","",VLOOKUP(A242,DB!A:B,2,0))</f>
        <v>AJA HD5DA</v>
      </c>
      <c r="C242" s="5"/>
      <c r="D242" s="5"/>
      <c r="E242" s="6" t="s">
        <v>199</v>
      </c>
      <c r="F242" s="6" t="s">
        <v>243</v>
      </c>
      <c r="G242" s="6" t="s">
        <v>107</v>
      </c>
      <c r="H242" s="6" t="s">
        <v>279</v>
      </c>
      <c r="I242" s="5" t="str">
        <f>IF(H242="","",VLOOKUP(H242,DB!A:B,2,0))</f>
        <v>Sony HXCU-100 Cam 1</v>
      </c>
      <c r="J242" s="5"/>
      <c r="K242" s="6"/>
      <c r="L242" s="6" t="s">
        <v>388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386</v>
      </c>
      <c r="B243" s="6" t="str">
        <f>IF(A243="","",VLOOKUP(A243,DB!A:B,2,0))</f>
        <v>AJA HD5DA</v>
      </c>
      <c r="C243" s="5"/>
      <c r="D243" s="5"/>
      <c r="E243" s="6" t="s">
        <v>202</v>
      </c>
      <c r="F243" s="6" t="s">
        <v>243</v>
      </c>
      <c r="G243" s="6" t="s">
        <v>107</v>
      </c>
      <c r="H243" s="6" t="s">
        <v>282</v>
      </c>
      <c r="I243" s="5" t="str">
        <f>IF(H243="","",VLOOKUP(H243,DB!A:B,2,0))</f>
        <v>Sony HXCU-100 Cam 2</v>
      </c>
      <c r="J243" s="5"/>
      <c r="K243" s="6"/>
      <c r="L243" s="6" t="s">
        <v>388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386</v>
      </c>
      <c r="B244" s="6" t="str">
        <f>IF(A244="","",VLOOKUP(A244,DB!A:B,2,0))</f>
        <v>AJA HD5DA</v>
      </c>
      <c r="C244" s="5"/>
      <c r="D244" s="5"/>
      <c r="E244" s="6" t="s">
        <v>310</v>
      </c>
      <c r="F244" s="6" t="s">
        <v>243</v>
      </c>
      <c r="G244" s="6" t="s">
        <v>107</v>
      </c>
      <c r="H244" s="6" t="s">
        <v>285</v>
      </c>
      <c r="I244" s="5" t="str">
        <f>IF(H244="","",VLOOKUP(H244,DB!A:B,2,0))</f>
        <v>Sony HXCU-100 Cam 3</v>
      </c>
      <c r="J244" s="5"/>
      <c r="K244" s="6"/>
      <c r="L244" s="6" t="s">
        <v>388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386</v>
      </c>
      <c r="B245" s="6" t="str">
        <f>IF(A245="","",VLOOKUP(A245,DB!A:B,2,0))</f>
        <v>AJA HD5DA</v>
      </c>
      <c r="C245" s="5"/>
      <c r="D245" s="5"/>
      <c r="E245" s="6" t="s">
        <v>313</v>
      </c>
      <c r="F245" s="6" t="s">
        <v>243</v>
      </c>
      <c r="G245" s="6" t="s">
        <v>107</v>
      </c>
      <c r="H245" s="6" t="s">
        <v>288</v>
      </c>
      <c r="I245" s="5" t="str">
        <f>IF(H245="","",VLOOKUP(H245,DB!A:B,2,0))</f>
        <v>Sony HXCU-100 Cam 4</v>
      </c>
      <c r="J245" s="5"/>
      <c r="K245" s="6"/>
      <c r="L245" s="6" t="s">
        <v>388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389</v>
      </c>
      <c r="B246" s="6" t="str">
        <f>IF(A246="","",VLOOKUP(A246,DB!A:B,2,0))</f>
        <v>Patch Estudio</v>
      </c>
      <c r="C246" s="5"/>
      <c r="D246" s="5"/>
      <c r="E246" s="6" t="s">
        <v>390</v>
      </c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61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264</v>
      </c>
      <c r="I247" s="5" t="str">
        <f>IF(H247="","",VLOOKUP(H247,DB!A:B,2,0))</f>
        <v>Patch Panel</v>
      </c>
      <c r="J247" s="5"/>
      <c r="K247" s="6"/>
      <c r="L247" s="6" t="s">
        <v>18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264</v>
      </c>
      <c r="I248" s="5" t="str">
        <f>IF(H248="","",VLOOKUP(H248,DB!A:B,2,0))</f>
        <v>Patch Panel</v>
      </c>
      <c r="J248" s="5"/>
      <c r="K248" s="6"/>
      <c r="L248" s="6" t="s">
        <v>21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264</v>
      </c>
      <c r="I249" s="5" t="str">
        <f>IF(H249="","",VLOOKUP(H249,DB!A:B,2,0))</f>
        <v>Patch Panel</v>
      </c>
      <c r="J249" s="5"/>
      <c r="K249" s="6"/>
      <c r="L249" s="6" t="s">
        <v>24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264</v>
      </c>
      <c r="I250" s="5" t="str">
        <f>IF(H250="","",VLOOKUP(H250,DB!A:B,2,0))</f>
        <v>Patch Panel</v>
      </c>
      <c r="J250" s="5"/>
      <c r="K250" s="6"/>
      <c r="L250" s="6" t="s">
        <v>27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264</v>
      </c>
      <c r="I251" s="5" t="str">
        <f>IF(H251="","",VLOOKUP(H251,DB!A:B,2,0))</f>
        <v>Patch Panel</v>
      </c>
      <c r="J251" s="5"/>
      <c r="K251" s="6"/>
      <c r="L251" s="6" t="s">
        <v>30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264</v>
      </c>
      <c r="I252" s="5" t="str">
        <f>IF(H252="","",VLOOKUP(H252,DB!A:B,2,0))</f>
        <v>Patch Panel</v>
      </c>
      <c r="J252" s="5"/>
      <c r="K252" s="6"/>
      <c r="L252" s="6" t="s">
        <v>33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264</v>
      </c>
      <c r="I253" s="5" t="str">
        <f>IF(H253="","",VLOOKUP(H253,DB!A:B,2,0))</f>
        <v>Patch Panel</v>
      </c>
      <c r="J253" s="5"/>
      <c r="K253" s="6"/>
      <c r="L253" s="6" t="s">
        <v>36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5"/>
      <c r="E254" s="5"/>
      <c r="F254" s="5"/>
      <c r="G254" s="5"/>
      <c r="H254" s="6" t="s">
        <v>264</v>
      </c>
      <c r="I254" s="5" t="str">
        <f>IF(H254="","",VLOOKUP(H254,DB!A:B,2,0))</f>
        <v>Patch Panel</v>
      </c>
      <c r="J254" s="5"/>
      <c r="K254" s="6"/>
      <c r="L254" s="6" t="s">
        <v>39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89</v>
      </c>
      <c r="B255" s="6" t="str">
        <f>IF(A255="","",VLOOKUP(A255,DB!A:B,2,0))</f>
        <v/>
      </c>
      <c r="C255" s="5"/>
      <c r="D255" s="5"/>
      <c r="E255" s="5"/>
      <c r="F255" s="5"/>
      <c r="G255" s="5"/>
      <c r="H255" s="6" t="s">
        <v>264</v>
      </c>
      <c r="I255" s="5" t="str">
        <f>IF(H255="","",VLOOKUP(H255,DB!A:B,2,0))</f>
        <v>Patch Panel</v>
      </c>
      <c r="J255" s="5"/>
      <c r="K255" s="6"/>
      <c r="L255" s="6" t="s">
        <v>45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89</v>
      </c>
      <c r="B256" s="6" t="str">
        <f>IF(A256="","",VLOOKUP(A256,DB!A:B,2,0))</f>
        <v/>
      </c>
      <c r="C256" s="5"/>
      <c r="D256" s="5"/>
      <c r="E256" s="5"/>
      <c r="F256" s="5"/>
      <c r="G256" s="5"/>
      <c r="H256" s="6" t="s">
        <v>264</v>
      </c>
      <c r="I256" s="5" t="str">
        <f>IF(H256="","",VLOOKUP(H256,DB!A:B,2,0))</f>
        <v>Patch Panel</v>
      </c>
      <c r="J256" s="5"/>
      <c r="K256" s="6"/>
      <c r="L256" s="6" t="s">
        <v>49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89</v>
      </c>
      <c r="B257" s="6" t="str">
        <f>IF(A257="","",VLOOKUP(A257,DB!A:B,2,0))</f>
        <v/>
      </c>
      <c r="C257" s="5"/>
      <c r="D257" s="5"/>
      <c r="E257" s="5"/>
      <c r="F257" s="5"/>
      <c r="G257" s="5"/>
      <c r="H257" s="6" t="s">
        <v>264</v>
      </c>
      <c r="I257" s="5" t="str">
        <f>IF(H257="","",VLOOKUP(H257,DB!A:B,2,0))</f>
        <v>Patch Panel</v>
      </c>
      <c r="J257" s="5"/>
      <c r="K257" s="6"/>
      <c r="L257" s="6" t="s">
        <v>52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89</v>
      </c>
      <c r="B258" s="6" t="str">
        <f>IF(A258="","",VLOOKUP(A258,DB!A:B,2,0))</f>
        <v/>
      </c>
      <c r="C258" s="5"/>
      <c r="D258" s="5"/>
      <c r="E258" s="5"/>
      <c r="F258" s="5"/>
      <c r="G258" s="5"/>
      <c r="H258" s="6" t="s">
        <v>264</v>
      </c>
      <c r="I258" s="5" t="str">
        <f>IF(H258="","",VLOOKUP(H258,DB!A:B,2,0))</f>
        <v>Patch Panel</v>
      </c>
      <c r="J258" s="5"/>
      <c r="K258" s="6"/>
      <c r="L258" s="6" t="s">
        <v>55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89</v>
      </c>
      <c r="B259" s="6" t="str">
        <f>IF(A259="","",VLOOKUP(A259,DB!A:B,2,0))</f>
        <v/>
      </c>
      <c r="C259" s="5"/>
      <c r="D259" s="5"/>
      <c r="E259" s="5"/>
      <c r="F259" s="5"/>
      <c r="G259" s="5"/>
      <c r="H259" s="6" t="s">
        <v>264</v>
      </c>
      <c r="I259" s="5" t="str">
        <f>IF(H259="","",VLOOKUP(H259,DB!A:B,2,0))</f>
        <v>Patch Panel</v>
      </c>
      <c r="J259" s="5"/>
      <c r="K259" s="6"/>
      <c r="L259" s="6" t="s">
        <v>64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89</v>
      </c>
      <c r="B260" s="6" t="str">
        <f>IF(A260="","",VLOOKUP(A260,DB!A:B,2,0))</f>
        <v/>
      </c>
      <c r="C260" s="5"/>
      <c r="D260" s="5"/>
      <c r="E260" s="5"/>
      <c r="F260" s="5"/>
      <c r="G260" s="5"/>
      <c r="H260" s="6" t="s">
        <v>17</v>
      </c>
      <c r="I260" s="5" t="str">
        <f>IF(H260="","",VLOOKUP(H260,DB!A:B,2,0))</f>
        <v>Blackmagic 12 x 12</v>
      </c>
      <c r="J260" s="5"/>
      <c r="K260" s="6"/>
      <c r="L260" s="6" t="s">
        <v>49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89</v>
      </c>
      <c r="B261" s="6" t="str">
        <f>IF(A261="","",VLOOKUP(A261,DB!A:B,2,0))</f>
        <v/>
      </c>
      <c r="C261" s="5"/>
      <c r="D261" s="5"/>
      <c r="E261" s="5"/>
      <c r="F261" s="5"/>
      <c r="G261" s="5"/>
      <c r="H261" s="6" t="s">
        <v>17</v>
      </c>
      <c r="I261" s="5" t="str">
        <f>IF(H261="","",VLOOKUP(H261,DB!A:B,2,0))</f>
        <v>Blackmagic 12 x 12</v>
      </c>
      <c r="J261" s="5"/>
      <c r="K261" s="6"/>
      <c r="L261" s="6" t="s">
        <v>52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89</v>
      </c>
      <c r="B262" s="6" t="str">
        <f>IF(A262="","",VLOOKUP(A262,DB!A:B,2,0))</f>
        <v/>
      </c>
      <c r="C262" s="5"/>
      <c r="D262" s="6"/>
      <c r="E262" s="6"/>
      <c r="F262" s="5"/>
      <c r="G262" s="5"/>
      <c r="H262" s="6" t="s">
        <v>144</v>
      </c>
      <c r="I262" s="5" t="str">
        <f>IF(H262="","",VLOOKUP(H262,DB!A:B,2,0))</f>
        <v>openGear X</v>
      </c>
      <c r="J262" s="6">
        <v>3.0</v>
      </c>
      <c r="K262" s="6" t="s">
        <v>242</v>
      </c>
      <c r="L262" s="6" t="s">
        <v>244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224</v>
      </c>
      <c r="B263" s="6" t="str">
        <f>IF(A263="","",VLOOKUP(A263,DB!A:B,2,0))</f>
        <v>AJA FS2</v>
      </c>
      <c r="C263" s="5"/>
      <c r="D263" s="6"/>
      <c r="E263" s="6" t="s">
        <v>391</v>
      </c>
      <c r="F263" s="5"/>
      <c r="G263" s="5"/>
      <c r="H263" s="6" t="s">
        <v>392</v>
      </c>
      <c r="I263" s="5" t="str">
        <f>IF(H263="","",VLOOKUP(H263,DB!A:B,2,0))</f>
        <v>Digiwave DSC-131</v>
      </c>
      <c r="J263" s="6"/>
      <c r="K263" s="6"/>
      <c r="L263" s="6" t="s">
        <v>393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392</v>
      </c>
      <c r="B264" s="6" t="str">
        <f>IF(A264="","",VLOOKUP(A264,DB!A:B,2,0))</f>
        <v>Digiwave DSC-131</v>
      </c>
      <c r="C264" s="5"/>
      <c r="D264" s="6"/>
      <c r="E264" s="6" t="s">
        <v>394</v>
      </c>
      <c r="F264" s="5"/>
      <c r="G264" s="5"/>
      <c r="H264" s="6" t="s">
        <v>395</v>
      </c>
      <c r="I264" s="5" t="str">
        <f>IF(H264="","",VLOOKUP(H264,DB!A:B,2,0))</f>
        <v>vidicraft vst2110</v>
      </c>
      <c r="J264" s="6"/>
      <c r="K264" s="6"/>
      <c r="L264" s="6" t="s">
        <v>396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397</v>
      </c>
      <c r="B265" s="6" t="str">
        <f>IF(A265="","",VLOOKUP(A265,DB!A:B,2,0))</f>
        <v>tc electronic Finalizer</v>
      </c>
      <c r="C265" s="5"/>
      <c r="D265" s="6"/>
      <c r="E265" s="6" t="s">
        <v>398</v>
      </c>
      <c r="F265" s="5"/>
      <c r="G265" s="5"/>
      <c r="H265" s="6" t="s">
        <v>224</v>
      </c>
      <c r="I265" s="5" t="str">
        <f>IF(H265="","",VLOOKUP(H265,DB!A:B,2,0))</f>
        <v>AJA FS2</v>
      </c>
      <c r="J265" s="6"/>
      <c r="K265" s="6"/>
      <c r="L265" s="6" t="s">
        <v>399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397</v>
      </c>
      <c r="B266" s="6" t="str">
        <f>IF(A266="","",VLOOKUP(A266,DB!A:B,2,0))</f>
        <v>tc electronic Finalizer</v>
      </c>
      <c r="C266" s="5"/>
      <c r="D266" s="6"/>
      <c r="E266" s="6" t="s">
        <v>400</v>
      </c>
      <c r="F266" s="5"/>
      <c r="G266" s="5"/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240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397</v>
      </c>
      <c r="B267" s="6" t="str">
        <f>IF(A267="","",VLOOKUP(A267,DB!A:B,2,0))</f>
        <v>tc electronic Finalizer</v>
      </c>
      <c r="C267" s="5"/>
      <c r="D267" s="6"/>
      <c r="E267" s="6" t="s">
        <v>401</v>
      </c>
      <c r="F267" s="5"/>
      <c r="G267" s="5"/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6" t="s">
        <v>240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402</v>
      </c>
      <c r="B268" s="6" t="str">
        <f>IF(A268="","",VLOOKUP(A268,DB!A:B,2,0))</f>
        <v>Videotron DV100-EQ</v>
      </c>
      <c r="C268" s="5"/>
      <c r="D268" s="6"/>
      <c r="E268" s="6" t="s">
        <v>16</v>
      </c>
      <c r="F268" s="6" t="s">
        <v>243</v>
      </c>
      <c r="G268" s="6" t="s">
        <v>18</v>
      </c>
      <c r="H268" s="6" t="s">
        <v>188</v>
      </c>
      <c r="I268" s="5" t="str">
        <f>IF(H268="","",VLOOKUP(H268,DB!A:B,2,0))</f>
        <v>Player A</v>
      </c>
      <c r="J268" s="6">
        <v>1.0</v>
      </c>
      <c r="K268" s="6" t="s">
        <v>73</v>
      </c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402</v>
      </c>
      <c r="B269" s="6" t="str">
        <f>IF(A269="","",VLOOKUP(A269,DB!A:B,2,0))</f>
        <v>Videotron DV100-EQ</v>
      </c>
      <c r="C269" s="5"/>
      <c r="D269" s="6"/>
      <c r="E269" s="6" t="s">
        <v>20</v>
      </c>
      <c r="F269" s="6" t="s">
        <v>243</v>
      </c>
      <c r="G269" s="6" t="s">
        <v>18</v>
      </c>
      <c r="H269" s="6" t="s">
        <v>188</v>
      </c>
      <c r="I269" s="5" t="str">
        <f>IF(H269="","",VLOOKUP(H269,DB!A:B,2,0))</f>
        <v>Player A</v>
      </c>
      <c r="J269" s="6">
        <v>2.0</v>
      </c>
      <c r="K269" s="6" t="s">
        <v>73</v>
      </c>
      <c r="L269" s="6" t="s">
        <v>403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402</v>
      </c>
      <c r="B270" s="6" t="str">
        <f>IF(A270="","",VLOOKUP(A270,DB!A:B,2,0))</f>
        <v>Videotron DV100-EQ</v>
      </c>
      <c r="C270" s="5"/>
      <c r="D270" s="6"/>
      <c r="E270" s="6" t="s">
        <v>23</v>
      </c>
      <c r="F270" s="6" t="s">
        <v>243</v>
      </c>
      <c r="G270" s="6" t="s">
        <v>18</v>
      </c>
      <c r="H270" s="6" t="s">
        <v>191</v>
      </c>
      <c r="I270" s="5" t="str">
        <f>IF(H270="","",VLOOKUP(H270,DB!A:B,2,0))</f>
        <v>Player B</v>
      </c>
      <c r="J270" s="6">
        <v>1.0</v>
      </c>
      <c r="K270" s="6" t="s">
        <v>73</v>
      </c>
      <c r="L270" s="6" t="s">
        <v>403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402</v>
      </c>
      <c r="B271" s="6" t="str">
        <f>IF(A271="","",VLOOKUP(A271,DB!A:B,2,0))</f>
        <v>Videotron DV100-EQ</v>
      </c>
      <c r="C271" s="5"/>
      <c r="D271" s="6"/>
      <c r="E271" s="6" t="s">
        <v>26</v>
      </c>
      <c r="F271" s="6" t="s">
        <v>243</v>
      </c>
      <c r="G271" s="6" t="s">
        <v>18</v>
      </c>
      <c r="H271" s="6" t="s">
        <v>191</v>
      </c>
      <c r="I271" s="5" t="str">
        <f>IF(H271="","",VLOOKUP(H271,DB!A:B,2,0))</f>
        <v>Player B</v>
      </c>
      <c r="J271" s="6">
        <v>2.0</v>
      </c>
      <c r="K271" s="6" t="s">
        <v>73</v>
      </c>
      <c r="L271" s="6" t="s">
        <v>403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402</v>
      </c>
      <c r="B272" s="6" t="str">
        <f>IF(A272="","",VLOOKUP(A272,DB!A:B,2,0))</f>
        <v>Videotron DV100-EQ</v>
      </c>
      <c r="C272" s="5"/>
      <c r="D272" s="6"/>
      <c r="E272" s="6" t="s">
        <v>29</v>
      </c>
      <c r="F272" s="6" t="s">
        <v>243</v>
      </c>
      <c r="G272" s="6" t="s">
        <v>18</v>
      </c>
      <c r="H272" s="6" t="s">
        <v>193</v>
      </c>
      <c r="I272" s="5" t="str">
        <f>IF(H272="","",VLOOKUP(H272,DB!A:B,2,0))</f>
        <v>Player C</v>
      </c>
      <c r="J272" s="6">
        <v>1.0</v>
      </c>
      <c r="K272" s="6" t="s">
        <v>73</v>
      </c>
      <c r="L272" s="6" t="s">
        <v>403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402</v>
      </c>
      <c r="B273" s="6" t="str">
        <f>IF(A273="","",VLOOKUP(A273,DB!A:B,2,0))</f>
        <v>Videotron DV100-EQ</v>
      </c>
      <c r="C273" s="5"/>
      <c r="D273" s="6"/>
      <c r="E273" s="6" t="s">
        <v>32</v>
      </c>
      <c r="F273" s="6" t="s">
        <v>243</v>
      </c>
      <c r="G273" s="6" t="s">
        <v>18</v>
      </c>
      <c r="H273" s="6" t="s">
        <v>193</v>
      </c>
      <c r="I273" s="5" t="str">
        <f>IF(H273="","",VLOOKUP(H273,DB!A:B,2,0))</f>
        <v>Player C</v>
      </c>
      <c r="J273" s="6">
        <v>2.0</v>
      </c>
      <c r="K273" s="6" t="s">
        <v>73</v>
      </c>
      <c r="L273" s="6" t="s">
        <v>403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402</v>
      </c>
      <c r="B274" s="6" t="str">
        <f>IF(A274="","",VLOOKUP(A274,DB!A:B,2,0))</f>
        <v>Videotron DV100-EQ</v>
      </c>
      <c r="C274" s="5"/>
      <c r="D274" s="6"/>
      <c r="E274" s="6" t="s">
        <v>35</v>
      </c>
      <c r="F274" s="6" t="s">
        <v>243</v>
      </c>
      <c r="G274" s="6" t="s">
        <v>18</v>
      </c>
      <c r="H274" s="6" t="s">
        <v>89</v>
      </c>
      <c r="I274" s="5" t="str">
        <f>IF(H274="","",VLOOKUP(H274,DB!A:B,2,0))</f>
        <v/>
      </c>
      <c r="J274" s="6"/>
      <c r="K274" s="6"/>
      <c r="L274" s="6"/>
      <c r="M274" s="5"/>
      <c r="N274" s="6" t="s">
        <v>404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402</v>
      </c>
      <c r="B275" s="6" t="str">
        <f>IF(A275="","",VLOOKUP(A275,DB!A:B,2,0))</f>
        <v>Videotron DV100-EQ</v>
      </c>
      <c r="C275" s="5"/>
      <c r="D275" s="6"/>
      <c r="E275" s="6" t="s">
        <v>38</v>
      </c>
      <c r="F275" s="6" t="s">
        <v>243</v>
      </c>
      <c r="G275" s="6" t="s">
        <v>18</v>
      </c>
      <c r="H275" s="6" t="s">
        <v>89</v>
      </c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188</v>
      </c>
      <c r="B276" s="6" t="str">
        <f>IF(A276="","",VLOOKUP(A276,DB!A:B,2,0))</f>
        <v>Player A</v>
      </c>
      <c r="C276" s="6">
        <v>2.0</v>
      </c>
      <c r="D276" s="6" t="s">
        <v>73</v>
      </c>
      <c r="E276" s="6" t="s">
        <v>405</v>
      </c>
      <c r="F276" s="5"/>
      <c r="G276" s="5"/>
      <c r="H276" s="6" t="s">
        <v>352</v>
      </c>
      <c r="I276" s="5" t="str">
        <f>IF(H276="","",VLOOKUP(H276,DB!A:B,2,0))</f>
        <v>Yamaha QL5</v>
      </c>
      <c r="J276" s="6"/>
      <c r="K276" s="6"/>
      <c r="L276" s="6" t="s">
        <v>406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182</v>
      </c>
      <c r="B277" s="6" t="str">
        <f>IF(A277="","",VLOOKUP(A277,DB!A:B,2,0))</f>
        <v>?????</v>
      </c>
      <c r="C277" s="5"/>
      <c r="D277" s="6"/>
      <c r="E277" s="6"/>
      <c r="F277" s="5"/>
      <c r="G277" s="5"/>
      <c r="H277" s="6" t="s">
        <v>204</v>
      </c>
      <c r="I277" s="5" t="str">
        <f>IF(H277="","",VLOOKUP(H277,DB!A:B,2,0))</f>
        <v>openGear X</v>
      </c>
      <c r="J277" s="6">
        <v>1.0</v>
      </c>
      <c r="K277" s="6" t="s">
        <v>317</v>
      </c>
      <c r="L277" s="6" t="s">
        <v>319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204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407</v>
      </c>
      <c r="F278" s="6" t="s">
        <v>243</v>
      </c>
      <c r="G278" s="6" t="s">
        <v>319</v>
      </c>
      <c r="H278" s="6" t="s">
        <v>204</v>
      </c>
      <c r="I278" s="5" t="str">
        <f>IF(H278="","",VLOOKUP(H278,DB!A:B,2,0))</f>
        <v>openGear X</v>
      </c>
      <c r="J278" s="6" t="s">
        <v>182</v>
      </c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204</v>
      </c>
      <c r="B279" s="6" t="str">
        <f>IF(A279="","",VLOOKUP(A279,DB!A:B,2,0))</f>
        <v>openGear X</v>
      </c>
      <c r="C279" s="6">
        <v>1.0</v>
      </c>
      <c r="D279" s="6" t="s">
        <v>317</v>
      </c>
      <c r="E279" s="6" t="s">
        <v>408</v>
      </c>
      <c r="F279" s="6" t="s">
        <v>243</v>
      </c>
      <c r="G279" s="6" t="s">
        <v>319</v>
      </c>
      <c r="H279" s="6" t="s">
        <v>204</v>
      </c>
      <c r="I279" s="5" t="str">
        <f>IF(H279="","",VLOOKUP(H279,DB!A:B,2,0))</f>
        <v>openGear X</v>
      </c>
      <c r="J279" s="6" t="s">
        <v>182</v>
      </c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204</v>
      </c>
      <c r="B280" s="6" t="str">
        <f>IF(A280="","",VLOOKUP(A280,DB!A:B,2,0))</f>
        <v>openGear X</v>
      </c>
      <c r="C280" s="6">
        <v>1.0</v>
      </c>
      <c r="D280" s="6" t="s">
        <v>317</v>
      </c>
      <c r="E280" s="6" t="s">
        <v>409</v>
      </c>
      <c r="F280" s="6" t="s">
        <v>243</v>
      </c>
      <c r="G280" s="6" t="s">
        <v>319</v>
      </c>
      <c r="H280" s="6" t="s">
        <v>204</v>
      </c>
      <c r="I280" s="5" t="str">
        <f>IF(H280="","",VLOOKUP(H280,DB!A:B,2,0))</f>
        <v>openGear X</v>
      </c>
      <c r="J280" s="6" t="s">
        <v>182</v>
      </c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204</v>
      </c>
      <c r="B281" s="6" t="str">
        <f>IF(A281="","",VLOOKUP(A281,DB!A:B,2,0))</f>
        <v>openGear X</v>
      </c>
      <c r="C281" s="6">
        <v>1.0</v>
      </c>
      <c r="D281" s="6" t="s">
        <v>317</v>
      </c>
      <c r="E281" s="6" t="s">
        <v>410</v>
      </c>
      <c r="F281" s="6" t="s">
        <v>243</v>
      </c>
      <c r="G281" s="6" t="s">
        <v>319</v>
      </c>
      <c r="H281" s="6" t="s">
        <v>204</v>
      </c>
      <c r="I281" s="5" t="str">
        <f>IF(H281="","",VLOOKUP(H281,DB!A:B,2,0))</f>
        <v>openGear X</v>
      </c>
      <c r="J281" s="6">
        <v>3.0</v>
      </c>
      <c r="K281" s="14" t="s">
        <v>205</v>
      </c>
      <c r="L281" s="6" t="s">
        <v>107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204</v>
      </c>
      <c r="B282" s="6" t="str">
        <f>IF(A282="","",VLOOKUP(A282,DB!A:B,2,0))</f>
        <v>openGear X</v>
      </c>
      <c r="C282" s="6">
        <v>1.0</v>
      </c>
      <c r="D282" s="6" t="s">
        <v>317</v>
      </c>
      <c r="E282" s="6" t="s">
        <v>411</v>
      </c>
      <c r="F282" s="6" t="s">
        <v>243</v>
      </c>
      <c r="G282" s="6" t="s">
        <v>319</v>
      </c>
      <c r="H282" s="6" t="s">
        <v>204</v>
      </c>
      <c r="I282" s="5" t="str">
        <f>IF(H282="","",VLOOKUP(H282,DB!A:B,2,0))</f>
        <v>openGear X</v>
      </c>
      <c r="J282" s="6">
        <v>2.0</v>
      </c>
      <c r="K282" s="14" t="s">
        <v>205</v>
      </c>
      <c r="L282" s="6" t="s">
        <v>107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204</v>
      </c>
      <c r="B283" s="6" t="str">
        <f>IF(A283="","",VLOOKUP(A283,DB!A:B,2,0))</f>
        <v>openGear X</v>
      </c>
      <c r="C283" s="6">
        <v>1.0</v>
      </c>
      <c r="D283" s="6" t="s">
        <v>317</v>
      </c>
      <c r="E283" s="6" t="s">
        <v>412</v>
      </c>
      <c r="F283" s="6" t="s">
        <v>243</v>
      </c>
      <c r="G283" s="6" t="s">
        <v>319</v>
      </c>
      <c r="H283" s="6" t="s">
        <v>204</v>
      </c>
      <c r="I283" s="5" t="str">
        <f>IF(H283="","",VLOOKUP(H283,DB!A:B,2,0))</f>
        <v>openGear X</v>
      </c>
      <c r="J283" s="6">
        <v>5.0</v>
      </c>
      <c r="K283" s="14" t="s">
        <v>205</v>
      </c>
      <c r="L283" s="6" t="s">
        <v>107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204</v>
      </c>
      <c r="B284" s="6" t="str">
        <f>IF(A284="","",VLOOKUP(A284,DB!A:B,2,0))</f>
        <v>openGear X</v>
      </c>
      <c r="C284" s="6">
        <v>1.0</v>
      </c>
      <c r="D284" s="6" t="s">
        <v>317</v>
      </c>
      <c r="E284" s="6" t="s">
        <v>413</v>
      </c>
      <c r="F284" s="6" t="s">
        <v>243</v>
      </c>
      <c r="G284" s="6" t="s">
        <v>319</v>
      </c>
      <c r="H284" s="6" t="s">
        <v>182</v>
      </c>
      <c r="I284" s="5" t="str">
        <f>IF(H284="","",VLOOKUP(H284,DB!A:B,2,0))</f>
        <v>?????</v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204</v>
      </c>
      <c r="B285" s="6" t="str">
        <f>IF(A285="","",VLOOKUP(A285,DB!A:B,2,0))</f>
        <v>openGear X</v>
      </c>
      <c r="C285" s="6">
        <v>1.0</v>
      </c>
      <c r="D285" s="6" t="s">
        <v>317</v>
      </c>
      <c r="E285" s="6" t="s">
        <v>414</v>
      </c>
      <c r="F285" s="6" t="s">
        <v>243</v>
      </c>
      <c r="G285" s="6" t="s">
        <v>319</v>
      </c>
      <c r="H285" s="6" t="s">
        <v>347</v>
      </c>
      <c r="I285" s="5" t="str">
        <f>IF(H285="","",VLOOKUP(H285,DB!A:B,2,0))</f>
        <v>VIDEObit 3G-LINK-TD</v>
      </c>
      <c r="J285" s="6"/>
      <c r="K285" s="6"/>
      <c r="L285" s="6" t="s">
        <v>68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204</v>
      </c>
      <c r="B286" s="6" t="str">
        <f>IF(A286="","",VLOOKUP(A286,DB!A:B,2,0))</f>
        <v>openGear X</v>
      </c>
      <c r="C286" s="6">
        <v>1.0</v>
      </c>
      <c r="D286" s="6" t="s">
        <v>317</v>
      </c>
      <c r="E286" s="6" t="s">
        <v>415</v>
      </c>
      <c r="F286" s="6" t="s">
        <v>243</v>
      </c>
      <c r="G286" s="6" t="s">
        <v>319</v>
      </c>
      <c r="H286" s="6" t="s">
        <v>89</v>
      </c>
      <c r="I286" s="5" t="str">
        <f>IF(H286="","",VLOOKUP(H286,DB!A:B,2,0))</f>
        <v/>
      </c>
      <c r="J286" s="6"/>
      <c r="K286" s="6"/>
      <c r="L286" s="6"/>
      <c r="M286" s="5"/>
      <c r="N286" s="6" t="s">
        <v>213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416</v>
      </c>
      <c r="B287" s="6" t="str">
        <f>IF(A287="","",VLOOKUP(A287,DB!A:B,2,0))</f>
        <v>Leader Sync Generator</v>
      </c>
      <c r="C287" s="5"/>
      <c r="D287" s="6"/>
      <c r="E287" s="6" t="s">
        <v>417</v>
      </c>
      <c r="F287" s="5"/>
      <c r="G287" s="5"/>
      <c r="H287" s="6" t="s">
        <v>144</v>
      </c>
      <c r="I287" s="5" t="str">
        <f>IF(H287="","",VLOOKUP(H287,DB!A:B,2,0))</f>
        <v>openGear X</v>
      </c>
      <c r="J287" s="6">
        <v>0.0</v>
      </c>
      <c r="K287" s="6" t="s">
        <v>418</v>
      </c>
      <c r="L287" s="6" t="s">
        <v>403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416</v>
      </c>
      <c r="B288" s="6" t="str">
        <f>IF(A288="","",VLOOKUP(A288,DB!A:B,2,0))</f>
        <v>Leader Sync Generator</v>
      </c>
      <c r="C288" s="5"/>
      <c r="D288" s="6"/>
      <c r="E288" s="6" t="s">
        <v>419</v>
      </c>
      <c r="F288" s="5"/>
      <c r="G288" s="5"/>
      <c r="H288" s="6" t="s">
        <v>15</v>
      </c>
      <c r="I288" s="5" t="str">
        <f>IF(H288="","",VLOOKUP(H288,DB!A:B,2,0))</f>
        <v>AJA KUMO 6464</v>
      </c>
      <c r="J288" s="6"/>
      <c r="K288" s="6"/>
      <c r="L288" s="6" t="s">
        <v>403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416</v>
      </c>
      <c r="B289" s="6" t="str">
        <f>IF(A289="","",VLOOKUP(A289,DB!A:B,2,0))</f>
        <v>Leader Sync Generator</v>
      </c>
      <c r="C289" s="5"/>
      <c r="D289" s="6"/>
      <c r="E289" s="6" t="s">
        <v>420</v>
      </c>
      <c r="F289" s="5"/>
      <c r="G289" s="5"/>
      <c r="H289" s="6" t="s">
        <v>421</v>
      </c>
      <c r="I289" s="5" t="str">
        <f>IF(H289="","",VLOOKUP(H289,DB!A:B,2,0))</f>
        <v>Miranda Densite3</v>
      </c>
      <c r="J289" s="6">
        <v>7.0</v>
      </c>
      <c r="K289" s="6" t="s">
        <v>422</v>
      </c>
      <c r="L289" s="6" t="s">
        <v>396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416</v>
      </c>
      <c r="B290" s="6" t="str">
        <f>IF(A290="","",VLOOKUP(A290,DB!A:B,2,0))</f>
        <v>Leader Sync Generator</v>
      </c>
      <c r="C290" s="5"/>
      <c r="D290" s="6"/>
      <c r="E290" s="6" t="s">
        <v>423</v>
      </c>
      <c r="F290" s="5"/>
      <c r="G290" s="5"/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416</v>
      </c>
      <c r="B291" s="6" t="str">
        <f>IF(A291="","",VLOOKUP(A291,DB!A:B,2,0))</f>
        <v>Leader Sync Generator</v>
      </c>
      <c r="C291" s="5"/>
      <c r="D291" s="6"/>
      <c r="E291" s="6" t="s">
        <v>424</v>
      </c>
      <c r="F291" s="5"/>
      <c r="G291" s="5"/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416</v>
      </c>
      <c r="B292" s="6" t="str">
        <f>IF(A292="","",VLOOKUP(A292,DB!A:B,2,0))</f>
        <v>Leader Sync Generator</v>
      </c>
      <c r="C292" s="5"/>
      <c r="D292" s="6"/>
      <c r="E292" s="6" t="s">
        <v>425</v>
      </c>
      <c r="F292" s="5"/>
      <c r="G292" s="5"/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421</v>
      </c>
      <c r="B293" s="6" t="str">
        <f>IF(A293="","",VLOOKUP(A293,DB!A:B,2,0))</f>
        <v>Miranda Densite3</v>
      </c>
      <c r="C293" s="6">
        <v>7.0</v>
      </c>
      <c r="D293" s="6" t="s">
        <v>422</v>
      </c>
      <c r="E293" s="6" t="s">
        <v>426</v>
      </c>
      <c r="F293" s="6" t="s">
        <v>243</v>
      </c>
      <c r="G293" s="6" t="s">
        <v>396</v>
      </c>
      <c r="H293" s="6" t="s">
        <v>392</v>
      </c>
      <c r="I293" s="5" t="str">
        <f>IF(H293="","",VLOOKUP(H293,DB!A:B,2,0))</f>
        <v>Digiwave DSC-131</v>
      </c>
      <c r="J293" s="6"/>
      <c r="K293" s="6"/>
      <c r="L293" s="6" t="s">
        <v>403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421</v>
      </c>
      <c r="B294" s="6" t="str">
        <f>IF(A294="","",VLOOKUP(A294,DB!A:B,2,0))</f>
        <v>Miranda Densite3</v>
      </c>
      <c r="C294" s="6">
        <v>7.0</v>
      </c>
      <c r="D294" s="6" t="s">
        <v>422</v>
      </c>
      <c r="E294" s="6" t="s">
        <v>427</v>
      </c>
      <c r="F294" s="6" t="s">
        <v>243</v>
      </c>
      <c r="G294" s="6" t="s">
        <v>396</v>
      </c>
      <c r="H294" s="6" t="s">
        <v>402</v>
      </c>
      <c r="I294" s="5" t="str">
        <f>IF(H294="","",VLOOKUP(H294,DB!A:B,2,0))</f>
        <v>Videotron DV100-EQ</v>
      </c>
      <c r="J294" s="6"/>
      <c r="K294" s="6"/>
      <c r="L294" s="6" t="s">
        <v>18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421</v>
      </c>
      <c r="B295" s="6" t="str">
        <f>IF(A295="","",VLOOKUP(A295,DB!A:B,2,0))</f>
        <v>Miranda Densite3</v>
      </c>
      <c r="C295" s="6">
        <v>7.0</v>
      </c>
      <c r="D295" s="6" t="s">
        <v>422</v>
      </c>
      <c r="E295" s="6" t="s">
        <v>428</v>
      </c>
      <c r="F295" s="6" t="s">
        <v>243</v>
      </c>
      <c r="G295" s="6" t="s">
        <v>396</v>
      </c>
      <c r="H295" s="6" t="s">
        <v>279</v>
      </c>
      <c r="I295" s="5" t="str">
        <f>IF(H295="","",VLOOKUP(H295,DB!A:B,2,0))</f>
        <v>Sony HXCU-100 Cam 1</v>
      </c>
      <c r="J295" s="6"/>
      <c r="K295" s="6"/>
      <c r="L295" s="6" t="s">
        <v>403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421</v>
      </c>
      <c r="B296" s="6" t="str">
        <f>IF(A296="","",VLOOKUP(A296,DB!A:B,2,0))</f>
        <v>Miranda Densite3</v>
      </c>
      <c r="C296" s="6">
        <v>7.0</v>
      </c>
      <c r="D296" s="6" t="s">
        <v>422</v>
      </c>
      <c r="E296" s="6" t="s">
        <v>429</v>
      </c>
      <c r="F296" s="6" t="s">
        <v>243</v>
      </c>
      <c r="G296" s="6" t="s">
        <v>396</v>
      </c>
      <c r="H296" s="6" t="s">
        <v>204</v>
      </c>
      <c r="I296" s="5" t="str">
        <f>IF(H296="","",VLOOKUP(H296,DB!A:B,2,0))</f>
        <v>openGear X</v>
      </c>
      <c r="J296" s="6">
        <v>0.0</v>
      </c>
      <c r="K296" s="6" t="s">
        <v>418</v>
      </c>
      <c r="L296" s="6" t="s">
        <v>403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421</v>
      </c>
      <c r="B297" s="6" t="str">
        <f>IF(A297="","",VLOOKUP(A297,DB!A:B,2,0))</f>
        <v>Miranda Densite3</v>
      </c>
      <c r="C297" s="6">
        <v>7.0</v>
      </c>
      <c r="D297" s="6" t="s">
        <v>422</v>
      </c>
      <c r="E297" s="6" t="s">
        <v>430</v>
      </c>
      <c r="F297" s="6" t="s">
        <v>243</v>
      </c>
      <c r="G297" s="6" t="s">
        <v>396</v>
      </c>
      <c r="H297" s="6" t="s">
        <v>89</v>
      </c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421</v>
      </c>
      <c r="B298" s="6" t="str">
        <f>IF(A298="","",VLOOKUP(A298,DB!A:B,2,0))</f>
        <v>Miranda Densite3</v>
      </c>
      <c r="C298" s="6">
        <v>7.0</v>
      </c>
      <c r="D298" s="6" t="s">
        <v>422</v>
      </c>
      <c r="E298" s="6" t="s">
        <v>431</v>
      </c>
      <c r="F298" s="6" t="s">
        <v>243</v>
      </c>
      <c r="G298" s="6" t="s">
        <v>396</v>
      </c>
      <c r="H298" s="6" t="s">
        <v>89</v>
      </c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421</v>
      </c>
      <c r="B299" s="6" t="str">
        <f>IF(A299="","",VLOOKUP(A299,DB!A:B,2,0))</f>
        <v>Miranda Densite3</v>
      </c>
      <c r="C299" s="6">
        <v>7.0</v>
      </c>
      <c r="D299" s="6" t="s">
        <v>422</v>
      </c>
      <c r="E299" s="6" t="s">
        <v>432</v>
      </c>
      <c r="F299" s="6" t="s">
        <v>243</v>
      </c>
      <c r="G299" s="6" t="s">
        <v>396</v>
      </c>
      <c r="H299" s="6" t="s">
        <v>89</v>
      </c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421</v>
      </c>
      <c r="B300" s="6" t="str">
        <f>IF(A300="","",VLOOKUP(A300,DB!A:B,2,0))</f>
        <v>Miranda Densite3</v>
      </c>
      <c r="C300" s="6">
        <v>7.0</v>
      </c>
      <c r="D300" s="6" t="s">
        <v>422</v>
      </c>
      <c r="E300" s="6" t="s">
        <v>433</v>
      </c>
      <c r="F300" s="6" t="s">
        <v>243</v>
      </c>
      <c r="G300" s="6" t="s">
        <v>396</v>
      </c>
      <c r="H300" s="6" t="s">
        <v>89</v>
      </c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421</v>
      </c>
      <c r="B301" s="6" t="str">
        <f>IF(A301="","",VLOOKUP(A301,DB!A:B,2,0))</f>
        <v>Miranda Densite3</v>
      </c>
      <c r="C301" s="6">
        <v>7.0</v>
      </c>
      <c r="D301" s="6" t="s">
        <v>422</v>
      </c>
      <c r="E301" s="6" t="s">
        <v>434</v>
      </c>
      <c r="F301" s="6" t="s">
        <v>243</v>
      </c>
      <c r="G301" s="6" t="s">
        <v>396</v>
      </c>
      <c r="H301" s="6" t="s">
        <v>89</v>
      </c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15</v>
      </c>
      <c r="B302" s="6" t="str">
        <f>IF(A302="","",VLOOKUP(A302,DB!A:B,2,0))</f>
        <v>AJA KUMO 6464</v>
      </c>
      <c r="C302" s="5"/>
      <c r="D302" s="6"/>
      <c r="E302" s="6" t="s">
        <v>435</v>
      </c>
      <c r="F302" s="6" t="s">
        <v>243</v>
      </c>
      <c r="G302" s="6" t="s">
        <v>403</v>
      </c>
      <c r="H302" s="6" t="s">
        <v>17</v>
      </c>
      <c r="I302" s="5" t="str">
        <f>IF(H302="","",VLOOKUP(H302,DB!A:B,2,0))</f>
        <v>Blackmagic 12 x 12</v>
      </c>
      <c r="J302" s="6"/>
      <c r="K302" s="6"/>
      <c r="L302" s="6" t="s">
        <v>403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279</v>
      </c>
      <c r="B303" s="6" t="str">
        <f>IF(A303="","",VLOOKUP(A303,DB!A:B,2,0))</f>
        <v>Sony HXCU-100 Cam 1</v>
      </c>
      <c r="C303" s="5"/>
      <c r="D303" s="6"/>
      <c r="E303" s="6" t="s">
        <v>435</v>
      </c>
      <c r="F303" s="6" t="s">
        <v>243</v>
      </c>
      <c r="G303" s="6" t="s">
        <v>403</v>
      </c>
      <c r="H303" s="6" t="s">
        <v>282</v>
      </c>
      <c r="I303" s="5" t="str">
        <f>IF(H303="","",VLOOKUP(H303,DB!A:B,2,0))</f>
        <v>Sony HXCU-100 Cam 2</v>
      </c>
      <c r="J303" s="6"/>
      <c r="K303" s="6"/>
      <c r="L303" s="6" t="s">
        <v>403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282</v>
      </c>
      <c r="B304" s="6" t="str">
        <f>IF(A304="","",VLOOKUP(A304,DB!A:B,2,0))</f>
        <v>Sony HXCU-100 Cam 2</v>
      </c>
      <c r="C304" s="5"/>
      <c r="D304" s="6"/>
      <c r="E304" s="6" t="s">
        <v>435</v>
      </c>
      <c r="F304" s="6" t="s">
        <v>243</v>
      </c>
      <c r="G304" s="6" t="s">
        <v>403</v>
      </c>
      <c r="H304" s="6" t="s">
        <v>285</v>
      </c>
      <c r="I304" s="5" t="str">
        <f>IF(H304="","",VLOOKUP(H304,DB!A:B,2,0))</f>
        <v>Sony HXCU-100 Cam 3</v>
      </c>
      <c r="J304" s="6"/>
      <c r="K304" s="6"/>
      <c r="L304" s="6" t="s">
        <v>403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285</v>
      </c>
      <c r="B305" s="6" t="str">
        <f>IF(A305="","",VLOOKUP(A305,DB!A:B,2,0))</f>
        <v>Sony HXCU-100 Cam 3</v>
      </c>
      <c r="C305" s="5"/>
      <c r="D305" s="6"/>
      <c r="E305" s="6" t="s">
        <v>435</v>
      </c>
      <c r="F305" s="6" t="s">
        <v>243</v>
      </c>
      <c r="G305" s="6" t="s">
        <v>403</v>
      </c>
      <c r="H305" s="6" t="s">
        <v>288</v>
      </c>
      <c r="I305" s="5" t="str">
        <f>IF(H305="","",VLOOKUP(H305,DB!A:B,2,0))</f>
        <v>Sony HXCU-100 Cam 4</v>
      </c>
      <c r="J305" s="6"/>
      <c r="K305" s="6"/>
      <c r="L305" s="6" t="s">
        <v>403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288</v>
      </c>
      <c r="B306" s="6" t="str">
        <f>IF(A306="","",VLOOKUP(A306,DB!A:B,2,0))</f>
        <v>Sony HXCU-100 Cam 4</v>
      </c>
      <c r="C306" s="5"/>
      <c r="D306" s="6"/>
      <c r="E306" s="6" t="s">
        <v>435</v>
      </c>
      <c r="F306" s="6" t="s">
        <v>243</v>
      </c>
      <c r="G306" s="6" t="s">
        <v>403</v>
      </c>
      <c r="H306" s="6" t="s">
        <v>91</v>
      </c>
      <c r="I306" s="5" t="str">
        <f>IF(H306="","",VLOOKUP(H306,DB!A:B,2,0))</f>
        <v>FOR A HVS-390HS</v>
      </c>
      <c r="J306" s="6"/>
      <c r="K306" s="6"/>
      <c r="L306" s="6" t="s">
        <v>403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89</v>
      </c>
      <c r="B307" s="6" t="str">
        <f>IF(A307="","",VLOOKUP(A307,DB!A:B,2,0))</f>
        <v/>
      </c>
      <c r="C307" s="5"/>
      <c r="D307" s="6"/>
      <c r="E307" s="6"/>
      <c r="F307" s="5"/>
      <c r="G307" s="5"/>
      <c r="H307" s="6" t="s">
        <v>144</v>
      </c>
      <c r="I307" s="5" t="str">
        <f>IF(H307="","",VLOOKUP(H307,DB!A:B,2,0))</f>
        <v>openGear X</v>
      </c>
      <c r="J307" s="6">
        <v>8.0</v>
      </c>
      <c r="K307" s="6" t="s">
        <v>329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144</v>
      </c>
      <c r="B308" s="6" t="str">
        <f>IF(A308="","",VLOOKUP(A308,DB!A:B,2,0))</f>
        <v>openGear X</v>
      </c>
      <c r="C308" s="6">
        <v>0.0</v>
      </c>
      <c r="D308" s="6" t="s">
        <v>418</v>
      </c>
      <c r="E308" s="6" t="s">
        <v>435</v>
      </c>
      <c r="F308" s="6" t="s">
        <v>243</v>
      </c>
      <c r="G308" s="6" t="s">
        <v>403</v>
      </c>
      <c r="H308" s="6" t="s">
        <v>185</v>
      </c>
      <c r="I308" s="5" t="str">
        <f>IF(H308="","",VLOOKUP(H308,DB!A:B,2,0))</f>
        <v>openGear X</v>
      </c>
      <c r="J308" s="6">
        <v>0.0</v>
      </c>
      <c r="K308" s="6" t="s">
        <v>418</v>
      </c>
      <c r="L308" s="6" t="s">
        <v>403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185</v>
      </c>
      <c r="B309" s="6" t="str">
        <f>IF(A309="","",VLOOKUP(A309,DB!A:B,2,0))</f>
        <v>openGear X</v>
      </c>
      <c r="C309" s="6">
        <v>0.0</v>
      </c>
      <c r="D309" s="6" t="s">
        <v>418</v>
      </c>
      <c r="E309" s="6" t="s">
        <v>435</v>
      </c>
      <c r="F309" s="6" t="s">
        <v>243</v>
      </c>
      <c r="G309" s="6" t="s">
        <v>403</v>
      </c>
      <c r="H309" s="6" t="s">
        <v>67</v>
      </c>
      <c r="I309" s="5" t="str">
        <f>IF(H309="","",VLOOKUP(H309,DB!A:B,2,0))</f>
        <v>AJA FS4</v>
      </c>
      <c r="J309" s="6"/>
      <c r="K309" s="6"/>
      <c r="L309" s="6" t="s">
        <v>403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67</v>
      </c>
      <c r="B310" s="6" t="str">
        <f>IF(A310="","",VLOOKUP(A310,DB!A:B,2,0))</f>
        <v>AJA FS4</v>
      </c>
      <c r="C310" s="5"/>
      <c r="D310" s="6"/>
      <c r="E310" s="6" t="s">
        <v>435</v>
      </c>
      <c r="F310" s="6" t="s">
        <v>243</v>
      </c>
      <c r="G310" s="6" t="s">
        <v>403</v>
      </c>
      <c r="H310" s="6" t="s">
        <v>224</v>
      </c>
      <c r="I310" s="5" t="str">
        <f>IF(H310="","",VLOOKUP(H310,DB!A:B,2,0))</f>
        <v>AJA FS2</v>
      </c>
      <c r="J310" s="6"/>
      <c r="K310" s="6"/>
      <c r="L310" s="6" t="s">
        <v>403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175</v>
      </c>
      <c r="B311" s="6" t="str">
        <f>IF(A311="","",VLOOKUP(A311,DB!A:B,2,0))</f>
        <v>Leader LV 7770</v>
      </c>
      <c r="C311" s="5"/>
      <c r="D311" s="6"/>
      <c r="E311" s="6" t="s">
        <v>436</v>
      </c>
      <c r="F311" s="6" t="s">
        <v>243</v>
      </c>
      <c r="G311" s="6" t="s">
        <v>179</v>
      </c>
      <c r="H311" s="6" t="s">
        <v>102</v>
      </c>
      <c r="I311" s="5" t="str">
        <f>IF(H311="","",VLOOKUP(H311,DB!A:B,2,0))</f>
        <v>PC Rack</v>
      </c>
      <c r="J311" s="6">
        <v>1.0</v>
      </c>
      <c r="K311" s="6" t="s">
        <v>73</v>
      </c>
      <c r="L311" s="6" t="s">
        <v>437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89</v>
      </c>
      <c r="B312" s="6" t="str">
        <f>IF(A312="","",VLOOKUP(A312,DB!A:B,2,0))</f>
        <v/>
      </c>
      <c r="C312" s="5"/>
      <c r="D312" s="6"/>
      <c r="E312" s="6"/>
      <c r="F312" s="5"/>
      <c r="G312" s="5"/>
      <c r="H312" s="6" t="s">
        <v>144</v>
      </c>
      <c r="I312" s="5" t="str">
        <f>IF(H312="","",VLOOKUP(H312,DB!A:B,2,0))</f>
        <v>openGear X</v>
      </c>
      <c r="J312" s="6">
        <v>9.0</v>
      </c>
      <c r="K312" s="6" t="s">
        <v>145</v>
      </c>
      <c r="L312" s="6" t="s">
        <v>319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224</v>
      </c>
      <c r="B313" s="6" t="str">
        <f>IF(A313="","",VLOOKUP(A313,DB!A:B,2,0))</f>
        <v>AJA FS2</v>
      </c>
      <c r="C313" s="5"/>
      <c r="D313" s="6"/>
      <c r="E313" s="6" t="s">
        <v>435</v>
      </c>
      <c r="F313" s="6" t="s">
        <v>243</v>
      </c>
      <c r="G313" s="6" t="s">
        <v>403</v>
      </c>
      <c r="H313" s="6" t="s">
        <v>89</v>
      </c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438</v>
      </c>
      <c r="B1" s="16" t="s">
        <v>439</v>
      </c>
      <c r="C1" s="17" t="s">
        <v>440</v>
      </c>
      <c r="D1" s="18" t="s">
        <v>441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442</v>
      </c>
      <c r="B2" s="7" t="s">
        <v>443</v>
      </c>
      <c r="C2" s="19" t="s">
        <v>444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445</v>
      </c>
      <c r="C3" s="19" t="s">
        <v>446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447</v>
      </c>
      <c r="C4" s="19" t="s">
        <v>448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449</v>
      </c>
      <c r="C5" s="19" t="s">
        <v>450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451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402</v>
      </c>
      <c r="B7" s="11" t="s">
        <v>452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453</v>
      </c>
      <c r="B9" s="7" t="s">
        <v>454</v>
      </c>
      <c r="C9" s="19" t="s">
        <v>455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456</v>
      </c>
      <c r="C10" s="19" t="s">
        <v>457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458</v>
      </c>
      <c r="C11" s="19" t="s">
        <v>459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460</v>
      </c>
      <c r="C12" s="19" t="s">
        <v>461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416</v>
      </c>
      <c r="B14" s="11" t="s">
        <v>462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421</v>
      </c>
      <c r="B15" s="7" t="s">
        <v>463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464</v>
      </c>
      <c r="C16" s="19" t="s">
        <v>465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466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467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468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468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374</v>
      </c>
      <c r="B22" s="11" t="s">
        <v>469</v>
      </c>
      <c r="C22" s="20" t="s">
        <v>470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376</v>
      </c>
      <c r="B23" s="11" t="s">
        <v>471</v>
      </c>
      <c r="C23" s="20" t="s">
        <v>472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473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474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475</v>
      </c>
      <c r="B27" s="7" t="s">
        <v>476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477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477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478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479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480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367</v>
      </c>
      <c r="B33" s="7" t="s">
        <v>476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480</v>
      </c>
      <c r="C34" s="19" t="s">
        <v>481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397</v>
      </c>
      <c r="B35" s="7" t="s">
        <v>482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483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484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484</v>
      </c>
      <c r="C38" s="19" t="s">
        <v>485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392</v>
      </c>
      <c r="B39" s="7" t="s">
        <v>486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395</v>
      </c>
      <c r="B40" s="7" t="s">
        <v>487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488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489</v>
      </c>
      <c r="B43" s="7" t="s">
        <v>490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491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492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493</v>
      </c>
      <c r="C46" s="19" t="s">
        <v>494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495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496</v>
      </c>
      <c r="B49" s="7" t="s">
        <v>497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498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499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500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501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502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503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386</v>
      </c>
      <c r="B56" s="7" t="s">
        <v>504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505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372</v>
      </c>
      <c r="B60" s="6" t="s">
        <v>506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507</v>
      </c>
      <c r="B61" s="11" t="s">
        <v>508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509</v>
      </c>
      <c r="B62" s="11" t="s">
        <v>510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511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512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204</v>
      </c>
      <c r="B65" s="7" t="s">
        <v>480</v>
      </c>
      <c r="C65" s="19" t="s">
        <v>513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6" t="s">
        <v>514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515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516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517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389</v>
      </c>
      <c r="B72" s="7" t="s">
        <v>518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519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520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521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522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379</v>
      </c>
      <c r="B78" s="7" t="s">
        <v>523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524</v>
      </c>
      <c r="B79" s="7" t="s">
        <v>525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382</v>
      </c>
      <c r="B80" s="7" t="s">
        <v>526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149</v>
      </c>
      <c r="B81" s="7" t="s">
        <v>527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528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384</v>
      </c>
      <c r="B83" s="7" t="s">
        <v>529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110</v>
      </c>
      <c r="B84" s="7" t="s">
        <v>530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378</v>
      </c>
      <c r="B85" s="11" t="s">
        <v>531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532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182</v>
      </c>
      <c r="B89" s="11" t="s">
        <v>533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89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534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535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536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537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538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)"),"D.11")</f>
        <v>D.11</v>
      </c>
      <c r="B3" s="5" t="str">
        <f>IFERROR(__xludf.DUMMYFUNCTION("""COMPUTED_VALUE"""),"AJA FS4")</f>
        <v>AJA FS4</v>
      </c>
      <c r="C3" s="5"/>
      <c r="D3" s="5"/>
      <c r="E3" s="5" t="str">
        <f>IFERROR(__xludf.DUMMYFUNCTION("""COMPUTED_VALUE"""),"SDI Out 1")</f>
        <v>SDI Out 1</v>
      </c>
      <c r="F3" s="5" t="str">
        <f>IFERROR(__xludf.DUMMYFUNCTION("""COMPUTED_VALUE"""),"T")</f>
        <v>T</v>
      </c>
      <c r="G3" s="5" t="str">
        <f>IFERROR(__xludf.DUMMYFUNCTION("""COMPUTED_VALUE"""),"SDI In 1")</f>
        <v>SDI In 1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57")</f>
        <v>In 57</v>
      </c>
      <c r="M3" s="5" t="str">
        <f>IFERROR(__xludf.DUMMYFUNCTION("""COMPUTED_VALUE"""),"CGX AJA FS4")</f>
        <v>CGX AJA FS4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IFERROR(__xludf.DUMMYFUNCTION("""COMPUTED_VALUE"""),"D.11")</f>
        <v>D.11</v>
      </c>
      <c r="B4" s="5" t="str">
        <f>IFERROR(__xludf.DUMMYFUNCTION("""COMPUTED_VALUE"""),"AJA FS4")</f>
        <v>AJA FS4</v>
      </c>
      <c r="C4" s="5"/>
      <c r="D4" s="5"/>
      <c r="E4" s="5" t="str">
        <f>IFERROR(__xludf.DUMMYFUNCTION("""COMPUTED_VALUE"""),"SDI Out 3")</f>
        <v>SDI Out 3</v>
      </c>
      <c r="F4" s="5" t="str">
        <f>IFERROR(__xludf.DUMMYFUNCTION("""COMPUTED_VALUE"""),"T")</f>
        <v>T</v>
      </c>
      <c r="G4" s="5" t="str">
        <f>IFERROR(__xludf.DUMMYFUNCTION("""COMPUTED_VALUE"""),"SDI In 3")</f>
        <v>SDI In 3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59")</f>
        <v>In 59</v>
      </c>
      <c r="M4" s="5" t="str">
        <f>IFERROR(__xludf.DUMMYFUNCTION("""COMPUTED_VALUE"""),"AJA FS4 3")</f>
        <v>AJA FS4 3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IFERROR(__xludf.DUMMYFUNCTION("""COMPUTED_VALUE"""),"D.11")</f>
        <v>D.11</v>
      </c>
      <c r="B5" s="5" t="str">
        <f>IFERROR(__xludf.DUMMYFUNCTION("""COMPUTED_VALUE"""),"AJA FS4")</f>
        <v>AJA FS4</v>
      </c>
      <c r="C5" s="5"/>
      <c r="D5" s="5"/>
      <c r="E5" s="5" t="str">
        <f>IFERROR(__xludf.DUMMYFUNCTION("""COMPUTED_VALUE"""),"SDI Out 4")</f>
        <v>SDI Out 4</v>
      </c>
      <c r="F5" s="5" t="str">
        <f>IFERROR(__xludf.DUMMYFUNCTION("""COMPUTED_VALUE"""),"T")</f>
        <v>T</v>
      </c>
      <c r="G5" s="5" t="str">
        <f>IFERROR(__xludf.DUMMYFUNCTION("""COMPUTED_VALUE"""),"SDI In 4")</f>
        <v>SDI In 4</v>
      </c>
      <c r="H5" s="5" t="str">
        <f>IFERROR(__xludf.DUMMYFUNCTION("""COMPUTED_VALUE"""),"C.3")</f>
        <v>C.3</v>
      </c>
      <c r="I5" s="5" t="str">
        <f>IFERROR(__xludf.DUMMYFUNCTION("""COMPUTED_VALUE"""),"AJA KUMO 6464")</f>
        <v>AJA KUMO 6464</v>
      </c>
      <c r="J5" s="5"/>
      <c r="K5" s="5"/>
      <c r="L5" s="5" t="str">
        <f>IFERROR(__xludf.DUMMYFUNCTION("""COMPUTED_VALUE"""),"In 60")</f>
        <v>In 60</v>
      </c>
      <c r="M5" s="5" t="str">
        <f>IFERROR(__xludf.DUMMYFUNCTION("""COMPUTED_VALUE"""),"AJA FS4 4")</f>
        <v>AJA FS4 4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IFERROR(__xludf.DUMMYFUNCTION("""COMPUTED_VALUE"""),"D.11")</f>
        <v>D.11</v>
      </c>
      <c r="B6" s="5" t="str">
        <f>IFERROR(__xludf.DUMMYFUNCTION("""COMPUTED_VALUE"""),"AJA FS4")</f>
        <v>AJA FS4</v>
      </c>
      <c r="C6" s="5"/>
      <c r="D6" s="5"/>
      <c r="E6" s="5" t="str">
        <f>IFERROR(__xludf.DUMMYFUNCTION("""COMPUTED_VALUE"""),"SDI Out 2")</f>
        <v>SDI Out 2</v>
      </c>
      <c r="F6" s="5" t="str">
        <f>IFERROR(__xludf.DUMMYFUNCTION("""COMPUTED_VALUE"""),"T")</f>
        <v>T</v>
      </c>
      <c r="G6" s="5" t="str">
        <f>IFERROR(__xludf.DUMMYFUNCTION("""COMPUTED_VALUE"""),"SDI In 2")</f>
        <v>SDI In 2</v>
      </c>
      <c r="H6" s="5" t="str">
        <f>IFERROR(__xludf.DUMMYFUNCTION("""COMPUTED_VALUE"""),"B.2")</f>
        <v>B.2</v>
      </c>
      <c r="I6" s="5" t="str">
        <f>IFERROR(__xludf.DUMMYFUNCTION("""COMPUTED_VALUE"""),"Loop A")</f>
        <v>Loop A</v>
      </c>
      <c r="J6" s="5">
        <f>IFERROR(__xludf.DUMMYFUNCTION("""COMPUTED_VALUE"""),1.0)</f>
        <v>1</v>
      </c>
      <c r="K6" s="5" t="str">
        <f>IFERROR(__xludf.DUMMYFUNCTION("""COMPUTED_VALUE"""),"DeckLink")</f>
        <v>DeckLink</v>
      </c>
      <c r="L6" s="5" t="str">
        <f>IFERROR(__xludf.DUMMYFUNCTION("""COMPUTED_VALUE"""),"In P1")</f>
        <v>In P1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IFERROR(__xludf.DUMMYFUNCTION("""COMPUTED_VALUE"""),"D.11")</f>
        <v>D.11</v>
      </c>
      <c r="B7" s="5" t="str">
        <f>IFERROR(__xludf.DUMMYFUNCTION("""COMPUTED_VALUE"""),"AJA FS4")</f>
        <v>AJA FS4</v>
      </c>
      <c r="C7" s="5"/>
      <c r="D7" s="5"/>
      <c r="E7" s="5" t="str">
        <f>IFERROR(__xludf.DUMMYFUNCTION("""COMPUTED_VALUE"""),"REF Out")</f>
        <v>REF Out</v>
      </c>
      <c r="F7" s="5" t="str">
        <f>IFERROR(__xludf.DUMMYFUNCTION("""COMPUTED_VALUE"""),"T")</f>
        <v>T</v>
      </c>
      <c r="G7" s="5" t="str">
        <f>IFERROR(__xludf.DUMMYFUNCTION("""COMPUTED_VALUE"""),"REF In")</f>
        <v>REF In</v>
      </c>
      <c r="H7" s="5" t="str">
        <f>IFERROR(__xludf.DUMMYFUNCTION("""COMPUTED_VALUE"""),"D.13")</f>
        <v>D.13</v>
      </c>
      <c r="I7" s="5" t="str">
        <f>IFERROR(__xludf.DUMMYFUNCTION("""COMPUTED_VALUE"""),"AJA FS2")</f>
        <v>AJA FS2</v>
      </c>
      <c r="J7" s="5"/>
      <c r="K7" s="5"/>
      <c r="L7" s="5" t="str">
        <f>IFERROR(__xludf.DUMMYFUNCTION("""COMPUTED_VALUE"""),"REF In")</f>
        <v>REF In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