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<sst xmlns="http://schemas.openxmlformats.org/spreadsheetml/2006/main" count="1621" uniqueCount="514">
  <si>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</si>
  <si>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</si>
  <si>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</si>
  <si>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</si>
  <si>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</si>
  <si>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</si>
  <si>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</si>
  <si>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</si>
  <si>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</si>
  <si>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</si>
  <si>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</si>
  <si>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</si>
  <si>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</si>
  <si>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</si>
  <si>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</si>
  <si>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</si>
  <si>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</si>
  <si>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</si>
  <si>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</si>
  <si>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 1</t>
  </si>
  <si>
    <t>Out 2</t>
  </si>
  <si>
    <t>In 2</t>
  </si>
  <si>
    <t>MATRIZ 2</t>
  </si>
  <si>
    <t>PRUEBA 2</t>
  </si>
  <si>
    <t>Out 3</t>
  </si>
  <si>
    <t>In 3</t>
  </si>
  <si>
    <t>MATRIZ 3</t>
  </si>
  <si>
    <t>PRUEBA 3</t>
  </si>
  <si>
    <t>Out 4</t>
  </si>
  <si>
    <t>In 4</t>
  </si>
  <si>
    <t>MATRIZ 4</t>
  </si>
  <si>
    <t>PRUEBA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</si>
  <si>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</si>
  <si>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</si>
  <si>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</si>
  <si>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</si>
  <si>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</si>
  <si>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</si>
  <si>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</si>
  <si>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</si>
  <si>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</si>
  <si>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</si>
  <si>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</si>
  <si>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</si>
  <si>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</si>
  <si>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</si>
  <si>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</si>
  <si>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</si>
  <si>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</si>
  <si>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</si>
  <si>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</si>
  <si>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</si>
  <si>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</si>
  <si>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</si>
  <si>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</si>
  <si>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</si>
  <si>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</si>
  <si>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</si>
  <si>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</si>
  <si>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</si>
  <si>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</si>
  <si>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</si>
  <si>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</si>
  <si>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</si>
  <si>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</si>
  <si>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</si>
  <si>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</si>
  <si>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</si>
  <si>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</si>
  <si>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</si>
  <si>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</si>
  <si>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</si>
  <si>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</si>
  <si>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</si>
  <si>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</si>
  <si>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</si>
  <si>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</si>
  <si>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</si>
  <si>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</si>
  <si>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</si>
  <si>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</si>
  <si>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</si>
  <si>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</si>
  <si>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</si>
  <si>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</si>
  <si>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</si>
  <si>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</si>
  <si>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</si>
  <si>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</si>
  <si>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</si>
  <si>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</si>
  <si>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</si>
  <si>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</si>
  <si>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</si>
  <si>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</si>
  <si>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</si>
  <si>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</si>
  <si>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</si>
  <si>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</si>
  <si>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</si>
  <si>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</si>
  <si>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</si>
  <si>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</si>
  <si>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</si>
  <si>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</si>
  <si>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</si>
  <si>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</si>
  <si>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</si>
  <si>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</si>
  <si>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</si>
  <si>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</si>
  <si>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</si>
  <si>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</si>
  <si>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</si>
  <si>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</si>
  <si>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</si>
  <si>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</si>
  <si>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</si>
  <si>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</si>
  <si>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</si>
  <si>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</si>
  <si>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</si>
  <si>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</si>
  <si>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</si>
  <si>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</si>
  <si>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</si>
  <si>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</si>
  <si>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</si>
  <si>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</si>
  <si>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</si>
  <si>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</si>
  <si>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</si>
  <si>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</si>
  <si>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</si>
  <si>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</si>
  <si>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</si>
  <si>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</si>
  <si>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</si>
  <si>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</si>
  <si>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</si>
  <si>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</si>
  <si>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</si>
  <si>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</si>
  <si>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</si>
  <si>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</si>
  <si>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</si>
  <si>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</si>
  <si>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</si>
  <si>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</si>
  <si>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</si>
  <si>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</si>
  <si>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</si>
  <si>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</si>
  <si>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</si>
  <si>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</si>
  <si>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</si>
  <si>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</si>
  <si>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</si>
  <si>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</si>
  <si>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</si>
  <si>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</si>
  <si>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</si>
  <si>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</si>
  <si>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</si>
  <si>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</si>
  <si>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</si>
  <si>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</si>
  <si>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</si>
  <si>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</si>
  <si>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</si>
  <si>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</si>
  <si>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</si>
  <si>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</si>
  <si>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</si>
  <si>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</si>
  <si>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</si>
  <si>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</si>
  <si>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</si>
  <si>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</si>
  <si>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</si>
  <si>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</si>
  <si>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</si>
  <si>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</si>
  <si>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</si>
  <si>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</si>
  <si>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</si>
  <si>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</si>
  <si>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</si>
  <si>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</si>
  <si>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</si>
  <si>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</si>
  <si>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</si>
  <si>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</si>
  <si>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</si>
  <si>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</si>
  <si>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</si>
  <si>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</si>
  <si>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</si>
  <si>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</si>
  <si>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</si>
  <si>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</si>
  <si>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</si>
  <si>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</si>
  <si>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</si>
  <si>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</si>
  <si>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</si>
  <si>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</si>
  <si>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</si>
  <si>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</si>
  <si>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</si>
  <si>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</si>
  <si>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</si>
  <si>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</si>
  <si>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</si>
  <si>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</si>
  <si>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</si>
  <si>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</si>
  <si>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</si>
  <si>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</si>
  <si>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</si>
  <si>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</si>
  <si>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</si>
  <si>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</si>
  <si>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</si>
  <si>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</si>
  <si>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</si>
  <si>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</si>
  <si>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</si>
  <si>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</si>
  <si>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</si>
  <si>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</si>
  <si>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</si>
  <si>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</si>
  <si>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</si>
  <si>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</si>
  <si>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</si>
  <si>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</si>
  <si>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</si>
  <si>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</si>
  <si>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</si>
  <si>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</si>
  <si>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</si>
  <si>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</si>
  <si>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</si>
  <si>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</si>
  <si>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</si>
  <si>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</si>
  <si>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</si>
  <si>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</si>
  <si>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</si>
  <si>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</si>
  <si>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</si>
  <si>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</si>
  <si>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</si>
  <si>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</si>
  <si>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</si>
  <si>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</si>
  <si>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</si>
  <si>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</si>
  <si>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</si>
  <si>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</si>
  <si>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</si>
  <si>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</si>
  <si>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</si>
  <si>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</si>
  <si>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</si>
  <si>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</si>
  <si>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</si>
  <si>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</si>
  <si>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</si>
  <si>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</si>
  <si>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</si>
  <si>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</si>
  <si>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</si>
  <si>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</si>
  <si>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</si>
  <si>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</si>
  <si>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</si>
  <si>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</si>
  <si>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</si>
  <si>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</si>
  <si>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</si>
  <si>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</si>
  <si>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</si>
  <si>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</si>
  <si>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</si>
  <si>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</si>
  <si>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</si>
  <si>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</si>
  <si>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</si>
  <si>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</si>
  <si>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</si>
  <si>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</si>
  <si>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</si>
  <si>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</si>
  <si>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</si>
  <si>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</si>
  <si>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</si>
  <si>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</si>
  <si>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</si>
  <si>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</si>
  <si>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</si>
  <si>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</si>
  <si>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</si>
  <si>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</si>
  <si>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</si>
  <si>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</si>
  <si>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</si>
  <si>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</si>
  <si>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</si>
  <si>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</si>
  <si>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</si>
  <si>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</si>
  <si>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</si>
  <si>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</si>
  <si>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</si>
  <si>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</si>
  <si>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</si>
  <si>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</si>
  <si>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</si>
  <si>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</si>
  <si>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</si>
  <si>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</si>
  <si>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</si>
  <si>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</si>
  <si>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</si>
  <si>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</si>
  <si>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</si>
  <si>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</si>
  <si>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</si>
  <si>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</si>
  <si>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</si>
  <si>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</si>
  <si>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</si>
  <si>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</si>
  <si>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</si>
  <si>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</si>
  <si>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</si>
  <si>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</si>
  <si>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</si>
  <si>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</si>
  <si>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</si>
  <si>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</si>
  <si>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</si>
  <si>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</si>
  <si>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</si>
  <si>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</si>
  <si>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</si>
  <si>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</si>
  <si>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</si>
  <si>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</si>
  <si>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</si>
  <si>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</si>
  <si>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</si>
  <si>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</si>
  <si>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</si>
  <si>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</si>
  <si>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</si>
  <si>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</si>
  <si>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</si>
  <si>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</si>
  <si>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</si>
  <si>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</si>
  <si>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</si>
  <si>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</si>
  <si>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</si>
  <si>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</si>
  <si>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</si>
  <si>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</si>
  <si>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</si>
  <si>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</si>
  <si>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</si>
  <si>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</si>
  <si>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</si>
  <si>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</si>
  <si>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</si>
  <si>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</si>
  <si>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</si>
  <si>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</si>
  <si>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</si>
  <si>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</si>
  <si>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</si>
  <si>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</si>
  <si>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</si>
  <si>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</si>
  <si>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</si>
  <si>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</si>
  <si>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</si>
  <si>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</si>
  <si>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</si>
  <si>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</si>
  <si>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</si>
  <si>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</si>
  <si>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</si>
  <si>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</si>
  <si>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</si>
  <si>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</si>
  <si>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</si>
  <si>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</si>
  <si>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</si>
  <si>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</si>
  <si>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</si>
  <si>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</si>
  <si>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</si>
  <si>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J1 (in)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</si>
  <si>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</si>
  <si>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</si>
  <si>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</si>
  <si>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</si>
  <si>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</si>
  <si>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</si>
  <si>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</si>
  <si>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</si>
  <si>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</si>
  <si>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</si>
  <si>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</si>
  <si>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</si>
  <si>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</si>
  <si>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</si>
  <si>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</si>
  <si>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</si>
  <si>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</si>
  <si>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</si>
  <si>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</si>
  <si>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</si>
  <si>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</si>
  <si>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</si>
  <si>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</si>
  <si>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</si>
  <si>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</si>
  <si>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</si>
  <si>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</si>
  <si>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</si>
  <si>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</si>
  <si>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</si>
  <si>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</si>
  <si>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</si>
  <si>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</si>
  <si>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</si>
  <si>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</si>
  <si>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</si>
  <si>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</si>
  <si>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</si>
  <si>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</si>
  <si>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</si>
  <si>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</si>
  <si>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</si>
  <si>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</si>
  <si>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</si>
  <si>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</si>
  <si>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</si>
  <si>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</si>
  <si>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</si>
  <si>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</si>
  <si>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</si>
  <si>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</si>
  <si>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</si>
  <si>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</si>
  <si>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</si>
  <si>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</si>
  <si>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</si>
  <si>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</si>
  <si>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</si>
  <si>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</si>
  <si>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</si>
  <si>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</si>
  <si>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</si>
  <si>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</si>
  <si>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</si>
  <si>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</si>
  <si>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</si>
  <si>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</si>
  <si>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</si>
  <si>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</si>
  <si>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</si>
  <si>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</si>
  <si>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</si>
  <si>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</si>
  <si>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</si>
  <si>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</si>
  <si>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</si>
  <si>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</si>
  <si>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</si>
  <si>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</si>
  <si>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</si>
  <si>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</si>
  <si>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</si>
  <si>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</si>
  <si>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</si>
  <si>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</si>
  <si>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</si>
  <si>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</si>
  <si>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</si>
  <si>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</si>
  <si>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</si>
  <si>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</si>
  <si>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</si>
  <si>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</si>
  <si>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</si>
  <si>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</si>
  <si>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</si>
  <si>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</si>
  <si>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</si>
  <si>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</si>
  <si>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</si>
  <si>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</si>
  <si>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</si>
  <si>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</si>
  <si>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</si>
  <si>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</si>
  <si>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</si>
  <si>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</si>
  <si>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</si>
  <si>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d.7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</si>
</sst>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21</v>
      </c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25</v>
      </c>
      <c r="L4" s="6" t="s">
        <v>26</v>
      </c>
      <c r="M4" s="6" t="s">
        <v>27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28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29</v>
      </c>
      <c r="L5" s="6" t="s">
        <v>30</v>
      </c>
      <c r="M5" s="6" t="s">
        <v>31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32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33</v>
      </c>
      <c r="L6" s="6" t="s">
        <v>34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35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36</v>
      </c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38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39</v>
      </c>
      <c r="L8" s="6" t="s">
        <v>40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41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42</v>
      </c>
      <c r="L9" s="6" t="s">
        <v>43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44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45</v>
      </c>
      <c r="L10" s="6" t="s">
        <v>46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47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48</v>
      </c>
      <c r="L11" s="6" t="s">
        <v>49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50</v>
      </c>
      <c r="F12" s="5"/>
      <c r="G12" s="5"/>
      <c r="H12" s="6" t="s">
        <v>51</v>
      </c>
      <c r="I12" s="5" t="str">
        <f>IF(H12="","",VLOOKUP(H12,DB!A:B,2,0))</f>
        <v>Blackmagic Multiview 16</v>
      </c>
      <c r="J12" s="5"/>
      <c r="K12" s="6" t="s">
        <v>52</v>
      </c>
      <c r="L12" s="6" t="s">
        <v>53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54</v>
      </c>
      <c r="F13" s="5"/>
      <c r="G13" s="5"/>
      <c r="H13" s="6" t="s">
        <v>51</v>
      </c>
      <c r="I13" s="5" t="str">
        <f>IF(H13="","",VLOOKUP(H13,DB!A:B,2,0))</f>
        <v>Blackmagic Multiview 16</v>
      </c>
      <c r="J13" s="5"/>
      <c r="K13" s="6" t="s">
        <v>55</v>
      </c>
      <c r="L13" s="6" t="s">
        <v>56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57</v>
      </c>
      <c r="F14" s="5"/>
      <c r="G14" s="5"/>
      <c r="H14" s="6" t="s">
        <v>51</v>
      </c>
      <c r="I14" s="5" t="str">
        <f>IF(H14="","",VLOOKUP(H14,DB!A:B,2,0))</f>
        <v>Blackmagic Multiview 16</v>
      </c>
      <c r="J14" s="5"/>
      <c r="K14" s="6" t="s">
        <v>58</v>
      </c>
      <c r="L14" s="6" t="s">
        <v>59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60</v>
      </c>
      <c r="F15" s="5"/>
      <c r="G15" s="5"/>
      <c r="H15" s="6" t="s">
        <v>51</v>
      </c>
      <c r="I15" s="5" t="str">
        <f>IF(H15="","",VLOOKUP(H15,DB!A:B,2,0))</f>
        <v>Blackmagic Multiview 16</v>
      </c>
      <c r="J15" s="5"/>
      <c r="K15" s="6" t="s">
        <v>61</v>
      </c>
      <c r="L15" s="6" t="s">
        <v>62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63</v>
      </c>
      <c r="F16" s="5"/>
      <c r="G16" s="5"/>
      <c r="H16" s="6" t="s">
        <v>51</v>
      </c>
      <c r="I16" s="5" t="str">
        <f>IF(H16="","",VLOOKUP(H16,DB!A:B,2,0))</f>
        <v>Blackmagic Multiview 16</v>
      </c>
      <c r="J16" s="5"/>
      <c r="K16" s="6" t="s">
        <v>64</v>
      </c>
      <c r="L16" s="6" t="s">
        <v>65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66</v>
      </c>
      <c r="F17" s="5"/>
      <c r="G17" s="5"/>
      <c r="H17" s="6" t="s">
        <v>51</v>
      </c>
      <c r="I17" s="5" t="str">
        <f>IF(H17="","",VLOOKUP(H17,DB!A:B,2,0))</f>
        <v>Blackmagic Multiview 16</v>
      </c>
      <c r="J17" s="5"/>
      <c r="K17" s="6" t="s">
        <v>67</v>
      </c>
      <c r="L17" s="6" t="s">
        <v>68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69</v>
      </c>
      <c r="F18" s="5"/>
      <c r="G18" s="5"/>
      <c r="H18" s="6" t="s">
        <v>70</v>
      </c>
      <c r="I18" s="5" t="str">
        <f>IF(H18="","",VLOOKUP(H18,DB!A:B,2,0))</f>
        <v>AJA FS4</v>
      </c>
      <c r="J18" s="5"/>
      <c r="K18" s="6" t="s">
        <v>71</v>
      </c>
      <c r="L18" s="6" t="s">
        <v>72</v>
      </c>
      <c r="M18" s="6" t="s">
        <v>73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74</v>
      </c>
      <c r="F19" s="5"/>
      <c r="G19" s="5"/>
      <c r="H19" s="6" t="s">
        <v>75</v>
      </c>
      <c r="I19" s="5" t="str">
        <f>IF(H19="","",VLOOKUP(H19,DB!A:B,2,0))</f>
        <v>Loop A</v>
      </c>
      <c r="J19" s="6">
        <v>2.0</v>
      </c>
      <c r="K19" s="6" t="s">
        <v>76</v>
      </c>
      <c r="L19" s="6" t="s">
        <v>77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78</v>
      </c>
      <c r="F20" s="5"/>
      <c r="G20" s="5"/>
      <c r="H20" s="6" t="s">
        <v>79</v>
      </c>
      <c r="I20" s="5" t="str">
        <f>IF(H20="","",VLOOKUP(H20,DB!A:B,2,0))</f>
        <v>Loop B</v>
      </c>
      <c r="J20" s="6">
        <v>1.0</v>
      </c>
      <c r="K20" s="6" t="s">
        <v>76</v>
      </c>
      <c r="L20" s="6" t="s">
        <v>80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81</v>
      </c>
      <c r="F21" s="5"/>
      <c r="G21" s="5"/>
      <c r="H21" s="6" t="s">
        <v>79</v>
      </c>
      <c r="I21" s="5" t="str">
        <f>IF(H21="","",VLOOKUP(H21,DB!A:B,2,0))</f>
        <v>Loop B</v>
      </c>
      <c r="J21" s="6">
        <v>2.0</v>
      </c>
      <c r="K21" s="6" t="s">
        <v>76</v>
      </c>
      <c r="L21" s="6" t="s">
        <v>82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83</v>
      </c>
      <c r="F22" s="5"/>
      <c r="G22" s="5"/>
      <c r="H22" s="6" t="s">
        <v>84</v>
      </c>
      <c r="I22" s="5" t="str">
        <f>IF(H22="","",VLOOKUP(H22,DB!A:B,2,0))</f>
        <v>Loop C</v>
      </c>
      <c r="J22" s="6">
        <v>1.0</v>
      </c>
      <c r="K22" s="6" t="s">
        <v>76</v>
      </c>
      <c r="L22" s="6" t="s">
        <v>85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86</v>
      </c>
      <c r="F23" s="5"/>
      <c r="G23" s="5"/>
      <c r="H23" s="6" t="s">
        <v>84</v>
      </c>
      <c r="I23" s="5" t="str">
        <f>IF(H23="","",VLOOKUP(H23,DB!A:B,2,0))</f>
        <v>Loop C</v>
      </c>
      <c r="J23" s="6">
        <v>2.0</v>
      </c>
      <c r="K23" s="6" t="s">
        <v>76</v>
      </c>
      <c r="L23" s="6" t="s">
        <v>87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88</v>
      </c>
      <c r="F24" s="5"/>
      <c r="G24" s="5"/>
      <c r="H24" s="6" t="s">
        <v>51</v>
      </c>
      <c r="I24" s="5" t="str">
        <f>IF(H24="","",VLOOKUP(H24,DB!A:B,2,0))</f>
        <v>Blackmagic Multiview 16</v>
      </c>
      <c r="J24" s="5"/>
      <c r="K24" s="6" t="s">
        <v>17</v>
      </c>
      <c r="L24" s="6" t="s">
        <v>89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90</v>
      </c>
      <c r="F25" s="5"/>
      <c r="G25" s="5"/>
      <c r="H25" s="6" t="s">
        <v>91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92</v>
      </c>
      <c r="F26" s="5"/>
      <c r="G26" s="5"/>
      <c r="H26" s="6" t="s">
        <v>93</v>
      </c>
      <c r="I26" s="5" t="str">
        <f>IF(H26="","",VLOOKUP(H26,DB!A:B,2,0))</f>
        <v>FOR A HVS-390HS</v>
      </c>
      <c r="J26" s="5"/>
      <c r="K26" s="6" t="s">
        <v>52</v>
      </c>
      <c r="L26" s="6" t="s">
        <v>94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95</v>
      </c>
      <c r="F27" s="5"/>
      <c r="G27" s="5"/>
      <c r="H27" s="6" t="s">
        <v>93</v>
      </c>
      <c r="I27" s="5" t="str">
        <f>IF(H27="","",VLOOKUP(H27,DB!A:B,2,0))</f>
        <v>FOR A HVS-390HS</v>
      </c>
      <c r="J27" s="5"/>
      <c r="K27" s="6" t="s">
        <v>55</v>
      </c>
      <c r="L27" s="6" t="s">
        <v>96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97</v>
      </c>
      <c r="F28" s="5"/>
      <c r="G28" s="5"/>
      <c r="H28" s="6" t="s">
        <v>93</v>
      </c>
      <c r="I28" s="5" t="str">
        <f>IF(H28="","",VLOOKUP(H28,DB!A:B,2,0))</f>
        <v>FOR A HVS-390HS</v>
      </c>
      <c r="J28" s="5"/>
      <c r="K28" s="6" t="s">
        <v>58</v>
      </c>
      <c r="L28" s="6" t="s">
        <v>98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99</v>
      </c>
      <c r="F29" s="5"/>
      <c r="G29" s="5"/>
      <c r="H29" s="6" t="s">
        <v>93</v>
      </c>
      <c r="I29" s="5" t="str">
        <f>IF(H29="","",VLOOKUP(H29,DB!A:B,2,0))</f>
        <v>FOR A HVS-390HS</v>
      </c>
      <c r="J29" s="5"/>
      <c r="K29" s="6" t="s">
        <v>61</v>
      </c>
      <c r="L29" s="6" t="s">
        <v>100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101</v>
      </c>
      <c r="F30" s="5"/>
      <c r="G30" s="5"/>
      <c r="H30" s="6" t="s">
        <v>91</v>
      </c>
      <c r="I30" s="5" t="str">
        <f>IF(H30="","",VLOOKUP(H30,DB!A:B,2,0))</f>
        <v/>
      </c>
      <c r="J30" s="6"/>
      <c r="K30" s="6"/>
      <c r="L30" s="6"/>
      <c r="M30" s="6" t="s">
        <v>102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103</v>
      </c>
      <c r="F31" s="5"/>
      <c r="G31" s="5"/>
      <c r="H31" s="6" t="s">
        <v>104</v>
      </c>
      <c r="I31" s="5" t="str">
        <f>IF(H31="","",VLOOKUP(H31,DB!A:B,2,0))</f>
        <v>PC Rack</v>
      </c>
      <c r="J31" s="6">
        <v>1.0</v>
      </c>
      <c r="K31" s="6" t="s">
        <v>105</v>
      </c>
      <c r="L31" s="6" t="s">
        <v>106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107</v>
      </c>
      <c r="F32" s="5"/>
      <c r="G32" s="5"/>
      <c r="H32" s="6" t="s">
        <v>108</v>
      </c>
      <c r="I32" s="5" t="str">
        <f>IF(H32="","",VLOOKUP(H32,DB!A:B,2,0))</f>
        <v>Datavideo TC-200</v>
      </c>
      <c r="J32" s="5"/>
      <c r="K32" s="6" t="s">
        <v>109</v>
      </c>
      <c r="L32" s="6" t="s">
        <v>110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111</v>
      </c>
      <c r="F33" s="5"/>
      <c r="G33" s="5"/>
      <c r="H33" s="6" t="s">
        <v>112</v>
      </c>
      <c r="I33" s="5" t="str">
        <f>IF(H33="","",VLOOKUP(H33,DB!A:B,2,0))</f>
        <v>Escalador Pantalla</v>
      </c>
      <c r="J33" s="5"/>
      <c r="K33" s="5"/>
      <c r="L33" s="6" t="s">
        <v>113</v>
      </c>
      <c r="M33" s="6" t="s">
        <v>114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115</v>
      </c>
      <c r="F34" s="5"/>
      <c r="G34" s="5"/>
      <c r="H34" s="6" t="s">
        <v>116</v>
      </c>
      <c r="I34" s="5" t="str">
        <f>IF(H34="","",VLOOKUP(H34,DB!A:B,2,0))</f>
        <v>Patch Panel</v>
      </c>
      <c r="J34" s="5"/>
      <c r="K34" s="6" t="s">
        <v>67</v>
      </c>
      <c r="L34" s="6" t="s">
        <v>117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118</v>
      </c>
      <c r="F35" s="5"/>
      <c r="G35" s="5"/>
      <c r="H35" s="6" t="s">
        <v>116</v>
      </c>
      <c r="I35" s="5" t="str">
        <f>IF(H35="","",VLOOKUP(H35,DB!A:B,2,0))</f>
        <v>Patch Panel</v>
      </c>
      <c r="J35" s="5"/>
      <c r="K35" s="6" t="s">
        <v>64</v>
      </c>
      <c r="L35" s="6" t="s">
        <v>119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120</v>
      </c>
      <c r="F36" s="5"/>
      <c r="G36" s="5"/>
      <c r="H36" s="6" t="s">
        <v>116</v>
      </c>
      <c r="I36" s="5" t="str">
        <f>IF(H36="","",VLOOKUP(H36,DB!A:B,2,0))</f>
        <v>Patch Panel</v>
      </c>
      <c r="J36" s="5"/>
      <c r="K36" s="6" t="s">
        <v>61</v>
      </c>
      <c r="L36" s="6" t="s">
        <v>121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122</v>
      </c>
      <c r="F37" s="5"/>
      <c r="G37" s="5"/>
      <c r="H37" s="6" t="s">
        <v>116</v>
      </c>
      <c r="I37" s="5" t="str">
        <f>IF(H37="","",VLOOKUP(H37,DB!A:B,2,0))</f>
        <v>Patch Panel</v>
      </c>
      <c r="J37" s="5"/>
      <c r="K37" s="6" t="s">
        <v>58</v>
      </c>
      <c r="L37" s="6" t="s">
        <v>123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124</v>
      </c>
      <c r="F38" s="5"/>
      <c r="G38" s="5"/>
      <c r="H38" s="6" t="s">
        <v>116</v>
      </c>
      <c r="I38" s="5" t="str">
        <f>IF(H38="","",VLOOKUP(H38,DB!A:B,2,0))</f>
        <v>Patch Panel</v>
      </c>
      <c r="J38" s="5"/>
      <c r="K38" s="6" t="s">
        <v>55</v>
      </c>
      <c r="L38" s="6" t="s">
        <v>125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126</v>
      </c>
      <c r="F39" s="5"/>
      <c r="G39" s="5"/>
      <c r="H39" s="6" t="s">
        <v>116</v>
      </c>
      <c r="I39" s="5" t="str">
        <f>IF(H39="","",VLOOKUP(H39,DB!A:B,2,0))</f>
        <v>Patch Panel</v>
      </c>
      <c r="J39" s="5"/>
      <c r="K39" s="6" t="s">
        <v>52</v>
      </c>
      <c r="L39" s="6" t="s">
        <v>127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128</v>
      </c>
      <c r="F40" s="5"/>
      <c r="G40" s="5"/>
      <c r="H40" s="6" t="s">
        <v>116</v>
      </c>
      <c r="I40" s="5" t="str">
        <f>IF(H40="","",VLOOKUP(H40,DB!A:B,2,0))</f>
        <v>Patch Panel</v>
      </c>
      <c r="J40" s="5"/>
      <c r="K40" s="6" t="s">
        <v>48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129</v>
      </c>
      <c r="F41" s="5"/>
      <c r="G41" s="5"/>
      <c r="H41" s="6" t="s">
        <v>116</v>
      </c>
      <c r="I41" s="5" t="str">
        <f>IF(H41="","",VLOOKUP(H41,DB!A:B,2,0))</f>
        <v>Patch Panel</v>
      </c>
      <c r="J41" s="5"/>
      <c r="K41" s="6" t="s">
        <v>45</v>
      </c>
      <c r="L41" s="6" t="s">
        <v>117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130</v>
      </c>
      <c r="F42" s="5"/>
      <c r="G42" s="5"/>
      <c r="H42" s="6" t="s">
        <v>116</v>
      </c>
      <c r="I42" s="5" t="str">
        <f>IF(H42="","",VLOOKUP(H42,DB!A:B,2,0))</f>
        <v>Patch Panel</v>
      </c>
      <c r="J42" s="5"/>
      <c r="K42" s="6" t="s">
        <v>42</v>
      </c>
      <c r="L42" s="6" t="s">
        <v>131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132</v>
      </c>
      <c r="F43" s="5"/>
      <c r="G43" s="5"/>
      <c r="H43" s="6" t="s">
        <v>116</v>
      </c>
      <c r="I43" s="5" t="str">
        <f>IF(H43="","",VLOOKUP(H43,DB!A:B,2,0))</f>
        <v>Patch Panel</v>
      </c>
      <c r="J43" s="5"/>
      <c r="K43" s="6" t="s">
        <v>39</v>
      </c>
      <c r="L43" s="6" t="s">
        <v>133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134</v>
      </c>
      <c r="F44" s="5"/>
      <c r="G44" s="5"/>
      <c r="H44" s="6" t="s">
        <v>116</v>
      </c>
      <c r="I44" s="5" t="str">
        <f>IF(H44="","",VLOOKUP(H44,DB!A:B,2,0))</f>
        <v>Patch Panel</v>
      </c>
      <c r="J44" s="5"/>
      <c r="K44" s="6" t="s">
        <v>36</v>
      </c>
      <c r="L44" s="6" t="s">
        <v>135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136</v>
      </c>
      <c r="F45" s="5"/>
      <c r="G45" s="5"/>
      <c r="H45" s="6" t="s">
        <v>116</v>
      </c>
      <c r="I45" s="5" t="str">
        <f>IF(H45="","",VLOOKUP(H45,DB!A:B,2,0))</f>
        <v>Patch Panel</v>
      </c>
      <c r="J45" s="5"/>
      <c r="K45" s="6" t="s">
        <v>33</v>
      </c>
      <c r="L45" s="6" t="s">
        <v>137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138</v>
      </c>
      <c r="F46" s="5"/>
      <c r="G46" s="5"/>
      <c r="H46" s="6" t="s">
        <v>116</v>
      </c>
      <c r="I46" s="5" t="str">
        <f>IF(H46="","",VLOOKUP(H46,DB!A:B,2,0))</f>
        <v>Patch Panel</v>
      </c>
      <c r="J46" s="5"/>
      <c r="K46" s="6" t="s">
        <v>29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139</v>
      </c>
      <c r="F47" s="5"/>
      <c r="G47" s="5"/>
      <c r="H47" s="6" t="s">
        <v>116</v>
      </c>
      <c r="I47" s="5" t="str">
        <f>IF(H47="","",VLOOKUP(H47,DB!A:B,2,0))</f>
        <v>Patch Panel</v>
      </c>
      <c r="J47" s="5"/>
      <c r="K47" s="6" t="s">
        <v>25</v>
      </c>
      <c r="L47" s="6" t="s">
        <v>140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141</v>
      </c>
      <c r="F48" s="5"/>
      <c r="G48" s="5"/>
      <c r="H48" s="6" t="s">
        <v>116</v>
      </c>
      <c r="I48" s="5" t="str">
        <f>IF(H48="","",VLOOKUP(H48,DB!A:B,2,0))</f>
        <v>Patch Panel</v>
      </c>
      <c r="J48" s="5"/>
      <c r="K48" s="6" t="s">
        <v>21</v>
      </c>
      <c r="L48" s="6" t="s">
        <v>142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143</v>
      </c>
      <c r="F49" s="5"/>
      <c r="G49" s="5"/>
      <c r="H49" s="6" t="s">
        <v>116</v>
      </c>
      <c r="I49" s="5" t="str">
        <f>IF(H49="","",VLOOKUP(H49,DB!A:B,2,0))</f>
        <v>Patch Panel</v>
      </c>
      <c r="J49" s="5"/>
      <c r="K49" s="6" t="s">
        <v>17</v>
      </c>
      <c r="L49" s="6" t="s">
        <v>144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145</v>
      </c>
      <c r="F50" s="5"/>
      <c r="G50" s="5"/>
      <c r="H50" s="6" t="s">
        <v>146</v>
      </c>
      <c r="I50" s="5" t="str">
        <f>IF(H50="","",VLOOKUP(H50,DB!A:B,2,0))</f>
        <v>openGear X</v>
      </c>
      <c r="J50" s="6">
        <v>9.0</v>
      </c>
      <c r="K50" s="6" t="s">
        <v>147</v>
      </c>
      <c r="L50" s="6" t="s">
        <v>119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91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 t="s">
        <v>17</v>
      </c>
      <c r="L52" s="6" t="s">
        <v>151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 t="s">
        <v>71</v>
      </c>
      <c r="L53" s="6" t="s">
        <v>154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91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 t="s">
        <v>17</v>
      </c>
      <c r="L55" s="6" t="s">
        <v>158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91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76</v>
      </c>
      <c r="L57" s="6" t="s">
        <v>162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70</v>
      </c>
      <c r="I58" s="5" t="str">
        <f>IF(H58="","",VLOOKUP(H58,DB!A:B,2,0))</f>
        <v>AJA FS4</v>
      </c>
      <c r="J58" s="5"/>
      <c r="K58" s="6" t="s">
        <v>164</v>
      </c>
      <c r="L58" s="6" t="s">
        <v>165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91</v>
      </c>
      <c r="I59" s="5" t="str">
        <f>IF(H59="","",VLOOKUP(H59,DB!A:B,2,0))</f>
        <v/>
      </c>
      <c r="J59" s="5"/>
      <c r="K59" s="5"/>
      <c r="L59" s="6" t="s">
        <v>167</v>
      </c>
      <c r="M59" s="6" t="s">
        <v>168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70</v>
      </c>
      <c r="I60" s="5" t="str">
        <f>IF(H60="","",VLOOKUP(H60,DB!A:B,2,0))</f>
        <v>AJA FS4</v>
      </c>
      <c r="J60" s="5"/>
      <c r="K60" s="6" t="s">
        <v>170</v>
      </c>
      <c r="L60" s="6" t="s">
        <v>171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70</v>
      </c>
      <c r="I61" s="5" t="str">
        <f>IF(H61="","",VLOOKUP(H61,DB!A:B,2,0))</f>
        <v>AJA FS4</v>
      </c>
      <c r="J61" s="5"/>
      <c r="K61" s="6" t="s">
        <v>173</v>
      </c>
      <c r="L61" s="6" t="s">
        <v>174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 t="s">
        <v>177</v>
      </c>
      <c r="L62" s="6" t="s">
        <v>178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 t="s">
        <v>180</v>
      </c>
      <c r="L63" s="6" t="s">
        <v>181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 t="s">
        <v>109</v>
      </c>
      <c r="L64" s="6" t="s">
        <v>185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109</v>
      </c>
      <c r="L65" s="6" t="s">
        <v>188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189</v>
      </c>
      <c r="B66" s="6" t="str">
        <f>IF(A66="","",VLOOKUP(A66,DB!A:B,2,0))</f>
        <v>Player A</v>
      </c>
      <c r="C66" s="6">
        <v>1.0</v>
      </c>
      <c r="D66" s="6" t="s">
        <v>190</v>
      </c>
      <c r="E66" s="6" t="s">
        <v>191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192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190</v>
      </c>
      <c r="E67" s="6" t="s">
        <v>191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21</v>
      </c>
      <c r="L67" s="6" t="s">
        <v>194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190</v>
      </c>
      <c r="E68" s="7" t="s">
        <v>191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25</v>
      </c>
      <c r="L68" s="7" t="s">
        <v>196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190</v>
      </c>
      <c r="E69" s="9" t="s">
        <v>191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29</v>
      </c>
      <c r="L69" s="9" t="s">
        <v>197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93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33</v>
      </c>
      <c r="L70" s="7" t="s">
        <v>198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93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36</v>
      </c>
      <c r="L71" s="7" t="s">
        <v>200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39</v>
      </c>
      <c r="L72" s="7" t="s">
        <v>202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42</v>
      </c>
      <c r="L73" s="9" t="s">
        <v>205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91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45</v>
      </c>
      <c r="L74" s="12" t="s">
        <v>91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48</v>
      </c>
      <c r="L75" s="6" t="s">
        <v>208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52</v>
      </c>
      <c r="L76" s="6" t="s">
        <v>209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55</v>
      </c>
      <c r="L77" s="6" t="s">
        <v>211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58</v>
      </c>
      <c r="L78" s="6" t="s">
        <v>212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61</v>
      </c>
      <c r="L79" s="6" t="s">
        <v>213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91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64</v>
      </c>
      <c r="L80" s="6" t="s">
        <v>91</v>
      </c>
      <c r="M80" s="5"/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67</v>
      </c>
      <c r="L81" s="6" t="s">
        <v>215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217</v>
      </c>
      <c r="L82" s="6" t="s">
        <v>218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220</v>
      </c>
      <c r="L83" s="6" t="s">
        <v>221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223</v>
      </c>
      <c r="L84" s="6" t="s">
        <v>224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226</v>
      </c>
      <c r="L85" s="6" t="s">
        <v>227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230</v>
      </c>
      <c r="L86" s="6" t="s">
        <v>231</v>
      </c>
      <c r="M86" s="5"/>
      <c r="N86" s="6" t="s">
        <v>232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233</v>
      </c>
      <c r="L87" s="6" t="s">
        <v>234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237</v>
      </c>
      <c r="L88" s="6" t="s">
        <v>238</v>
      </c>
      <c r="M88" s="5"/>
      <c r="N88" s="6" t="s">
        <v>239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91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240</v>
      </c>
      <c r="L89" s="6" t="s">
        <v>91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184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241</v>
      </c>
      <c r="L90" s="6" t="s">
        <v>184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146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15</v>
      </c>
      <c r="F91" s="6" t="s">
        <v>243</v>
      </c>
      <c r="G91" s="6" t="s">
        <v>244</v>
      </c>
      <c r="H91" s="6" t="s">
        <v>14</v>
      </c>
      <c r="I91" s="5" t="str">
        <f>IF(H91="","",VLOOKUP(H91,DB!A:B,2,0))</f>
        <v>AJA KUMO 6464</v>
      </c>
      <c r="J91" s="5"/>
      <c r="K91" s="6" t="s">
        <v>245</v>
      </c>
      <c r="L91" s="6" t="s">
        <v>246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146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15</v>
      </c>
      <c r="F92" s="6" t="s">
        <v>243</v>
      </c>
      <c r="G92" s="6" t="s">
        <v>244</v>
      </c>
      <c r="H92" s="6" t="s">
        <v>14</v>
      </c>
      <c r="I92" s="5" t="str">
        <f>IF(H92="","",VLOOKUP(H92,DB!A:B,2,0))</f>
        <v>AJA KUMO 6464</v>
      </c>
      <c r="J92" s="5"/>
      <c r="K92" s="6" t="s">
        <v>247</v>
      </c>
      <c r="L92" s="6" t="s">
        <v>248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146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15</v>
      </c>
      <c r="F93" s="6" t="s">
        <v>243</v>
      </c>
      <c r="G93" s="6" t="s">
        <v>244</v>
      </c>
      <c r="H93" s="6" t="s">
        <v>14</v>
      </c>
      <c r="I93" s="5" t="str">
        <f>IF(H93="","",VLOOKUP(H93,DB!A:B,2,0))</f>
        <v>AJA KUMO 6464</v>
      </c>
      <c r="J93" s="5"/>
      <c r="K93" s="6" t="s">
        <v>249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104</v>
      </c>
      <c r="B94" s="6" t="str">
        <f>IF(A94="","",VLOOKUP(A94,DB!A:B,2,0))</f>
        <v>PC Rack</v>
      </c>
      <c r="C94" s="6">
        <v>1.0</v>
      </c>
      <c r="D94" s="6" t="s">
        <v>190</v>
      </c>
      <c r="E94" s="6" t="s">
        <v>250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251</v>
      </c>
      <c r="L94" s="6" t="s">
        <v>252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254</v>
      </c>
      <c r="L95" s="6" t="s">
        <v>255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108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256</v>
      </c>
      <c r="L96" s="6" t="s">
        <v>257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91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258</v>
      </c>
      <c r="L97" s="6" t="s">
        <v>91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261</v>
      </c>
      <c r="L98" s="6" t="s">
        <v>262</v>
      </c>
      <c r="M98" s="5"/>
      <c r="N98" s="6" t="s">
        <v>263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63</v>
      </c>
      <c r="F99" s="6" t="s">
        <v>243</v>
      </c>
      <c r="G99" s="6" t="s">
        <v>64</v>
      </c>
      <c r="H99" s="6" t="s">
        <v>14</v>
      </c>
      <c r="I99" s="5" t="str">
        <f>IF(H99="","",VLOOKUP(H99,DB!A:B,2,0))</f>
        <v>AJA KUMO 6464</v>
      </c>
      <c r="J99" s="5"/>
      <c r="K99" s="6" t="s">
        <v>265</v>
      </c>
      <c r="L99" s="6" t="s">
        <v>266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60</v>
      </c>
      <c r="F100" s="6" t="s">
        <v>243</v>
      </c>
      <c r="G100" s="6" t="s">
        <v>61</v>
      </c>
      <c r="H100" s="6" t="s">
        <v>14</v>
      </c>
      <c r="I100" s="5" t="str">
        <f>IF(H100="","",VLOOKUP(H100,DB!A:B,2,0))</f>
        <v>AJA KUMO 6464</v>
      </c>
      <c r="J100" s="5"/>
      <c r="K100" s="6" t="s">
        <v>267</v>
      </c>
      <c r="L100" s="6" t="s">
        <v>268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57</v>
      </c>
      <c r="F101" s="6" t="s">
        <v>243</v>
      </c>
      <c r="G101" s="6" t="s">
        <v>58</v>
      </c>
      <c r="H101" s="6" t="s">
        <v>14</v>
      </c>
      <c r="I101" s="5" t="str">
        <f>IF(H101="","",VLOOKUP(H101,DB!A:B,2,0))</f>
        <v>AJA KUMO 6464</v>
      </c>
      <c r="J101" s="5"/>
      <c r="K101" s="6" t="s">
        <v>269</v>
      </c>
      <c r="L101" s="6" t="s">
        <v>270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54</v>
      </c>
      <c r="F102" s="6" t="s">
        <v>243</v>
      </c>
      <c r="G102" s="6" t="s">
        <v>55</v>
      </c>
      <c r="H102" s="6" t="s">
        <v>14</v>
      </c>
      <c r="I102" s="5" t="str">
        <f>IF(H102="","",VLOOKUP(H102,DB!A:B,2,0))</f>
        <v>AJA KUMO 6464</v>
      </c>
      <c r="J102" s="5"/>
      <c r="K102" s="6" t="s">
        <v>271</v>
      </c>
      <c r="L102" s="6" t="s">
        <v>272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50</v>
      </c>
      <c r="F103" s="6" t="s">
        <v>243</v>
      </c>
      <c r="G103" s="6" t="s">
        <v>52</v>
      </c>
      <c r="H103" s="6" t="s">
        <v>14</v>
      </c>
      <c r="I103" s="5" t="str">
        <f>IF(H103="","",VLOOKUP(H103,DB!A:B,2,0))</f>
        <v>AJA KUMO 6464</v>
      </c>
      <c r="J103" s="5"/>
      <c r="K103" s="6" t="s">
        <v>273</v>
      </c>
      <c r="L103" s="6" t="s">
        <v>274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47</v>
      </c>
      <c r="F104" s="6" t="s">
        <v>243</v>
      </c>
      <c r="G104" s="6" t="s">
        <v>48</v>
      </c>
      <c r="H104" s="6" t="s">
        <v>14</v>
      </c>
      <c r="I104" s="5" t="str">
        <f>IF(H104="","",VLOOKUP(H104,DB!A:B,2,0))</f>
        <v>AJA KUMO 6464</v>
      </c>
      <c r="J104" s="5"/>
      <c r="K104" s="6" t="s">
        <v>275</v>
      </c>
      <c r="L104" s="6" t="s">
        <v>276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44</v>
      </c>
      <c r="F105" s="6" t="s">
        <v>243</v>
      </c>
      <c r="G105" s="6" t="s">
        <v>45</v>
      </c>
      <c r="H105" s="6" t="s">
        <v>14</v>
      </c>
      <c r="I105" s="5" t="str">
        <f>IF(H105="","",VLOOKUP(H105,DB!A:B,2,0))</f>
        <v>AJA KUMO 6464</v>
      </c>
      <c r="J105" s="5"/>
      <c r="K105" s="6" t="s">
        <v>277</v>
      </c>
      <c r="L105" s="6" t="s">
        <v>278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280</v>
      </c>
      <c r="L106" s="6" t="s">
        <v>281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283</v>
      </c>
      <c r="L107" s="6" t="s">
        <v>284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286</v>
      </c>
      <c r="L108" s="6" t="s">
        <v>287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289</v>
      </c>
      <c r="L109" s="6" t="s">
        <v>290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91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291</v>
      </c>
      <c r="L110" s="6" t="s">
        <v>91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91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292</v>
      </c>
      <c r="L111" s="6" t="s">
        <v>91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91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293</v>
      </c>
      <c r="L112" s="6" t="s">
        <v>91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91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294</v>
      </c>
      <c r="L113" s="6" t="s">
        <v>91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184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295</v>
      </c>
      <c r="L114" s="6" t="s">
        <v>296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91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297</v>
      </c>
      <c r="L115" s="6" t="s">
        <v>91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91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298</v>
      </c>
      <c r="L116" s="6" t="s">
        <v>91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91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299</v>
      </c>
      <c r="L117" s="6" t="s">
        <v>91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104</v>
      </c>
      <c r="B118" s="6" t="str">
        <f>IF(A118="","",VLOOKUP(A118,DB!A:B,2,0))</f>
        <v>PC Rack</v>
      </c>
      <c r="C118" s="6">
        <v>1.0</v>
      </c>
      <c r="D118" s="6" t="s">
        <v>190</v>
      </c>
      <c r="E118" s="6" t="s">
        <v>191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300</v>
      </c>
      <c r="L118" s="6" t="s">
        <v>301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184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302</v>
      </c>
      <c r="L119" s="6" t="s">
        <v>303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190</v>
      </c>
      <c r="E120" s="6" t="s">
        <v>304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305</v>
      </c>
      <c r="L120" s="6" t="s">
        <v>306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91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307</v>
      </c>
      <c r="L121" s="6" t="s">
        <v>91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70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308</v>
      </c>
      <c r="L122" s="6" t="s">
        <v>165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184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309</v>
      </c>
      <c r="L123" s="6" t="s">
        <v>167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70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311</v>
      </c>
      <c r="L124" s="6" t="s">
        <v>312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70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314</v>
      </c>
      <c r="L125" s="6" t="s">
        <v>315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91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316</v>
      </c>
      <c r="L126" s="6" t="s">
        <v>91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14</v>
      </c>
      <c r="I127" s="5" t="str">
        <f>IF(H127="","",VLOOKUP(H127,DB!A:B,2,0))</f>
        <v>AJA KUMO 6464</v>
      </c>
      <c r="J127" s="5"/>
      <c r="K127" s="6" t="s">
        <v>320</v>
      </c>
      <c r="L127" s="6" t="s">
        <v>321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51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322</v>
      </c>
      <c r="L128" s="6" t="s">
        <v>323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50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324</v>
      </c>
      <c r="L129" s="6" t="s">
        <v>325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189</v>
      </c>
      <c r="B130" s="6" t="str">
        <f>IF(A130="","",VLOOKUP(A130,DB!A:B,2,0))</f>
        <v>Player A</v>
      </c>
      <c r="C130" s="6">
        <v>2.0</v>
      </c>
      <c r="D130" s="6" t="s">
        <v>190</v>
      </c>
      <c r="E130" s="6" t="s">
        <v>191</v>
      </c>
      <c r="F130" s="5"/>
      <c r="G130" s="5"/>
      <c r="H130" s="6" t="s">
        <v>93</v>
      </c>
      <c r="I130" s="5" t="str">
        <f>IF(H130="","",VLOOKUP(H130,DB!A:B,2,0))</f>
        <v>FOR A HVS-390HS</v>
      </c>
      <c r="J130" s="5"/>
      <c r="K130" s="6" t="s">
        <v>33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190</v>
      </c>
      <c r="E131" s="6" t="s">
        <v>191</v>
      </c>
      <c r="F131" s="5"/>
      <c r="G131" s="5"/>
      <c r="H131" s="6" t="s">
        <v>93</v>
      </c>
      <c r="I131" s="5" t="str">
        <f>IF(H131="","",VLOOKUP(H131,DB!A:B,2,0))</f>
        <v>FOR A HVS-390HS</v>
      </c>
      <c r="J131" s="5"/>
      <c r="K131" s="6" t="s">
        <v>36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51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91</v>
      </c>
      <c r="I132" s="5" t="str">
        <f>IF(H132="","",VLOOKUP(H132,DB!A:B,2,0))</f>
        <v/>
      </c>
      <c r="J132" s="6"/>
      <c r="K132" s="6"/>
      <c r="L132" s="6" t="s">
        <v>192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51</v>
      </c>
      <c r="B133" s="6" t="str">
        <f>IF(A133="","",VLOOKUP(A133,DB!A:B,2,0))</f>
        <v>Blackmagic Multiview 16</v>
      </c>
      <c r="C133" s="5"/>
      <c r="D133" s="6"/>
      <c r="E133" s="6" t="s">
        <v>47</v>
      </c>
      <c r="F133" s="5"/>
      <c r="G133" s="5"/>
      <c r="H133" s="6" t="s">
        <v>91</v>
      </c>
      <c r="I133" s="5" t="str">
        <f>IF(H133="","",VLOOKUP(H133,DB!A:B,2,0))</f>
        <v/>
      </c>
      <c r="J133" s="6"/>
      <c r="K133" s="6"/>
      <c r="L133" s="6" t="s">
        <v>326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51</v>
      </c>
      <c r="B134" s="6" t="str">
        <f>IF(A134="","",VLOOKUP(A134,DB!A:B,2,0))</f>
        <v>Blackmagic Multiview 16</v>
      </c>
      <c r="C134" s="5"/>
      <c r="D134" s="6"/>
      <c r="E134" s="6" t="s">
        <v>50</v>
      </c>
      <c r="F134" s="5"/>
      <c r="G134" s="5"/>
      <c r="H134" s="6" t="s">
        <v>91</v>
      </c>
      <c r="I134" s="5" t="str">
        <f>IF(H134="","",VLOOKUP(H134,DB!A:B,2,0))</f>
        <v/>
      </c>
      <c r="J134" s="6"/>
      <c r="K134" s="6"/>
      <c r="L134" s="6" t="s">
        <v>327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51</v>
      </c>
      <c r="B135" s="6" t="str">
        <f>IF(A135="","",VLOOKUP(A135,DB!A:B,2,0))</f>
        <v>Blackmagic Multiview 16</v>
      </c>
      <c r="C135" s="5"/>
      <c r="D135" s="6"/>
      <c r="E135" s="6" t="s">
        <v>54</v>
      </c>
      <c r="F135" s="5"/>
      <c r="G135" s="5"/>
      <c r="H135" s="6" t="s">
        <v>91</v>
      </c>
      <c r="I135" s="5" t="str">
        <f>IF(H135="","",VLOOKUP(H135,DB!A:B,2,0))</f>
        <v/>
      </c>
      <c r="J135" s="6"/>
      <c r="K135" s="6"/>
      <c r="L135" s="6" t="s">
        <v>328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51</v>
      </c>
      <c r="B136" s="6" t="str">
        <f>IF(A136="","",VLOOKUP(A136,DB!A:B,2,0))</f>
        <v>Blackmagic Multiview 16</v>
      </c>
      <c r="C136" s="5"/>
      <c r="D136" s="6"/>
      <c r="E136" s="6" t="s">
        <v>57</v>
      </c>
      <c r="F136" s="6" t="s">
        <v>243</v>
      </c>
      <c r="G136" s="6" t="s">
        <v>58</v>
      </c>
      <c r="H136" s="6" t="s">
        <v>146</v>
      </c>
      <c r="I136" s="5" t="str">
        <f>IF(H136="","",VLOOKUP(H136,DB!A:B,2,0))</f>
        <v>openGear X</v>
      </c>
      <c r="J136" s="6">
        <v>4.0</v>
      </c>
      <c r="K136" s="6" t="s">
        <v>109</v>
      </c>
      <c r="L136" s="6" t="s">
        <v>329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51</v>
      </c>
      <c r="B137" s="6" t="str">
        <f>IF(A137="","",VLOOKUP(A137,DB!A:B,2,0))</f>
        <v>Blackmagic Multiview 16</v>
      </c>
      <c r="C137" s="5"/>
      <c r="D137" s="6"/>
      <c r="E137" s="6" t="s">
        <v>60</v>
      </c>
      <c r="F137" s="6" t="s">
        <v>243</v>
      </c>
      <c r="G137" s="6" t="s">
        <v>61</v>
      </c>
      <c r="H137" s="6" t="s">
        <v>146</v>
      </c>
      <c r="I137" s="5" t="str">
        <f>IF(H137="","",VLOOKUP(H137,DB!A:B,2,0))</f>
        <v>openGear X</v>
      </c>
      <c r="J137" s="6">
        <v>5.0</v>
      </c>
      <c r="K137" s="6" t="s">
        <v>109</v>
      </c>
      <c r="L137" s="6" t="s">
        <v>330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51</v>
      </c>
      <c r="B138" s="6" t="str">
        <f>IF(A138="","",VLOOKUP(A138,DB!A:B,2,0))</f>
        <v>Blackmagic Multiview 16</v>
      </c>
      <c r="C138" s="5"/>
      <c r="D138" s="6"/>
      <c r="E138" s="6" t="s">
        <v>63</v>
      </c>
      <c r="F138" s="6" t="s">
        <v>243</v>
      </c>
      <c r="G138" s="6" t="s">
        <v>64</v>
      </c>
      <c r="H138" s="6" t="s">
        <v>146</v>
      </c>
      <c r="I138" s="5" t="str">
        <f>IF(H138="","",VLOOKUP(H138,DB!A:B,2,0))</f>
        <v>openGear X</v>
      </c>
      <c r="J138" s="6">
        <v>6.0</v>
      </c>
      <c r="K138" s="6" t="s">
        <v>109</v>
      </c>
      <c r="L138" s="6" t="s">
        <v>331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51</v>
      </c>
      <c r="B139" s="6" t="str">
        <f>IF(A139="","",VLOOKUP(A139,DB!A:B,2,0))</f>
        <v>Blackmagic Multiview 16</v>
      </c>
      <c r="C139" s="5"/>
      <c r="D139" s="6"/>
      <c r="E139" s="6" t="s">
        <v>66</v>
      </c>
      <c r="F139" s="6" t="s">
        <v>243</v>
      </c>
      <c r="G139" s="6" t="s">
        <v>67</v>
      </c>
      <c r="H139" s="6" t="s">
        <v>146</v>
      </c>
      <c r="I139" s="5" t="str">
        <f>IF(H139="","",VLOOKUP(H139,DB!A:B,2,0))</f>
        <v>openGear X</v>
      </c>
      <c r="J139" s="6">
        <v>7.0</v>
      </c>
      <c r="K139" s="6" t="s">
        <v>109</v>
      </c>
      <c r="L139" s="6" t="s">
        <v>332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51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5"/>
      <c r="G140" s="5"/>
      <c r="H140" s="6" t="s">
        <v>91</v>
      </c>
      <c r="I140" s="5" t="str">
        <f>IF(H140="","",VLOOKUP(H140,DB!A:B,2,0))</f>
        <v/>
      </c>
      <c r="J140" s="6"/>
      <c r="K140" s="6"/>
      <c r="L140" s="6" t="s">
        <v>333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51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91</v>
      </c>
      <c r="I141" s="5" t="str">
        <f>IF(H141="","",VLOOKUP(H141,DB!A:B,2,0))</f>
        <v/>
      </c>
      <c r="J141" s="6"/>
      <c r="K141" s="6"/>
      <c r="L141" s="6" t="s">
        <v>334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51</v>
      </c>
      <c r="B142" s="6" t="str">
        <f>IF(A142="","",VLOOKUP(A142,DB!A:B,2,0))</f>
        <v>Blackmagic Multiview 16</v>
      </c>
      <c r="C142" s="5"/>
      <c r="D142" s="6"/>
      <c r="E142" s="6" t="s">
        <v>28</v>
      </c>
      <c r="F142" s="5"/>
      <c r="G142" s="5"/>
      <c r="H142" s="6" t="s">
        <v>91</v>
      </c>
      <c r="I142" s="5" t="str">
        <f>IF(H142="","",VLOOKUP(H142,DB!A:B,2,0))</f>
        <v/>
      </c>
      <c r="J142" s="6"/>
      <c r="K142" s="6"/>
      <c r="L142" s="6" t="s">
        <v>335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51</v>
      </c>
      <c r="B143" s="6" t="str">
        <f>IF(A143="","",VLOOKUP(A143,DB!A:B,2,0))</f>
        <v>Blackmagic Multiview 16</v>
      </c>
      <c r="C143" s="5"/>
      <c r="D143" s="6"/>
      <c r="E143" s="6" t="s">
        <v>32</v>
      </c>
      <c r="F143" s="5"/>
      <c r="G143" s="5"/>
      <c r="H143" s="6" t="s">
        <v>91</v>
      </c>
      <c r="I143" s="5" t="str">
        <f>IF(H143="","",VLOOKUP(H143,DB!A:B,2,0))</f>
        <v/>
      </c>
      <c r="J143" s="6"/>
      <c r="K143" s="6"/>
      <c r="L143" s="6" t="s">
        <v>336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51</v>
      </c>
      <c r="B144" s="6" t="str">
        <f>IF(A144="","",VLOOKUP(A144,DB!A:B,2,0))</f>
        <v>Blackmagic Multiview 16</v>
      </c>
      <c r="C144" s="5"/>
      <c r="D144" s="6"/>
      <c r="E144" s="6" t="s">
        <v>35</v>
      </c>
      <c r="F144" s="5"/>
      <c r="G144" s="5"/>
      <c r="H144" s="6" t="s">
        <v>91</v>
      </c>
      <c r="I144" s="5" t="str">
        <f>IF(H144="","",VLOOKUP(H144,DB!A:B,2,0))</f>
        <v/>
      </c>
      <c r="J144" s="6"/>
      <c r="K144" s="6"/>
      <c r="L144" s="6" t="s">
        <v>215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51</v>
      </c>
      <c r="B145" s="6" t="str">
        <f>IF(A145="","",VLOOKUP(A145,DB!A:B,2,0))</f>
        <v>Blackmagic Multiview 16</v>
      </c>
      <c r="C145" s="5"/>
      <c r="D145" s="6"/>
      <c r="E145" s="6" t="s">
        <v>38</v>
      </c>
      <c r="F145" s="5"/>
      <c r="G145" s="5"/>
      <c r="H145" s="6" t="s">
        <v>91</v>
      </c>
      <c r="I145" s="5" t="str">
        <f>IF(H145="","",VLOOKUP(H145,DB!A:B,2,0))</f>
        <v/>
      </c>
      <c r="J145" s="6"/>
      <c r="K145" s="6"/>
      <c r="L145" s="6" t="s">
        <v>337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51</v>
      </c>
      <c r="B146" s="6" t="str">
        <f>IF(A146="","",VLOOKUP(A146,DB!A:B,2,0))</f>
        <v>Blackmagic Multiview 16</v>
      </c>
      <c r="C146" s="5"/>
      <c r="D146" s="6"/>
      <c r="E146" s="6" t="s">
        <v>41</v>
      </c>
      <c r="F146" s="5"/>
      <c r="G146" s="5"/>
      <c r="H146" s="6" t="s">
        <v>91</v>
      </c>
      <c r="I146" s="5" t="str">
        <f>IF(H146="","",VLOOKUP(H146,DB!A:B,2,0))</f>
        <v/>
      </c>
      <c r="J146" s="6"/>
      <c r="K146" s="6"/>
      <c r="L146" s="6" t="s">
        <v>338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51</v>
      </c>
      <c r="B147" s="6" t="str">
        <f>IF(A147="","",VLOOKUP(A147,DB!A:B,2,0))</f>
        <v>Blackmagic Multiview 16</v>
      </c>
      <c r="C147" s="5"/>
      <c r="D147" s="6"/>
      <c r="E147" s="6" t="s">
        <v>44</v>
      </c>
      <c r="F147" s="5"/>
      <c r="G147" s="5"/>
      <c r="H147" s="6" t="s">
        <v>91</v>
      </c>
      <c r="I147" s="5" t="str">
        <f>IF(H147="","",VLOOKUP(H147,DB!A:B,2,0))</f>
        <v/>
      </c>
      <c r="J147" s="6"/>
      <c r="K147" s="6"/>
      <c r="L147" s="6" t="s">
        <v>339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243</v>
      </c>
      <c r="G148" s="6" t="s">
        <v>17</v>
      </c>
      <c r="H148" s="6" t="s">
        <v>91</v>
      </c>
      <c r="I148" s="5" t="str">
        <f>IF(H148="","",VLOOKUP(H148,DB!A:B,2,0))</f>
        <v/>
      </c>
      <c r="J148" s="5"/>
      <c r="K148" s="5"/>
      <c r="L148" s="5"/>
      <c r="M148" s="6" t="s">
        <v>340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51</v>
      </c>
      <c r="I149" s="5" t="str">
        <f>IF(H149="","",VLOOKUP(H149,DB!A:B,2,0))</f>
        <v>Blackmagic Multiview 16</v>
      </c>
      <c r="J149" s="5"/>
      <c r="K149" s="6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243</v>
      </c>
      <c r="G150" s="6" t="s">
        <v>25</v>
      </c>
      <c r="H150" s="6" t="s">
        <v>51</v>
      </c>
      <c r="I150" s="5" t="str">
        <f>IF(H150="","",VLOOKUP(H150,DB!A:B,2,0))</f>
        <v>Blackmagic Multiview 16</v>
      </c>
      <c r="J150" s="5"/>
      <c r="K150" s="6" t="s">
        <v>25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28</v>
      </c>
      <c r="F151" s="6" t="s">
        <v>243</v>
      </c>
      <c r="G151" s="6" t="s">
        <v>29</v>
      </c>
      <c r="H151" s="6" t="s">
        <v>51</v>
      </c>
      <c r="I151" s="5" t="str">
        <f>IF(H151="","",VLOOKUP(H151,DB!A:B,2,0))</f>
        <v>Blackmagic Multiview 16</v>
      </c>
      <c r="J151" s="5"/>
      <c r="K151" s="6" t="s">
        <v>29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32</v>
      </c>
      <c r="F152" s="6" t="s">
        <v>243</v>
      </c>
      <c r="G152" s="6" t="s">
        <v>33</v>
      </c>
      <c r="H152" s="6" t="s">
        <v>51</v>
      </c>
      <c r="I152" s="5" t="str">
        <f>IF(H152="","",VLOOKUP(H152,DB!A:B,2,0))</f>
        <v>Blackmagic Multiview 16</v>
      </c>
      <c r="J152" s="5"/>
      <c r="K152" s="6" t="s">
        <v>33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35</v>
      </c>
      <c r="F153" s="6" t="s">
        <v>243</v>
      </c>
      <c r="G153" s="6" t="s">
        <v>36</v>
      </c>
      <c r="H153" s="6" t="s">
        <v>51</v>
      </c>
      <c r="I153" s="5" t="str">
        <f>IF(H153="","",VLOOKUP(H153,DB!A:B,2,0))</f>
        <v>Blackmagic Multiview 16</v>
      </c>
      <c r="J153" s="5"/>
      <c r="K153" s="6" t="s">
        <v>36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38</v>
      </c>
      <c r="F154" s="6" t="s">
        <v>243</v>
      </c>
      <c r="G154" s="6" t="s">
        <v>39</v>
      </c>
      <c r="H154" s="6" t="s">
        <v>51</v>
      </c>
      <c r="I154" s="5" t="str">
        <f>IF(H154="","",VLOOKUP(H154,DB!A:B,2,0))</f>
        <v>Blackmagic Multiview 16</v>
      </c>
      <c r="J154" s="5"/>
      <c r="K154" s="6" t="s">
        <v>39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41</v>
      </c>
      <c r="F155" s="6" t="s">
        <v>243</v>
      </c>
      <c r="G155" s="6" t="s">
        <v>42</v>
      </c>
      <c r="H155" s="6" t="s">
        <v>51</v>
      </c>
      <c r="I155" s="5" t="str">
        <f>IF(H155="","",VLOOKUP(H155,DB!A:B,2,0))</f>
        <v>Blackmagic Multiview 16</v>
      </c>
      <c r="J155" s="5"/>
      <c r="K155" s="6" t="s">
        <v>42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44</v>
      </c>
      <c r="F156" s="6" t="s">
        <v>243</v>
      </c>
      <c r="G156" s="6" t="s">
        <v>45</v>
      </c>
      <c r="H156" s="6" t="s">
        <v>51</v>
      </c>
      <c r="I156" s="5" t="str">
        <f>IF(H156="","",VLOOKUP(H156,DB!A:B,2,0))</f>
        <v>Blackmagic Multiview 16</v>
      </c>
      <c r="J156" s="5"/>
      <c r="K156" s="6" t="s">
        <v>45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47</v>
      </c>
      <c r="F157" s="6" t="s">
        <v>243</v>
      </c>
      <c r="G157" s="6" t="s">
        <v>48</v>
      </c>
      <c r="H157" s="6" t="s">
        <v>51</v>
      </c>
      <c r="I157" s="5" t="str">
        <f>IF(H157="","",VLOOKUP(H157,DB!A:B,2,0))</f>
        <v>Blackmagic Multiview 16</v>
      </c>
      <c r="J157" s="5"/>
      <c r="K157" s="6" t="s">
        <v>48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54</v>
      </c>
      <c r="F158" s="5"/>
      <c r="G158" s="5"/>
      <c r="H158" s="6" t="s">
        <v>91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243</v>
      </c>
      <c r="G159" s="6" t="s">
        <v>17</v>
      </c>
      <c r="H159" s="6" t="s">
        <v>91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91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243</v>
      </c>
      <c r="G161" s="6" t="s">
        <v>25</v>
      </c>
      <c r="H161" s="6" t="s">
        <v>91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28</v>
      </c>
      <c r="F162" s="6" t="s">
        <v>243</v>
      </c>
      <c r="G162" s="6" t="s">
        <v>29</v>
      </c>
      <c r="H162" s="6" t="s">
        <v>91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32</v>
      </c>
      <c r="F163" s="6" t="s">
        <v>243</v>
      </c>
      <c r="G163" s="6" t="s">
        <v>33</v>
      </c>
      <c r="H163" s="6" t="s">
        <v>91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35</v>
      </c>
      <c r="F164" s="6" t="s">
        <v>243</v>
      </c>
      <c r="G164" s="6" t="s">
        <v>36</v>
      </c>
      <c r="H164" s="6" t="s">
        <v>91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38</v>
      </c>
      <c r="F165" s="6" t="s">
        <v>243</v>
      </c>
      <c r="G165" s="6" t="s">
        <v>39</v>
      </c>
      <c r="H165" s="6" t="s">
        <v>91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41</v>
      </c>
      <c r="F166" s="6" t="s">
        <v>243</v>
      </c>
      <c r="G166" s="6" t="s">
        <v>42</v>
      </c>
      <c r="H166" s="6" t="s">
        <v>91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66</v>
      </c>
      <c r="F167" s="6" t="s">
        <v>243</v>
      </c>
      <c r="G167" s="6" t="s">
        <v>67</v>
      </c>
      <c r="H167" s="6" t="s">
        <v>91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116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243</v>
      </c>
      <c r="G168" s="6" t="s">
        <v>17</v>
      </c>
      <c r="H168" s="6" t="s">
        <v>341</v>
      </c>
      <c r="I168" s="5" t="str">
        <f>IF(H168="","",VLOOKUP(H168,DB!A:B,2,0))</f>
        <v>Monitor Pvw TX</v>
      </c>
      <c r="J168" s="5"/>
      <c r="K168" s="6" t="s">
        <v>244</v>
      </c>
      <c r="L168" s="5"/>
      <c r="M168" s="6" t="s">
        <v>342</v>
      </c>
      <c r="N168" s="6" t="s">
        <v>343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116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142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116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243</v>
      </c>
      <c r="G170" s="6" t="s">
        <v>25</v>
      </c>
      <c r="H170" s="6" t="s">
        <v>344</v>
      </c>
      <c r="I170" s="5" t="str">
        <f>IF(H170="","",VLOOKUP(H170,DB!A:B,2,0))</f>
        <v>Monitor Linea TX</v>
      </c>
      <c r="J170" s="5"/>
      <c r="K170" s="6" t="s">
        <v>244</v>
      </c>
      <c r="L170" s="5"/>
      <c r="M170" s="6" t="s">
        <v>345</v>
      </c>
      <c r="N170" s="6" t="s">
        <v>343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116</v>
      </c>
      <c r="B171" s="6" t="str">
        <f>IF(A171="","",VLOOKUP(A171,DB!A:B,2,0))</f>
        <v>Patch Panel</v>
      </c>
      <c r="C171" s="5"/>
      <c r="D171" s="6"/>
      <c r="E171" s="6" t="s">
        <v>28</v>
      </c>
      <c r="F171" s="6" t="s">
        <v>243</v>
      </c>
      <c r="G171" s="6" t="s">
        <v>29</v>
      </c>
      <c r="H171" s="6" t="s">
        <v>346</v>
      </c>
      <c r="I171" s="5" t="str">
        <f>IF(H171="","",VLOOKUP(H171,DB!A:B,2,0))</f>
        <v>Monitor MV TX</v>
      </c>
      <c r="J171" s="5"/>
      <c r="K171" s="6" t="s">
        <v>244</v>
      </c>
      <c r="L171" s="5"/>
      <c r="M171" s="6" t="s">
        <v>347</v>
      </c>
      <c r="N171" s="6" t="s">
        <v>343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116</v>
      </c>
      <c r="B172" s="6" t="str">
        <f>IF(A172="","",VLOOKUP(A172,DB!A:B,2,0))</f>
        <v>Patch Panel</v>
      </c>
      <c r="C172" s="5"/>
      <c r="D172" s="6"/>
      <c r="E172" s="6" t="s">
        <v>32</v>
      </c>
      <c r="F172" s="6" t="s">
        <v>243</v>
      </c>
      <c r="G172" s="6" t="s">
        <v>33</v>
      </c>
      <c r="H172" s="6" t="s">
        <v>348</v>
      </c>
      <c r="I172" s="5" t="str">
        <f>IF(H172="","",VLOOKUP(H172,DB!A:B,2,0))</f>
        <v>Monitor Sonidista</v>
      </c>
      <c r="J172" s="5"/>
      <c r="K172" s="6" t="s">
        <v>244</v>
      </c>
      <c r="L172" s="5"/>
      <c r="M172" s="5"/>
      <c r="N172" s="6" t="s">
        <v>343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116</v>
      </c>
      <c r="B173" s="6" t="str">
        <f>IF(A173="","",VLOOKUP(A173,DB!A:B,2,0))</f>
        <v>Patch Panel</v>
      </c>
      <c r="C173" s="5"/>
      <c r="D173" s="6"/>
      <c r="E173" s="6" t="s">
        <v>35</v>
      </c>
      <c r="F173" s="6" t="s">
        <v>243</v>
      </c>
      <c r="G173" s="6" t="s">
        <v>36</v>
      </c>
      <c r="H173" s="6" t="s">
        <v>91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116</v>
      </c>
      <c r="B174" s="6" t="str">
        <f>IF(A174="","",VLOOKUP(A174,DB!A:B,2,0))</f>
        <v>Patch Panel</v>
      </c>
      <c r="C174" s="5"/>
      <c r="D174" s="6"/>
      <c r="E174" s="6" t="s">
        <v>38</v>
      </c>
      <c r="F174" s="6" t="s">
        <v>243</v>
      </c>
      <c r="G174" s="6" t="s">
        <v>39</v>
      </c>
      <c r="H174" s="6" t="s">
        <v>91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116</v>
      </c>
      <c r="B175" s="6" t="str">
        <f>IF(A175="","",VLOOKUP(A175,DB!A:B,2,0))</f>
        <v>Patch Panel</v>
      </c>
      <c r="C175" s="5"/>
      <c r="D175" s="6"/>
      <c r="E175" s="6" t="s">
        <v>41</v>
      </c>
      <c r="F175" s="6" t="s">
        <v>243</v>
      </c>
      <c r="G175" s="6" t="s">
        <v>42</v>
      </c>
      <c r="H175" s="6" t="s">
        <v>91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116</v>
      </c>
      <c r="B176" s="6" t="str">
        <f>IF(A176="","",VLOOKUP(A176,DB!A:B,2,0))</f>
        <v>Patch Panel</v>
      </c>
      <c r="C176" s="5"/>
      <c r="D176" s="6"/>
      <c r="E176" s="6" t="s">
        <v>44</v>
      </c>
      <c r="F176" s="6" t="s">
        <v>243</v>
      </c>
      <c r="G176" s="6" t="s">
        <v>45</v>
      </c>
      <c r="H176" s="6" t="s">
        <v>91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116</v>
      </c>
      <c r="B177" s="6" t="str">
        <f>IF(A177="","",VLOOKUP(A177,DB!A:B,2,0))</f>
        <v>Patch Panel</v>
      </c>
      <c r="C177" s="5"/>
      <c r="D177" s="6"/>
      <c r="E177" s="6" t="s">
        <v>47</v>
      </c>
      <c r="F177" s="6" t="s">
        <v>243</v>
      </c>
      <c r="G177" s="6" t="s">
        <v>48</v>
      </c>
      <c r="H177" s="6" t="s">
        <v>91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116</v>
      </c>
      <c r="B178" s="6" t="str">
        <f>IF(A178="","",VLOOKUP(A178,DB!A:B,2,0))</f>
        <v>Patch Panel</v>
      </c>
      <c r="C178" s="5"/>
      <c r="D178" s="6"/>
      <c r="E178" s="6" t="s">
        <v>50</v>
      </c>
      <c r="F178" s="6" t="s">
        <v>243</v>
      </c>
      <c r="G178" s="6" t="s">
        <v>52</v>
      </c>
      <c r="H178" s="6" t="s">
        <v>349</v>
      </c>
      <c r="I178" s="5" t="str">
        <f>IF(H178="","",VLOOKUP(H178,DB!A:B,2,0))</f>
        <v>VIDEObit 3G-LINK-TD</v>
      </c>
      <c r="J178" s="5"/>
      <c r="K178" s="6" t="s">
        <v>164</v>
      </c>
      <c r="L178" s="5"/>
      <c r="M178" s="5"/>
      <c r="N178" s="6" t="s">
        <v>127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116</v>
      </c>
      <c r="B179" s="6" t="str">
        <f>IF(A179="","",VLOOKUP(A179,DB!A:B,2,0))</f>
        <v>Patch Panel</v>
      </c>
      <c r="C179" s="5"/>
      <c r="D179" s="6"/>
      <c r="E179" s="6" t="s">
        <v>54</v>
      </c>
      <c r="F179" s="6" t="s">
        <v>243</v>
      </c>
      <c r="G179" s="6" t="s">
        <v>55</v>
      </c>
      <c r="H179" s="6" t="s">
        <v>91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116</v>
      </c>
      <c r="B180" s="6" t="str">
        <f>IF(A180="","",VLOOKUP(A180,DB!A:B,2,0))</f>
        <v>Patch Panel</v>
      </c>
      <c r="C180" s="5"/>
      <c r="D180" s="6"/>
      <c r="E180" s="6" t="s">
        <v>57</v>
      </c>
      <c r="F180" s="6" t="s">
        <v>243</v>
      </c>
      <c r="G180" s="6" t="s">
        <v>58</v>
      </c>
      <c r="H180" s="6" t="s">
        <v>350</v>
      </c>
      <c r="I180" s="5" t="str">
        <f>IF(H180="","",VLOOKUP(H180,DB!A:B,2,0))</f>
        <v>Monitor Titulos</v>
      </c>
      <c r="J180" s="5"/>
      <c r="K180" s="6" t="s">
        <v>244</v>
      </c>
      <c r="L180" s="5"/>
      <c r="M180" s="5"/>
      <c r="N180" s="6" t="s">
        <v>343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116</v>
      </c>
      <c r="B181" s="6" t="str">
        <f>IF(A181="","",VLOOKUP(A181,DB!A:B,2,0))</f>
        <v>Patch Panel</v>
      </c>
      <c r="C181" s="5"/>
      <c r="D181" s="6"/>
      <c r="E181" s="6" t="s">
        <v>60</v>
      </c>
      <c r="F181" s="6" t="s">
        <v>243</v>
      </c>
      <c r="G181" s="6" t="s">
        <v>61</v>
      </c>
      <c r="H181" s="6" t="s">
        <v>351</v>
      </c>
      <c r="I181" s="5" t="str">
        <f>IF(H181="","",VLOOKUP(H181,DB!A:B,2,0))</f>
        <v>Monitor Iluminador</v>
      </c>
      <c r="J181" s="5"/>
      <c r="K181" s="6" t="s">
        <v>244</v>
      </c>
      <c r="L181" s="5"/>
      <c r="M181" s="5"/>
      <c r="N181" s="6" t="s">
        <v>343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116</v>
      </c>
      <c r="B182" s="6" t="str">
        <f>IF(A182="","",VLOOKUP(A182,DB!A:B,2,0))</f>
        <v>Patch Panel</v>
      </c>
      <c r="C182" s="5"/>
      <c r="D182" s="6"/>
      <c r="E182" s="6" t="s">
        <v>63</v>
      </c>
      <c r="F182" s="6" t="s">
        <v>243</v>
      </c>
      <c r="G182" s="6" t="s">
        <v>64</v>
      </c>
      <c r="H182" s="6" t="s">
        <v>352</v>
      </c>
      <c r="I182" s="5" t="str">
        <f>IF(H182="","",VLOOKUP(H182,DB!A:B,2,0))</f>
        <v>Monitor Piso</v>
      </c>
      <c r="J182" s="5"/>
      <c r="K182" s="6" t="s">
        <v>244</v>
      </c>
      <c r="L182" s="5"/>
      <c r="M182" s="5"/>
      <c r="N182" s="6" t="s">
        <v>343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116</v>
      </c>
      <c r="B183" s="6" t="str">
        <f>IF(A183="","",VLOOKUP(A183,DB!A:B,2,0))</f>
        <v>Patch Panel</v>
      </c>
      <c r="C183" s="5"/>
      <c r="D183" s="6"/>
      <c r="E183" s="6" t="s">
        <v>66</v>
      </c>
      <c r="F183" s="6" t="s">
        <v>243</v>
      </c>
      <c r="G183" s="6" t="s">
        <v>67</v>
      </c>
      <c r="H183" s="6" t="s">
        <v>91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70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243</v>
      </c>
      <c r="G184" s="6" t="s">
        <v>71</v>
      </c>
      <c r="H184" s="6" t="s">
        <v>75</v>
      </c>
      <c r="I184" s="5" t="str">
        <f>IF(H184="","",VLOOKUP(H184,DB!A:B,2,0))</f>
        <v>Loop A</v>
      </c>
      <c r="J184" s="6">
        <v>1.0</v>
      </c>
      <c r="K184" s="6" t="s">
        <v>76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109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146</v>
      </c>
      <c r="B186" s="6" t="str">
        <f>IF(A186="","",VLOOKUP(A186,DB!A:B,2,0))</f>
        <v>openGear X</v>
      </c>
      <c r="C186" s="6">
        <v>4.0</v>
      </c>
      <c r="D186" s="6" t="s">
        <v>353</v>
      </c>
      <c r="E186" s="6" t="s">
        <v>207</v>
      </c>
      <c r="F186" s="6" t="s">
        <v>243</v>
      </c>
      <c r="G186" s="6" t="s">
        <v>109</v>
      </c>
      <c r="H186" s="6" t="s">
        <v>93</v>
      </c>
      <c r="I186" s="5" t="str">
        <f>IF(H186="","",VLOOKUP(H186,DB!A:B,2,0))</f>
        <v>FOR A HVS-390HS</v>
      </c>
      <c r="J186" s="5"/>
      <c r="K186" s="6" t="s">
        <v>39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146</v>
      </c>
      <c r="B187" s="6" t="str">
        <f>IF(A187="","",VLOOKUP(A187,DB!A:B,2,0))</f>
        <v>openGear X</v>
      </c>
      <c r="C187" s="6">
        <v>4.0</v>
      </c>
      <c r="D187" s="6" t="s">
        <v>353</v>
      </c>
      <c r="E187" s="6" t="s">
        <v>354</v>
      </c>
      <c r="F187" s="6" t="s">
        <v>243</v>
      </c>
      <c r="G187" s="6" t="s">
        <v>109</v>
      </c>
      <c r="H187" s="6" t="s">
        <v>355</v>
      </c>
      <c r="I187" s="5" t="str">
        <f>IF(H187="","",VLOOKUP(H187,DB!A:B,2,0))</f>
        <v>Yamaha QL5</v>
      </c>
      <c r="J187" s="5"/>
      <c r="K187" s="6" t="s">
        <v>55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146</v>
      </c>
      <c r="B188" s="6" t="str">
        <f>IF(A188="","",VLOOKUP(A188,DB!A:B,2,0))</f>
        <v>openGear X</v>
      </c>
      <c r="C188" s="6">
        <v>4.0</v>
      </c>
      <c r="D188" s="6" t="s">
        <v>353</v>
      </c>
      <c r="E188" s="6" t="s">
        <v>356</v>
      </c>
      <c r="F188" s="6" t="s">
        <v>243</v>
      </c>
      <c r="G188" s="6" t="s">
        <v>109</v>
      </c>
      <c r="H188" s="6" t="s">
        <v>355</v>
      </c>
      <c r="I188" s="5" t="str">
        <f>IF(H188="","",VLOOKUP(H188,DB!A:B,2,0))</f>
        <v>Yamaha QL5</v>
      </c>
      <c r="J188" s="5"/>
      <c r="K188" s="6" t="s">
        <v>58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146</v>
      </c>
      <c r="B189" s="6" t="str">
        <f>IF(A189="","",VLOOKUP(A189,DB!A:B,2,0))</f>
        <v>openGear X</v>
      </c>
      <c r="C189" s="6">
        <v>5.0</v>
      </c>
      <c r="D189" s="6" t="s">
        <v>353</v>
      </c>
      <c r="E189" s="6" t="s">
        <v>207</v>
      </c>
      <c r="F189" s="6" t="s">
        <v>243</v>
      </c>
      <c r="G189" s="6" t="s">
        <v>109</v>
      </c>
      <c r="H189" s="6" t="s">
        <v>93</v>
      </c>
      <c r="I189" s="5" t="str">
        <f>IF(H189="","",VLOOKUP(H189,DB!A:B,2,0))</f>
        <v>FOR A HVS-390HS</v>
      </c>
      <c r="J189" s="5"/>
      <c r="K189" s="6" t="s">
        <v>42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146</v>
      </c>
      <c r="B190" s="6" t="str">
        <f>IF(A190="","",VLOOKUP(A190,DB!A:B,2,0))</f>
        <v>openGear X</v>
      </c>
      <c r="C190" s="6">
        <v>5.0</v>
      </c>
      <c r="D190" s="6" t="s">
        <v>353</v>
      </c>
      <c r="E190" s="6" t="s">
        <v>354</v>
      </c>
      <c r="F190" s="6" t="s">
        <v>243</v>
      </c>
      <c r="G190" s="6" t="s">
        <v>109</v>
      </c>
      <c r="H190" s="6" t="s">
        <v>355</v>
      </c>
      <c r="I190" s="5" t="str">
        <f>IF(H190="","",VLOOKUP(H190,DB!A:B,2,0))</f>
        <v>Yamaha QL5</v>
      </c>
      <c r="J190" s="5"/>
      <c r="K190" s="6" t="s">
        <v>61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146</v>
      </c>
      <c r="B191" s="6" t="str">
        <f>IF(A191="","",VLOOKUP(A191,DB!A:B,2,0))</f>
        <v>openGear X</v>
      </c>
      <c r="C191" s="6">
        <v>5.0</v>
      </c>
      <c r="D191" s="6" t="s">
        <v>353</v>
      </c>
      <c r="E191" s="6" t="s">
        <v>356</v>
      </c>
      <c r="F191" s="6" t="s">
        <v>243</v>
      </c>
      <c r="G191" s="6" t="s">
        <v>109</v>
      </c>
      <c r="H191" s="6" t="s">
        <v>91</v>
      </c>
      <c r="I191" s="5" t="str">
        <f>IF(H191="","",VLOOKUP(H191,DB!A:B,2,0))</f>
        <v/>
      </c>
      <c r="J191" s="5"/>
      <c r="K191" s="6" t="s">
        <v>91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146</v>
      </c>
      <c r="B192" s="6" t="str">
        <f>IF(A192="","",VLOOKUP(A192,DB!A:B,2,0))</f>
        <v>openGear X</v>
      </c>
      <c r="C192" s="6">
        <v>6.0</v>
      </c>
      <c r="D192" s="6" t="s">
        <v>353</v>
      </c>
      <c r="E192" s="6" t="s">
        <v>207</v>
      </c>
      <c r="F192" s="6" t="s">
        <v>243</v>
      </c>
      <c r="G192" s="6" t="s">
        <v>109</v>
      </c>
      <c r="H192" s="6" t="s">
        <v>93</v>
      </c>
      <c r="I192" s="5" t="str">
        <f>IF(H192="","",VLOOKUP(H192,DB!A:B,2,0))</f>
        <v>FOR A HVS-390HS</v>
      </c>
      <c r="J192" s="5"/>
      <c r="K192" s="6" t="s">
        <v>45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146</v>
      </c>
      <c r="B193" s="6" t="str">
        <f>IF(A193="","",VLOOKUP(A193,DB!A:B,2,0))</f>
        <v>openGear X</v>
      </c>
      <c r="C193" s="6">
        <v>6.0</v>
      </c>
      <c r="D193" s="6" t="s">
        <v>353</v>
      </c>
      <c r="E193" s="6" t="s">
        <v>354</v>
      </c>
      <c r="F193" s="6" t="s">
        <v>243</v>
      </c>
      <c r="G193" s="6" t="s">
        <v>109</v>
      </c>
      <c r="H193" s="6" t="s">
        <v>355</v>
      </c>
      <c r="I193" s="5" t="str">
        <f>IF(H193="","",VLOOKUP(H193,DB!A:B,2,0))</f>
        <v>Yamaha QL5</v>
      </c>
      <c r="J193" s="5"/>
      <c r="K193" s="6" t="s">
        <v>64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146</v>
      </c>
      <c r="B194" s="6" t="str">
        <f>IF(A194="","",VLOOKUP(A194,DB!A:B,2,0))</f>
        <v>openGear X</v>
      </c>
      <c r="C194" s="6">
        <v>6.0</v>
      </c>
      <c r="D194" s="6" t="s">
        <v>353</v>
      </c>
      <c r="E194" s="6" t="s">
        <v>356</v>
      </c>
      <c r="F194" s="6" t="s">
        <v>243</v>
      </c>
      <c r="G194" s="6" t="s">
        <v>109</v>
      </c>
      <c r="H194" s="6" t="s">
        <v>91</v>
      </c>
      <c r="I194" s="5" t="str">
        <f>IF(H194="","",VLOOKUP(H194,DB!A:B,2,0))</f>
        <v/>
      </c>
      <c r="J194" s="5"/>
      <c r="K194" s="6" t="s">
        <v>91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146</v>
      </c>
      <c r="B195" s="6" t="str">
        <f>IF(A195="","",VLOOKUP(A195,DB!A:B,2,0))</f>
        <v>openGear X</v>
      </c>
      <c r="C195" s="6">
        <v>7.0</v>
      </c>
      <c r="D195" s="6" t="s">
        <v>353</v>
      </c>
      <c r="E195" s="6" t="s">
        <v>207</v>
      </c>
      <c r="F195" s="6" t="s">
        <v>243</v>
      </c>
      <c r="G195" s="6" t="s">
        <v>109</v>
      </c>
      <c r="H195" s="6" t="s">
        <v>93</v>
      </c>
      <c r="I195" s="5" t="str">
        <f>IF(H195="","",VLOOKUP(H195,DB!A:B,2,0))</f>
        <v>FOR A HVS-390HS</v>
      </c>
      <c r="J195" s="5"/>
      <c r="K195" s="6" t="s">
        <v>48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146</v>
      </c>
      <c r="B196" s="6" t="str">
        <f>IF(A196="","",VLOOKUP(A196,DB!A:B,2,0))</f>
        <v>openGear X</v>
      </c>
      <c r="C196" s="6">
        <v>7.0</v>
      </c>
      <c r="D196" s="6" t="s">
        <v>353</v>
      </c>
      <c r="E196" s="6" t="s">
        <v>354</v>
      </c>
      <c r="F196" s="6" t="s">
        <v>243</v>
      </c>
      <c r="G196" s="6" t="s">
        <v>109</v>
      </c>
      <c r="H196" s="6" t="s">
        <v>355</v>
      </c>
      <c r="I196" s="5" t="str">
        <f>IF(H196="","",VLOOKUP(H196,DB!A:B,2,0))</f>
        <v>Yamaha QL5</v>
      </c>
      <c r="J196" s="5"/>
      <c r="K196" s="6" t="s">
        <v>67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146</v>
      </c>
      <c r="B197" s="6" t="str">
        <f>IF(A197="","",VLOOKUP(A197,DB!A:B,2,0))</f>
        <v>openGear X</v>
      </c>
      <c r="C197" s="6">
        <v>7.0</v>
      </c>
      <c r="D197" s="6" t="s">
        <v>353</v>
      </c>
      <c r="E197" s="6" t="s">
        <v>356</v>
      </c>
      <c r="F197" s="6" t="s">
        <v>243</v>
      </c>
      <c r="G197" s="6" t="s">
        <v>109</v>
      </c>
      <c r="H197" s="6" t="s">
        <v>91</v>
      </c>
      <c r="I197" s="5" t="str">
        <f>IF(H197="","",VLOOKUP(H197,DB!A:B,2,0))</f>
        <v/>
      </c>
      <c r="J197" s="5"/>
      <c r="K197" s="6" t="s">
        <v>91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146</v>
      </c>
      <c r="B198" s="6" t="str">
        <f>IF(A198="","",VLOOKUP(A198,DB!A:B,2,0))</f>
        <v>openGear X</v>
      </c>
      <c r="C198" s="6">
        <v>8.0</v>
      </c>
      <c r="D198" s="6" t="s">
        <v>357</v>
      </c>
      <c r="E198" s="6" t="s">
        <v>207</v>
      </c>
      <c r="F198" s="6" t="s">
        <v>243</v>
      </c>
      <c r="G198" s="6" t="s">
        <v>109</v>
      </c>
      <c r="H198" s="6" t="s">
        <v>91</v>
      </c>
      <c r="I198" s="5" t="str">
        <f>IF(H198="","",VLOOKUP(H198,DB!A:B,2,0))</f>
        <v/>
      </c>
      <c r="J198" s="5"/>
      <c r="K198" s="6" t="s">
        <v>91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146</v>
      </c>
      <c r="B199" s="6" t="str">
        <f>IF(A199="","",VLOOKUP(A199,DB!A:B,2,0))</f>
        <v>openGear X</v>
      </c>
      <c r="C199" s="6">
        <v>8.0</v>
      </c>
      <c r="D199" s="6" t="s">
        <v>353</v>
      </c>
      <c r="E199" s="6" t="s">
        <v>354</v>
      </c>
      <c r="F199" s="6" t="s">
        <v>243</v>
      </c>
      <c r="G199" s="6" t="s">
        <v>109</v>
      </c>
      <c r="H199" s="6" t="s">
        <v>91</v>
      </c>
      <c r="I199" s="5" t="str">
        <f>IF(H199="","",VLOOKUP(H199,DB!A:B,2,0))</f>
        <v/>
      </c>
      <c r="J199" s="5"/>
      <c r="K199" s="6" t="s">
        <v>91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146</v>
      </c>
      <c r="B200" s="6" t="str">
        <f>IF(A200="","",VLOOKUP(A200,DB!A:B,2,0))</f>
        <v>openGear X</v>
      </c>
      <c r="C200" s="6">
        <v>8.0</v>
      </c>
      <c r="D200" s="6" t="s">
        <v>353</v>
      </c>
      <c r="E200" s="6" t="s">
        <v>356</v>
      </c>
      <c r="F200" s="6" t="s">
        <v>243</v>
      </c>
      <c r="G200" s="6" t="s">
        <v>109</v>
      </c>
      <c r="H200" s="6" t="s">
        <v>91</v>
      </c>
      <c r="I200" s="5" t="str">
        <f>IF(H200="","",VLOOKUP(H200,DB!A:B,2,0))</f>
        <v/>
      </c>
      <c r="J200" s="5"/>
      <c r="K200" s="6" t="s">
        <v>91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146</v>
      </c>
      <c r="B201" s="6" t="str">
        <f>IF(A201="","",VLOOKUP(A201,DB!A:B,2,0))</f>
        <v>openGear X</v>
      </c>
      <c r="C201" s="6">
        <v>9.0</v>
      </c>
      <c r="D201" s="6" t="s">
        <v>358</v>
      </c>
      <c r="E201" s="6" t="s">
        <v>359</v>
      </c>
      <c r="F201" s="6" t="s">
        <v>243</v>
      </c>
      <c r="G201" s="6" t="s">
        <v>360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6" t="s">
        <v>361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146</v>
      </c>
      <c r="B202" s="6" t="str">
        <f>IF(A202="","",VLOOKUP(A202,DB!A:B,2,0))</f>
        <v>openGear X</v>
      </c>
      <c r="C202" s="6">
        <v>9.0</v>
      </c>
      <c r="D202" s="6" t="s">
        <v>358</v>
      </c>
      <c r="E202" s="6" t="s">
        <v>362</v>
      </c>
      <c r="F202" s="6" t="s">
        <v>243</v>
      </c>
      <c r="G202" s="6" t="s">
        <v>360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6" t="s">
        <v>361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363</v>
      </c>
      <c r="B203" s="6" t="str">
        <f>IF(A203="","",VLOOKUP(A203,DB!A:B,2,0))</f>
        <v>Cisco D9865</v>
      </c>
      <c r="C203" s="5"/>
      <c r="D203" s="5"/>
      <c r="E203" s="6" t="s">
        <v>364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 t="s">
        <v>365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366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366</v>
      </c>
      <c r="E205" s="6" t="s">
        <v>367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366</v>
      </c>
      <c r="E206" s="6" t="s">
        <v>368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366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366</v>
      </c>
      <c r="E208" s="6" t="s">
        <v>367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366</v>
      </c>
      <c r="E209" s="6" t="s">
        <v>368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366</v>
      </c>
      <c r="E210" s="6" t="s">
        <v>367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357</v>
      </c>
      <c r="E211" s="6" t="s">
        <v>207</v>
      </c>
      <c r="F211" s="6" t="s">
        <v>243</v>
      </c>
      <c r="G211" s="6" t="s">
        <v>109</v>
      </c>
      <c r="H211" s="6" t="s">
        <v>225</v>
      </c>
      <c r="I211" s="5" t="str">
        <f>IF(H211="","",VLOOKUP(H211,DB!A:B,2,0))</f>
        <v>AJA FS2</v>
      </c>
      <c r="J211" s="5"/>
      <c r="K211" s="6" t="s">
        <v>164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366</v>
      </c>
      <c r="E212" s="6" t="s">
        <v>368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369</v>
      </c>
      <c r="F213" s="6" t="s">
        <v>243</v>
      </c>
      <c r="G213" s="6" t="s">
        <v>319</v>
      </c>
      <c r="H213" s="6" t="s">
        <v>370</v>
      </c>
      <c r="I213" s="5" t="str">
        <f>IF(H213="","",VLOOKUP(H213,DB!A:B,2,0))</f>
        <v>VIDEOTRON</v>
      </c>
      <c r="J213" s="5"/>
      <c r="K213" s="6" t="s">
        <v>164</v>
      </c>
      <c r="L213" s="5"/>
      <c r="M213" s="6" t="s">
        <v>184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371</v>
      </c>
      <c r="B214" s="6" t="str">
        <f>IF(A214="","",VLOOKUP(A214,DB!A:B,2,0))</f>
        <v>Raspberry PI 1</v>
      </c>
      <c r="C214" s="5"/>
      <c r="D214" s="6"/>
      <c r="E214" s="6" t="s">
        <v>260</v>
      </c>
      <c r="F214" s="5"/>
      <c r="G214" s="5"/>
      <c r="H214" s="6" t="s">
        <v>146</v>
      </c>
      <c r="I214" s="5" t="str">
        <f>IF(H214="","",VLOOKUP(H214,DB!A:B,2,0))</f>
        <v>openGear X</v>
      </c>
      <c r="J214" s="6">
        <v>1.0</v>
      </c>
      <c r="K214" s="6" t="s">
        <v>244</v>
      </c>
      <c r="L214" s="5"/>
      <c r="M214" s="6" t="s">
        <v>372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373</v>
      </c>
      <c r="B215" s="6" t="str">
        <f>IF(A215="","",VLOOKUP(A215,DB!A:B,2,0))</f>
        <v>Raspberry PI 2</v>
      </c>
      <c r="C215" s="5"/>
      <c r="D215" s="6"/>
      <c r="E215" s="6" t="s">
        <v>260</v>
      </c>
      <c r="F215" s="5"/>
      <c r="G215" s="5"/>
      <c r="H215" s="6" t="s">
        <v>146</v>
      </c>
      <c r="I215" s="5" t="str">
        <f>IF(H215="","",VLOOKUP(H215,DB!A:B,2,0))</f>
        <v>openGear X</v>
      </c>
      <c r="J215" s="6">
        <v>2.0</v>
      </c>
      <c r="K215" s="6" t="s">
        <v>244</v>
      </c>
      <c r="L215" s="5"/>
      <c r="M215" s="6" t="s">
        <v>374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375</v>
      </c>
      <c r="B216" s="6" t="str">
        <f>IF(A216="","",VLOOKUP(A216,DB!A:B,2,0))</f>
        <v>Deco Direccion</v>
      </c>
      <c r="C216" s="5"/>
      <c r="D216" s="5"/>
      <c r="E216" s="6" t="s">
        <v>260</v>
      </c>
      <c r="F216" s="5"/>
      <c r="G216" s="5"/>
      <c r="H216" s="6" t="s">
        <v>264</v>
      </c>
      <c r="I216" s="5" t="str">
        <f>IF(H216="","",VLOOKUP(H216,DB!A:B,2,0))</f>
        <v>Patch Panel</v>
      </c>
      <c r="J216" s="5"/>
      <c r="K216" s="6" t="s">
        <v>45</v>
      </c>
      <c r="L216" s="5"/>
      <c r="M216" s="5"/>
      <c r="N216" s="6" t="s">
        <v>263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376</v>
      </c>
      <c r="B217" s="6" t="str">
        <f>IF(A217="","",VLOOKUP(A217,DB!A:B,2,0))</f>
        <v>PC Videollamada</v>
      </c>
      <c r="C217" s="6">
        <v>1.0</v>
      </c>
      <c r="D217" s="6" t="s">
        <v>190</v>
      </c>
      <c r="E217" s="6" t="s">
        <v>377</v>
      </c>
      <c r="F217" s="5"/>
      <c r="G217" s="5"/>
      <c r="H217" s="6" t="s">
        <v>264</v>
      </c>
      <c r="I217" s="5" t="str">
        <f>IF(H217="","",VLOOKUP(H217,DB!A:B,2,0))</f>
        <v>Patch Panel</v>
      </c>
      <c r="J217" s="5"/>
      <c r="K217" s="6" t="s">
        <v>61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279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253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279</v>
      </c>
      <c r="B219" s="6" t="str">
        <f>IF(A219="","",VLOOKUP(A219,DB!A:B,2,0))</f>
        <v>Sony HXCU-100 Cam 1</v>
      </c>
      <c r="C219" s="5"/>
      <c r="D219" s="5"/>
      <c r="E219" s="6" t="s">
        <v>310</v>
      </c>
      <c r="F219" s="5"/>
      <c r="G219" s="5"/>
      <c r="H219" s="6" t="s">
        <v>93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282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253</v>
      </c>
      <c r="I220" s="5" t="str">
        <f>IF(H220="","",VLOOKUP(H220,DB!A:B,2,0))</f>
        <v>Blackmagic Multiview 4</v>
      </c>
      <c r="J220" s="5"/>
      <c r="K220" s="6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282</v>
      </c>
      <c r="B221" s="6" t="str">
        <f>IF(A221="","",VLOOKUP(A221,DB!A:B,2,0))</f>
        <v>Sony HXCU-100 Cam 2</v>
      </c>
      <c r="C221" s="5"/>
      <c r="D221" s="5"/>
      <c r="E221" s="6" t="s">
        <v>310</v>
      </c>
      <c r="F221" s="5"/>
      <c r="G221" s="5"/>
      <c r="H221" s="6" t="s">
        <v>93</v>
      </c>
      <c r="I221" s="5" t="str">
        <f>IF(H221="","",VLOOKUP(H221,DB!A:B,2,0))</f>
        <v>FOR A HVS-390HS</v>
      </c>
      <c r="J221" s="5"/>
      <c r="K221" s="6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285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253</v>
      </c>
      <c r="I222" s="5" t="str">
        <f>IF(H222="","",VLOOKUP(H222,DB!A:B,2,0))</f>
        <v>Blackmagic Multiview 4</v>
      </c>
      <c r="J222" s="5"/>
      <c r="K222" s="6" t="s">
        <v>25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285</v>
      </c>
      <c r="B223" s="6" t="str">
        <f>IF(A223="","",VLOOKUP(A223,DB!A:B,2,0))</f>
        <v>Sony HXCU-100 Cam 3</v>
      </c>
      <c r="C223" s="5"/>
      <c r="D223" s="5"/>
      <c r="E223" s="6" t="s">
        <v>310</v>
      </c>
      <c r="F223" s="5"/>
      <c r="G223" s="5"/>
      <c r="H223" s="6" t="s">
        <v>93</v>
      </c>
      <c r="I223" s="5" t="str">
        <f>IF(H223="","",VLOOKUP(H223,DB!A:B,2,0))</f>
        <v>FOR A HVS-390HS</v>
      </c>
      <c r="J223" s="5"/>
      <c r="K223" s="6" t="s">
        <v>25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288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 t="s">
        <v>29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288</v>
      </c>
      <c r="B225" s="6" t="str">
        <f>IF(A225="","",VLOOKUP(A225,DB!A:B,2,0))</f>
        <v>Sony HXCU-100 Cam 4</v>
      </c>
      <c r="C225" s="5"/>
      <c r="D225" s="5"/>
      <c r="E225" s="6" t="s">
        <v>310</v>
      </c>
      <c r="F225" s="5"/>
      <c r="G225" s="5"/>
      <c r="H225" s="6" t="s">
        <v>93</v>
      </c>
      <c r="I225" s="5" t="str">
        <f>IF(H225="","",VLOOKUP(H225,DB!A:B,2,0))</f>
        <v>FOR A HVS-390HS</v>
      </c>
      <c r="J225" s="5"/>
      <c r="K225" s="6" t="s">
        <v>29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93</v>
      </c>
      <c r="B226" s="6" t="str">
        <f>IF(A226="","",VLOOKUP(A226,DB!A:B,2,0))</f>
        <v>FOR A HVS-390HS</v>
      </c>
      <c r="C226" s="5"/>
      <c r="D226" s="5"/>
      <c r="E226" s="6" t="s">
        <v>378</v>
      </c>
      <c r="F226" s="5"/>
      <c r="G226" s="5"/>
      <c r="H226" s="6" t="s">
        <v>379</v>
      </c>
      <c r="I226" s="5" t="str">
        <f>IF(H226="","",VLOOKUP(H226,DB!A:B,2,0))</f>
        <v>Monitor Director 2</v>
      </c>
      <c r="J226" s="5"/>
      <c r="K226" s="6" t="s">
        <v>244</v>
      </c>
      <c r="L226" s="5"/>
      <c r="M226" s="5"/>
      <c r="N226" s="6" t="s">
        <v>343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93</v>
      </c>
      <c r="B227" s="6" t="str">
        <f>IF(A227="","",VLOOKUP(A227,DB!A:B,2,0))</f>
        <v>FOR A HVS-390HS</v>
      </c>
      <c r="C227" s="5"/>
      <c r="D227" s="5"/>
      <c r="E227" s="6" t="s">
        <v>380</v>
      </c>
      <c r="F227" s="5"/>
      <c r="G227" s="5"/>
      <c r="H227" s="6" t="s">
        <v>381</v>
      </c>
      <c r="I227" s="5" t="str">
        <f>IF(H227="","",VLOOKUP(H227,DB!A:B,2,0))</f>
        <v>PC Pantalla</v>
      </c>
      <c r="J227" s="5"/>
      <c r="K227" s="6" t="s">
        <v>244</v>
      </c>
      <c r="L227" s="5"/>
      <c r="M227" s="5"/>
      <c r="N227" s="6" t="s">
        <v>382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93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383</v>
      </c>
      <c r="I228" s="5" t="str">
        <f>IF(H228="","",VLOOKUP(H228,DB!A:B,2,0))</f>
        <v>AJA HD5DA</v>
      </c>
      <c r="J228" s="5"/>
      <c r="K228" s="6" t="s">
        <v>109</v>
      </c>
      <c r="L228" s="5"/>
      <c r="M228" s="5"/>
      <c r="N228" s="6" t="s">
        <v>384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383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243</v>
      </c>
      <c r="G229" s="6" t="s">
        <v>109</v>
      </c>
      <c r="H229" s="6" t="s">
        <v>279</v>
      </c>
      <c r="I229" s="5" t="str">
        <f>IF(H229="","",VLOOKUP(H229,DB!A:B,2,0))</f>
        <v>Sony HXCU-100 Cam 1</v>
      </c>
      <c r="J229" s="5"/>
      <c r="K229" s="6" t="s">
        <v>385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383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243</v>
      </c>
      <c r="G230" s="6" t="s">
        <v>109</v>
      </c>
      <c r="H230" s="6" t="s">
        <v>282</v>
      </c>
      <c r="I230" s="5" t="str">
        <f>IF(H230="","",VLOOKUP(H230,DB!A:B,2,0))</f>
        <v>Sony HXCU-100 Cam 2</v>
      </c>
      <c r="J230" s="5"/>
      <c r="K230" s="6" t="s">
        <v>385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383</v>
      </c>
      <c r="B231" s="6" t="str">
        <f>IF(A231="","",VLOOKUP(A231,DB!A:B,2,0))</f>
        <v>AJA HD5DA</v>
      </c>
      <c r="C231" s="5"/>
      <c r="D231" s="5"/>
      <c r="E231" s="6" t="s">
        <v>310</v>
      </c>
      <c r="F231" s="6" t="s">
        <v>243</v>
      </c>
      <c r="G231" s="6" t="s">
        <v>109</v>
      </c>
      <c r="H231" s="6" t="s">
        <v>285</v>
      </c>
      <c r="I231" s="5" t="str">
        <f>IF(H231="","",VLOOKUP(H231,DB!A:B,2,0))</f>
        <v>Sony HXCU-100 Cam 3</v>
      </c>
      <c r="J231" s="5"/>
      <c r="K231" s="6" t="s">
        <v>385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383</v>
      </c>
      <c r="B232" s="6" t="str">
        <f>IF(A232="","",VLOOKUP(A232,DB!A:B,2,0))</f>
        <v>AJA HD5DA</v>
      </c>
      <c r="C232" s="5"/>
      <c r="D232" s="5"/>
      <c r="E232" s="6" t="s">
        <v>313</v>
      </c>
      <c r="F232" s="6" t="s">
        <v>243</v>
      </c>
      <c r="G232" s="6" t="s">
        <v>109</v>
      </c>
      <c r="H232" s="6" t="s">
        <v>288</v>
      </c>
      <c r="I232" s="5" t="str">
        <f>IF(H232="","",VLOOKUP(H232,DB!A:B,2,0))</f>
        <v>Sony HXCU-100 Cam 4</v>
      </c>
      <c r="J232" s="5"/>
      <c r="K232" s="6" t="s">
        <v>385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386</v>
      </c>
      <c r="B233" s="6" t="str">
        <f>IF(A233="","",VLOOKUP(A233,DB!A:B,2,0))</f>
        <v>Patch Estudio</v>
      </c>
      <c r="C233" s="5"/>
      <c r="D233" s="5"/>
      <c r="E233" s="6" t="s">
        <v>387</v>
      </c>
      <c r="F233" s="5"/>
      <c r="G233" s="5"/>
      <c r="H233" s="6" t="s">
        <v>264</v>
      </c>
      <c r="I233" s="5" t="str">
        <f>IF(H233="","",VLOOKUP(H233,DB!A:B,2,0))</f>
        <v>Patch Panel</v>
      </c>
      <c r="J233" s="5"/>
      <c r="K233" s="6" t="s">
        <v>64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91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264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91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264</v>
      </c>
      <c r="I235" s="5" t="str">
        <f>IF(H235="","",VLOOKUP(H235,DB!A:B,2,0))</f>
        <v>Patch Panel</v>
      </c>
      <c r="J235" s="5"/>
      <c r="K235" s="6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91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264</v>
      </c>
      <c r="I236" s="5" t="str">
        <f>IF(H236="","",VLOOKUP(H236,DB!A:B,2,0))</f>
        <v>Patch Panel</v>
      </c>
      <c r="J236" s="5"/>
      <c r="K236" s="6" t="s">
        <v>25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91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264</v>
      </c>
      <c r="I237" s="5" t="str">
        <f>IF(H237="","",VLOOKUP(H237,DB!A:B,2,0))</f>
        <v>Patch Panel</v>
      </c>
      <c r="J237" s="5"/>
      <c r="K237" s="6" t="s">
        <v>29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91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 t="s">
        <v>33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91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 t="s">
        <v>36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91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 t="s">
        <v>39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91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 t="s">
        <v>42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91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 t="s">
        <v>48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91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 t="s">
        <v>52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91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 t="s">
        <v>55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91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 t="s">
        <v>58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91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 t="s">
        <v>67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91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52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91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55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91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146</v>
      </c>
      <c r="I249" s="5" t="str">
        <f>IF(H249="","",VLOOKUP(H249,DB!A:B,2,0))</f>
        <v>openGear X</v>
      </c>
      <c r="J249" s="6">
        <v>3.0</v>
      </c>
      <c r="K249" s="6" t="s">
        <v>244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388</v>
      </c>
      <c r="F250" s="5"/>
      <c r="G250" s="5"/>
      <c r="H250" s="6" t="s">
        <v>389</v>
      </c>
      <c r="I250" s="5" t="str">
        <f>IF(H250="","",VLOOKUP(H250,DB!A:B,2,0))</f>
        <v>Digiwave DSC-131</v>
      </c>
      <c r="J250" s="6"/>
      <c r="K250" s="6" t="s">
        <v>390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389</v>
      </c>
      <c r="B251" s="6" t="str">
        <f>IF(A251="","",VLOOKUP(A251,DB!A:B,2,0))</f>
        <v>Digiwave DSC-131</v>
      </c>
      <c r="C251" s="5"/>
      <c r="D251" s="6"/>
      <c r="E251" s="6" t="s">
        <v>391</v>
      </c>
      <c r="F251" s="5"/>
      <c r="G251" s="5"/>
      <c r="H251" s="6" t="s">
        <v>392</v>
      </c>
      <c r="I251" s="5" t="str">
        <f>IF(H251="","",VLOOKUP(H251,DB!A:B,2,0))</f>
        <v>vidicraft vst2110</v>
      </c>
      <c r="J251" s="6"/>
      <c r="K251" s="6" t="s">
        <v>393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394</v>
      </c>
      <c r="B252" s="6" t="str">
        <f>IF(A252="","",VLOOKUP(A252,DB!A:B,2,0))</f>
        <v>tc electronic Finalizer</v>
      </c>
      <c r="C252" s="5"/>
      <c r="D252" s="6"/>
      <c r="E252" s="6" t="s">
        <v>395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 t="s">
        <v>396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394</v>
      </c>
      <c r="B253" s="6" t="str">
        <f>IF(A253="","",VLOOKUP(A253,DB!A:B,2,0))</f>
        <v>tc electronic Finalizer</v>
      </c>
      <c r="C253" s="5"/>
      <c r="D253" s="6"/>
      <c r="E253" s="6" t="s">
        <v>397</v>
      </c>
      <c r="F253" s="5"/>
      <c r="G253" s="5"/>
      <c r="H253" s="6" t="s">
        <v>91</v>
      </c>
      <c r="I253" s="5" t="str">
        <f>IF(H253="","",VLOOKUP(H253,DB!A:B,2,0))</f>
        <v/>
      </c>
      <c r="J253" s="6"/>
      <c r="K253" s="6"/>
      <c r="L253" s="5"/>
      <c r="M253" s="6" t="s">
        <v>398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394</v>
      </c>
      <c r="B254" s="6" t="str">
        <f>IF(A254="","",VLOOKUP(A254,DB!A:B,2,0))</f>
        <v>tc electronic Finalizer</v>
      </c>
      <c r="C254" s="5"/>
      <c r="D254" s="6"/>
      <c r="E254" s="6" t="s">
        <v>399</v>
      </c>
      <c r="F254" s="5"/>
      <c r="G254" s="5"/>
      <c r="H254" s="6" t="s">
        <v>91</v>
      </c>
      <c r="I254" s="5" t="str">
        <f>IF(H254="","",VLOOKUP(H254,DB!A:B,2,0))</f>
        <v/>
      </c>
      <c r="J254" s="6"/>
      <c r="K254" s="6"/>
      <c r="L254" s="5"/>
      <c r="M254" s="6" t="s">
        <v>398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400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243</v>
      </c>
      <c r="G255" s="6" t="s">
        <v>17</v>
      </c>
      <c r="H255" s="6" t="s">
        <v>189</v>
      </c>
      <c r="I255" s="5" t="str">
        <f>IF(H255="","",VLOOKUP(H255,DB!A:B,2,0))</f>
        <v>Player A</v>
      </c>
      <c r="J255" s="6">
        <v>1.0</v>
      </c>
      <c r="K255" s="6" t="s">
        <v>401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400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243</v>
      </c>
      <c r="G256" s="6" t="s">
        <v>17</v>
      </c>
      <c r="H256" s="6" t="s">
        <v>189</v>
      </c>
      <c r="I256" s="5" t="str">
        <f>IF(H256="","",VLOOKUP(H256,DB!A:B,2,0))</f>
        <v>Player A</v>
      </c>
      <c r="J256" s="6">
        <v>2.0</v>
      </c>
      <c r="K256" s="6" t="s">
        <v>401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400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243</v>
      </c>
      <c r="G257" s="6" t="s">
        <v>17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401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400</v>
      </c>
      <c r="B258" s="6" t="str">
        <f>IF(A258="","",VLOOKUP(A258,DB!A:B,2,0))</f>
        <v>Videotron DV100-EQ</v>
      </c>
      <c r="C258" s="5"/>
      <c r="D258" s="6"/>
      <c r="E258" s="6" t="s">
        <v>28</v>
      </c>
      <c r="F258" s="6" t="s">
        <v>243</v>
      </c>
      <c r="G258" s="6" t="s">
        <v>17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401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400</v>
      </c>
      <c r="B259" s="6" t="str">
        <f>IF(A259="","",VLOOKUP(A259,DB!A:B,2,0))</f>
        <v>Videotron DV100-EQ</v>
      </c>
      <c r="C259" s="5"/>
      <c r="D259" s="6"/>
      <c r="E259" s="6" t="s">
        <v>32</v>
      </c>
      <c r="F259" s="6" t="s">
        <v>243</v>
      </c>
      <c r="G259" s="6" t="s">
        <v>17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401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400</v>
      </c>
      <c r="B260" s="6" t="str">
        <f>IF(A260="","",VLOOKUP(A260,DB!A:B,2,0))</f>
        <v>Videotron DV100-EQ</v>
      </c>
      <c r="C260" s="5"/>
      <c r="D260" s="6"/>
      <c r="E260" s="6" t="s">
        <v>35</v>
      </c>
      <c r="F260" s="6" t="s">
        <v>243</v>
      </c>
      <c r="G260" s="6" t="s">
        <v>17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401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400</v>
      </c>
      <c r="B261" s="6" t="str">
        <f>IF(A261="","",VLOOKUP(A261,DB!A:B,2,0))</f>
        <v>Videotron DV100-EQ</v>
      </c>
      <c r="C261" s="5"/>
      <c r="D261" s="6"/>
      <c r="E261" s="6" t="s">
        <v>38</v>
      </c>
      <c r="F261" s="6" t="s">
        <v>243</v>
      </c>
      <c r="G261" s="6" t="s">
        <v>17</v>
      </c>
      <c r="H261" s="6" t="s">
        <v>91</v>
      </c>
      <c r="I261" s="5" t="str">
        <f>IF(H261="","",VLOOKUP(H261,DB!A:B,2,0))</f>
        <v/>
      </c>
      <c r="J261" s="6"/>
      <c r="K261" s="6"/>
      <c r="L261" s="5"/>
      <c r="M261" s="6" t="s">
        <v>402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400</v>
      </c>
      <c r="B262" s="6" t="str">
        <f>IF(A262="","",VLOOKUP(A262,DB!A:B,2,0))</f>
        <v>Videotron DV100-EQ</v>
      </c>
      <c r="C262" s="5"/>
      <c r="D262" s="6"/>
      <c r="E262" s="6" t="s">
        <v>41</v>
      </c>
      <c r="F262" s="6" t="s">
        <v>243</v>
      </c>
      <c r="G262" s="6" t="s">
        <v>17</v>
      </c>
      <c r="H262" s="6" t="s">
        <v>91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184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400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189</v>
      </c>
      <c r="B264" s="6" t="str">
        <f>IF(A264="","",VLOOKUP(A264,DB!A:B,2,0))</f>
        <v>Player A</v>
      </c>
      <c r="C264" s="6">
        <v>2.0</v>
      </c>
      <c r="D264" s="6" t="s">
        <v>190</v>
      </c>
      <c r="E264" s="6" t="s">
        <v>403</v>
      </c>
      <c r="F264" s="5"/>
      <c r="G264" s="5"/>
      <c r="H264" s="6" t="s">
        <v>355</v>
      </c>
      <c r="I264" s="5" t="str">
        <f>IF(H264="","",VLOOKUP(H264,DB!A:B,2,0))</f>
        <v>Yamaha QL5</v>
      </c>
      <c r="J264" s="6"/>
      <c r="K264" s="6" t="s">
        <v>251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184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183</v>
      </c>
      <c r="I265" s="5" t="str">
        <f>IF(H265="","",VLOOKUP(H265,DB!A:B,2,0))</f>
        <v>openGear X</v>
      </c>
      <c r="J265" s="6">
        <v>1.0</v>
      </c>
      <c r="K265" s="6" t="s">
        <v>404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317</v>
      </c>
      <c r="E266" s="6" t="s">
        <v>405</v>
      </c>
      <c r="F266" s="6" t="s">
        <v>243</v>
      </c>
      <c r="G266" s="6" t="s">
        <v>404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317</v>
      </c>
      <c r="E267" s="6" t="s">
        <v>406</v>
      </c>
      <c r="F267" s="6" t="s">
        <v>243</v>
      </c>
      <c r="G267" s="6" t="s">
        <v>404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317</v>
      </c>
      <c r="E268" s="6" t="s">
        <v>407</v>
      </c>
      <c r="F268" s="6" t="s">
        <v>243</v>
      </c>
      <c r="G268" s="6" t="s">
        <v>404</v>
      </c>
      <c r="H268" s="6" t="s">
        <v>183</v>
      </c>
      <c r="I268" s="5" t="str">
        <f>IF(H268="","",VLOOKUP(H268,DB!A:B,2,0))</f>
        <v>openGear X</v>
      </c>
      <c r="J268" s="6" t="s">
        <v>184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408</v>
      </c>
      <c r="F269" s="6" t="s">
        <v>243</v>
      </c>
      <c r="G269" s="6" t="s">
        <v>404</v>
      </c>
      <c r="H269" s="6" t="s">
        <v>183</v>
      </c>
      <c r="I269" s="5" t="str">
        <f>IF(H269="","",VLOOKUP(H269,DB!A:B,2,0))</f>
        <v>openGear X</v>
      </c>
      <c r="J269" s="6">
        <v>3.0</v>
      </c>
      <c r="K269" s="6" t="s">
        <v>109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409</v>
      </c>
      <c r="F270" s="6" t="s">
        <v>243</v>
      </c>
      <c r="G270" s="6" t="s">
        <v>404</v>
      </c>
      <c r="H270" s="6" t="s">
        <v>183</v>
      </c>
      <c r="I270" s="5" t="str">
        <f>IF(H270="","",VLOOKUP(H270,DB!A:B,2,0))</f>
        <v>openGear X</v>
      </c>
      <c r="J270" s="6">
        <v>2.0</v>
      </c>
      <c r="K270" s="6" t="s">
        <v>109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410</v>
      </c>
      <c r="F271" s="6" t="s">
        <v>243</v>
      </c>
      <c r="G271" s="6" t="s">
        <v>404</v>
      </c>
      <c r="H271" s="6" t="s">
        <v>183</v>
      </c>
      <c r="I271" s="5" t="str">
        <f>IF(H271="","",VLOOKUP(H271,DB!A:B,2,0))</f>
        <v>openGear X</v>
      </c>
      <c r="J271" s="6">
        <v>5.0</v>
      </c>
      <c r="K271" s="6" t="s">
        <v>109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411</v>
      </c>
      <c r="F272" s="6" t="s">
        <v>243</v>
      </c>
      <c r="G272" s="6" t="s">
        <v>404</v>
      </c>
      <c r="H272" s="6" t="s">
        <v>184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412</v>
      </c>
      <c r="F273" s="6" t="s">
        <v>243</v>
      </c>
      <c r="G273" s="6" t="s">
        <v>404</v>
      </c>
      <c r="H273" s="6" t="s">
        <v>349</v>
      </c>
      <c r="I273" s="5" t="str">
        <f>IF(H273="","",VLOOKUP(H273,DB!A:B,2,0))</f>
        <v>VIDEObit 3G-LINK-TD</v>
      </c>
      <c r="J273" s="6"/>
      <c r="K273" s="6" t="s">
        <v>71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183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413</v>
      </c>
      <c r="F274" s="6" t="s">
        <v>243</v>
      </c>
      <c r="G274" s="6" t="s">
        <v>404</v>
      </c>
      <c r="H274" s="6" t="s">
        <v>91</v>
      </c>
      <c r="I274" s="5" t="str">
        <f>IF(H274="","",VLOOKUP(H274,DB!A:B,2,0))</f>
        <v/>
      </c>
      <c r="J274" s="6"/>
      <c r="K274" s="6"/>
      <c r="L274" s="5"/>
      <c r="M274" s="6" t="s">
        <v>214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414</v>
      </c>
      <c r="B1" s="15" t="s">
        <v>415</v>
      </c>
      <c r="C1" s="16" t="s">
        <v>416</v>
      </c>
      <c r="D1" s="17" t="s">
        <v>417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418</v>
      </c>
      <c r="B2" s="7" t="s">
        <v>419</v>
      </c>
      <c r="C2" s="18" t="s">
        <v>420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189</v>
      </c>
      <c r="B3" s="7" t="s">
        <v>421</v>
      </c>
      <c r="C3" s="18" t="s">
        <v>422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423</v>
      </c>
      <c r="C4" s="18" t="s">
        <v>424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425</v>
      </c>
      <c r="C5" s="18" t="s">
        <v>426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427</v>
      </c>
      <c r="C6" s="19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400</v>
      </c>
      <c r="B7" s="11" t="s">
        <v>428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429</v>
      </c>
      <c r="B9" s="7" t="s">
        <v>430</v>
      </c>
      <c r="C9" s="18" t="s">
        <v>431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75</v>
      </c>
      <c r="B10" s="7" t="s">
        <v>432</v>
      </c>
      <c r="C10" s="18" t="s">
        <v>433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79</v>
      </c>
      <c r="B11" s="7" t="s">
        <v>434</v>
      </c>
      <c r="C11" s="18" t="s">
        <v>435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84</v>
      </c>
      <c r="B12" s="7" t="s">
        <v>436</v>
      </c>
      <c r="C12" s="18" t="s">
        <v>437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438</v>
      </c>
      <c r="B14" s="11" t="s">
        <v>439</v>
      </c>
      <c r="C14" s="19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440</v>
      </c>
      <c r="B15" s="7" t="s">
        <v>441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442</v>
      </c>
      <c r="C16" s="18" t="s">
        <v>443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51</v>
      </c>
      <c r="B17" s="7" t="s">
        <v>444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445</v>
      </c>
      <c r="C18" s="19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446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116</v>
      </c>
      <c r="B20" s="7" t="s">
        <v>446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371</v>
      </c>
      <c r="B22" s="11" t="s">
        <v>447</v>
      </c>
      <c r="C22" s="19" t="s">
        <v>448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373</v>
      </c>
      <c r="B23" s="11" t="s">
        <v>449</v>
      </c>
      <c r="C23" s="19" t="s">
        <v>450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451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452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453</v>
      </c>
      <c r="B27" s="7" t="s">
        <v>454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455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455</v>
      </c>
      <c r="C29" s="19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456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457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146</v>
      </c>
      <c r="B32" s="7" t="s">
        <v>458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363</v>
      </c>
      <c r="B33" s="7" t="s">
        <v>454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458</v>
      </c>
      <c r="C34" s="18" t="s">
        <v>459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460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70</v>
      </c>
      <c r="B36" s="7" t="s">
        <v>461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462</v>
      </c>
      <c r="C37" s="19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462</v>
      </c>
      <c r="C38" s="18" t="s">
        <v>463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464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465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466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467</v>
      </c>
      <c r="B43" s="7" t="s">
        <v>468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469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470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104</v>
      </c>
      <c r="B46" s="7" t="s">
        <v>471</v>
      </c>
      <c r="C46" s="18" t="s">
        <v>472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108</v>
      </c>
      <c r="B47" s="7" t="s">
        <v>473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474</v>
      </c>
      <c r="B49" s="7" t="s">
        <v>475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476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477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478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479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480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93</v>
      </c>
      <c r="B55" s="7" t="s">
        <v>481</v>
      </c>
      <c r="C55" s="19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383</v>
      </c>
      <c r="B56" s="7" t="s">
        <v>482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483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370</v>
      </c>
      <c r="B60" s="6" t="s">
        <v>484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485</v>
      </c>
      <c r="B61" s="11" t="s">
        <v>486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487</v>
      </c>
      <c r="B62" s="11" t="s">
        <v>488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349</v>
      </c>
      <c r="B63" s="11" t="s">
        <v>489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490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458</v>
      </c>
      <c r="C65" s="18" t="s">
        <v>491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492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493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494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495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386</v>
      </c>
      <c r="B72" s="7" t="s">
        <v>496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352</v>
      </c>
      <c r="B73" s="7" t="s">
        <v>497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348</v>
      </c>
      <c r="B75" s="7" t="s">
        <v>498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355</v>
      </c>
      <c r="B76" s="7" t="s">
        <v>499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350</v>
      </c>
      <c r="B77" s="7" t="s">
        <v>500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376</v>
      </c>
      <c r="B78" s="7" t="s">
        <v>501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502</v>
      </c>
      <c r="B79" s="7" t="s">
        <v>503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379</v>
      </c>
      <c r="B80" s="7" t="s">
        <v>504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505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351</v>
      </c>
      <c r="B82" s="7" t="s">
        <v>506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381</v>
      </c>
      <c r="B83" s="7" t="s">
        <v>507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112</v>
      </c>
      <c r="B84" s="7" t="s">
        <v>508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375</v>
      </c>
      <c r="B85" s="11" t="s">
        <v>509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510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511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91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346</v>
      </c>
      <c r="B93" s="6" t="s">
        <v>347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345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341</v>
      </c>
      <c r="B95" s="6" t="s">
        <v>342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512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513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49")</f>
        <v>Out 49</v>
      </c>
      <c r="F3" s="5"/>
      <c r="G3" s="5"/>
      <c r="H3" s="5" t="str">
        <f>IFERROR(__xludf.DUMMYFUNCTION("""COMPUTED_VALUE"""),"D.7")</f>
        <v>D.7</v>
      </c>
      <c r="I3" s="5" t="str">
        <f>IFERROR(__xludf.DUMMYFUNCTION("""COMPUTED_VALUE"""),"openGear X")</f>
        <v>openGear X</v>
      </c>
      <c r="J3" s="5">
        <f>IFERROR(__xludf.DUMMYFUNCTION("""COMPUTED_VALUE"""),9.0)</f>
        <v>9</v>
      </c>
      <c r="K3" s="5" t="str">
        <f>IFERROR(__xludf.DUMMYFUNCTION("""COMPUTED_VALUE"""),"J2 (in)")</f>
        <v>J2 (in)</v>
      </c>
      <c r="L3" s="5" t="str">
        <f>IFERROR(__xludf.DUMMYFUNCTION("""COMPUTED_VALUE"""),"MON PISO")</f>
        <v>MON PISO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IFERROR(__xludf.DUMMYFUNCTION("""COMPUTED_VALUE"""),"C.4")</f>
        <v>C.4</v>
      </c>
      <c r="B4" s="5" t="str">
        <f>IFERROR(__xludf.DUMMYFUNCTION("""COMPUTED_VALUE"""),"Blackmagic Multiview 16")</f>
        <v>Blackmagic Multiview 16</v>
      </c>
      <c r="C4" s="5"/>
      <c r="D4" s="5"/>
      <c r="E4" s="5" t="str">
        <f>IFERROR(__xludf.DUMMYFUNCTION("""COMPUTED_VALUE"""),"Out 13")</f>
        <v>Out 13</v>
      </c>
      <c r="F4" s="5" t="str">
        <f>IFERROR(__xludf.DUMMYFUNCTION("""COMPUTED_VALUE"""),"T")</f>
        <v>T</v>
      </c>
      <c r="G4" s="5" t="str">
        <f>IFERROR(__xludf.DUMMYFUNCTION("""COMPUTED_VALUE"""),"In 13")</f>
        <v>In 13</v>
      </c>
      <c r="H4" s="5" t="str">
        <f>IFERROR(__xludf.DUMMYFUNCTION("""COMPUTED_VALUE"""),"D.7")</f>
        <v>D.7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IFERROR(__xludf.DUMMYFUNCTION("""COMPUTED_VALUE"""),"SDI In")</f>
        <v>SDI In</v>
      </c>
      <c r="L4" s="5" t="str">
        <f>IFERROR(__xludf.DUMMYFUNCTION("""COMPUTED_VALUE"""),"Source 13")</f>
        <v>Source 13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IFERROR(__xludf.DUMMYFUNCTION("""COMPUTED_VALUE"""),"C.4")</f>
        <v>C.4</v>
      </c>
      <c r="B5" s="5" t="str">
        <f>IFERROR(__xludf.DUMMYFUNCTION("""COMPUTED_VALUE"""),"Blackmagic Multiview 16")</f>
        <v>Blackmagic Multiview 16</v>
      </c>
      <c r="C5" s="5"/>
      <c r="D5" s="5"/>
      <c r="E5" s="5" t="str">
        <f>IFERROR(__xludf.DUMMYFUNCTION("""COMPUTED_VALUE"""),"Out 14")</f>
        <v>Out 14</v>
      </c>
      <c r="F5" s="5" t="str">
        <f>IFERROR(__xludf.DUMMYFUNCTION("""COMPUTED_VALUE"""),"T")</f>
        <v>T</v>
      </c>
      <c r="G5" s="5" t="str">
        <f>IFERROR(__xludf.DUMMYFUNCTION("""COMPUTED_VALUE"""),"In 14")</f>
        <v>In 14</v>
      </c>
      <c r="H5" s="5" t="str">
        <f>IFERROR(__xludf.DUMMYFUNCTION("""COMPUTED_VALUE"""),"D.7")</f>
        <v>D.7</v>
      </c>
      <c r="I5" s="5" t="str">
        <f>IFERROR(__xludf.DUMMYFUNCTION("""COMPUTED_VALUE"""),"openGear X")</f>
        <v>openGear X</v>
      </c>
      <c r="J5" s="5">
        <f>IFERROR(__xludf.DUMMYFUNCTION("""COMPUTED_VALUE"""),5.0)</f>
        <v>5</v>
      </c>
      <c r="K5" s="5" t="str">
        <f>IFERROR(__xludf.DUMMYFUNCTION("""COMPUTED_VALUE"""),"SDI In")</f>
        <v>SDI In</v>
      </c>
      <c r="L5" s="5" t="str">
        <f>IFERROR(__xludf.DUMMYFUNCTION("""COMPUTED_VALUE"""),"Source 14")</f>
        <v>Source 14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IFERROR(__xludf.DUMMYFUNCTION("""COMPUTED_VALUE"""),"C.4")</f>
        <v>C.4</v>
      </c>
      <c r="B6" s="5" t="str">
        <f>IFERROR(__xludf.DUMMYFUNCTION("""COMPUTED_VALUE"""),"Blackmagic Multiview 16")</f>
        <v>Blackmagic Multiview 16</v>
      </c>
      <c r="C6" s="5"/>
      <c r="D6" s="5"/>
      <c r="E6" s="5" t="str">
        <f>IFERROR(__xludf.DUMMYFUNCTION("""COMPUTED_VALUE"""),"Out 15")</f>
        <v>Out 15</v>
      </c>
      <c r="F6" s="5" t="str">
        <f>IFERROR(__xludf.DUMMYFUNCTION("""COMPUTED_VALUE"""),"T")</f>
        <v>T</v>
      </c>
      <c r="G6" s="5" t="str">
        <f>IFERROR(__xludf.DUMMYFUNCTION("""COMPUTED_VALUE"""),"In 15")</f>
        <v>In 15</v>
      </c>
      <c r="H6" s="5" t="str">
        <f>IFERROR(__xludf.DUMMYFUNCTION("""COMPUTED_VALUE"""),"D.7")</f>
        <v>D.7</v>
      </c>
      <c r="I6" s="5" t="str">
        <f>IFERROR(__xludf.DUMMYFUNCTION("""COMPUTED_VALUE"""),"openGear X")</f>
        <v>openGear X</v>
      </c>
      <c r="J6" s="5">
        <f>IFERROR(__xludf.DUMMYFUNCTION("""COMPUTED_VALUE"""),6.0)</f>
        <v>6</v>
      </c>
      <c r="K6" s="5" t="str">
        <f>IFERROR(__xludf.DUMMYFUNCTION("""COMPUTED_VALUE"""),"SDI In")</f>
        <v>SDI In</v>
      </c>
      <c r="L6" s="5" t="str">
        <f>IFERROR(__xludf.DUMMYFUNCTION("""COMPUTED_VALUE"""),"Source 15")</f>
        <v>Source 15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IFERROR(__xludf.DUMMYFUNCTION("""COMPUTED_VALUE"""),"C.4")</f>
        <v>C.4</v>
      </c>
      <c r="B7" s="5" t="str">
        <f>IFERROR(__xludf.DUMMYFUNCTION("""COMPUTED_VALUE"""),"Blackmagic Multiview 16")</f>
        <v>Blackmagic Multiview 16</v>
      </c>
      <c r="C7" s="5"/>
      <c r="D7" s="5"/>
      <c r="E7" s="5" t="str">
        <f>IFERROR(__xludf.DUMMYFUNCTION("""COMPUTED_VALUE"""),"Out 16")</f>
        <v>Out 16</v>
      </c>
      <c r="F7" s="5" t="str">
        <f>IFERROR(__xludf.DUMMYFUNCTION("""COMPUTED_VALUE"""),"T")</f>
        <v>T</v>
      </c>
      <c r="G7" s="5" t="str">
        <f>IFERROR(__xludf.DUMMYFUNCTION("""COMPUTED_VALUE"""),"In 16")</f>
        <v>In 16</v>
      </c>
      <c r="H7" s="5" t="str">
        <f>IFERROR(__xludf.DUMMYFUNCTION("""COMPUTED_VALUE"""),"D.7")</f>
        <v>D.7</v>
      </c>
      <c r="I7" s="5" t="str">
        <f>IFERROR(__xludf.DUMMYFUNCTION("""COMPUTED_VALUE"""),"openGear X")</f>
        <v>openGear X</v>
      </c>
      <c r="J7" s="5">
        <f>IFERROR(__xludf.DUMMYFUNCTION("""COMPUTED_VALUE"""),7.0)</f>
        <v>7</v>
      </c>
      <c r="K7" s="5" t="str">
        <f>IFERROR(__xludf.DUMMYFUNCTION("""COMPUTED_VALUE"""),"SDI In")</f>
        <v>SDI In</v>
      </c>
      <c r="L7" s="5" t="str">
        <f>IFERROR(__xludf.DUMMYFUNCTION("""COMPUTED_VALUE"""),"Source 16")</f>
        <v>Source 16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IFERROR(__xludf.DUMMYFUNCTION("""COMPUTED_VALUE"""),"D.BACK.1")</f>
        <v>D.BACK.1</v>
      </c>
      <c r="B8" s="5" t="str">
        <f>IFERROR(__xludf.DUMMYFUNCTION("""COMPUTED_VALUE"""),"Raspberry PI 1")</f>
        <v>Raspberry PI 1</v>
      </c>
      <c r="C8" s="5"/>
      <c r="D8" s="5"/>
      <c r="E8" s="5" t="str">
        <f>IFERROR(__xludf.DUMMYFUNCTION("""COMPUTED_VALUE"""),"HDMI Out")</f>
        <v>HDMI Out</v>
      </c>
      <c r="F8" s="5"/>
      <c r="G8" s="5"/>
      <c r="H8" s="5" t="str">
        <f>IFERROR(__xludf.DUMMYFUNCTION("""COMPUTED_VALUE"""),"D.7")</f>
        <v>D.7</v>
      </c>
      <c r="I8" s="5" t="str">
        <f>IFERROR(__xludf.DUMMYFUNCTION("""COMPUTED_VALUE"""),"openGear X")</f>
        <v>openGear X</v>
      </c>
      <c r="J8" s="5">
        <f>IFERROR(__xludf.DUMMYFUNCTION("""COMPUTED_VALUE"""),1.0)</f>
        <v>1</v>
      </c>
      <c r="K8" s="5" t="str">
        <f>IFERROR(__xludf.DUMMYFUNCTION("""COMPUTED_VALUE"""),"HDMI In")</f>
        <v>HDMI In</v>
      </c>
      <c r="L8" s="5"/>
      <c r="M8" s="5" t="str">
        <f>IFERROR(__xludf.DUMMYFUNCTION("""COMPUTED_VALUE"""),"SRT La Casa del Streaming")</f>
        <v>SRT La Casa del Streaming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IFERROR(__xludf.DUMMYFUNCTION("""COMPUTED_VALUE"""),"D.BACK.2")</f>
        <v>D.BACK.2</v>
      </c>
      <c r="B9" s="5" t="str">
        <f>IFERROR(__xludf.DUMMYFUNCTION("""COMPUTED_VALUE"""),"Raspberry PI 2")</f>
        <v>Raspberry PI 2</v>
      </c>
      <c r="C9" s="5"/>
      <c r="D9" s="5"/>
      <c r="E9" s="5" t="str">
        <f>IFERROR(__xludf.DUMMYFUNCTION("""COMPUTED_VALUE"""),"HDMI Out")</f>
        <v>HDMI Out</v>
      </c>
      <c r="F9" s="5"/>
      <c r="G9" s="5"/>
      <c r="H9" s="5" t="str">
        <f>IFERROR(__xludf.DUMMYFUNCTION("""COMPUTED_VALUE"""),"D.7")</f>
        <v>D.7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IFERROR(__xludf.DUMMYFUNCTION("""COMPUTED_VALUE"""),"HDMI In")</f>
        <v>HDMI In</v>
      </c>
      <c r="L9" s="5"/>
      <c r="M9" s="5" t="str">
        <f>IFERROR(__xludf.DUMMYFUNCTION("""COMPUTED_VALUE"""),"SRT Mochila LiveU Posadas")</f>
        <v>SRT Mochila LiveU Posadas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IFERROR(__xludf.DUMMYFUNCTION("""COMPUTED_VALUE"""),"N/C")</f>
        <v>N/C</v>
      </c>
      <c r="B10" s="5"/>
      <c r="C10" s="5"/>
      <c r="D10" s="5"/>
      <c r="E10" s="5"/>
      <c r="F10" s="5"/>
      <c r="G10" s="5"/>
      <c r="H10" s="5" t="str">
        <f>IFERROR(__xludf.DUMMYFUNCTION("""COMPUTED_VALUE"""),"D.7")</f>
        <v>D.7</v>
      </c>
      <c r="I10" s="5" t="str">
        <f>IFERROR(__xludf.DUMMYFUNCTION("""COMPUTED_VALUE"""),"openGear X")</f>
        <v>openGear X</v>
      </c>
      <c r="J10" s="5">
        <f>IFERROR(__xludf.DUMMYFUNCTION("""COMPUTED_VALUE"""),3.0)</f>
        <v>3</v>
      </c>
      <c r="K10" s="5" t="str">
        <f>IFERROR(__xludf.DUMMYFUNCTION("""COMPUTED_VALUE"""),"HDMI In")</f>
        <v>HDMI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