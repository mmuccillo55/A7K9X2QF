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<sst xmlns="http://schemas.openxmlformats.org/spreadsheetml/2006/main" count="2207" uniqueCount="653">
  <si>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</si>
  <si>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</si>
  <si>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</si>
  <si>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</si>
  <si>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</si>
  <si>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</si>
  <si>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</si>
  <si>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</si>
  <si>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</si>
  <si>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</si>
  <si>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</si>
  <si>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</si>
  <si>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</si>
  <si>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</si>
  <si>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</si>
  <si>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</si>
  <si>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</si>
  <si>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</si>
  <si>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</si>
  <si>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</si>
  <si>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</si>
  <si>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</si>
  <si>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</si>
  <si>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</si>
  <si>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</si>
  <si>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</si>
  <si>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</si>
  <si>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</si>
  <si>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</si>
  <si>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</si>
  <si>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</si>
  <si>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</si>
  <si>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</si>
  <si>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</si>
  <si>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</si>
  <si>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</si>
  <si>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</si>
  <si>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</si>
  <si>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</si>
  <si>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</si>
  <si>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</si>
  <si>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</si>
  <si>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</si>
  <si>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</si>
  <si>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</si>
  <si>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</si>
  <si>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</si>
  <si>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</si>
  <si>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</si>
  <si>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</si>
  <si>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</si>
  <si>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</si>
  <si>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</si>
  <si>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</si>
  <si>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</si>
  <si>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</si>
  <si>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</si>
  <si>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</si>
  <si>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</si>
  <si>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</si>
  <si>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</si>
  <si>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</si>
  <si>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</si>
  <si>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</si>
  <si>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</si>
  <si>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</si>
  <si>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</si>
  <si>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</si>
  <si>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</si>
  <si>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</si>
  <si>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</si>
  <si>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</si>
  <si>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</si>
  <si>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</si>
  <si>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</si>
  <si>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</si>
  <si>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</si>
  <si>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</si>
  <si>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</si>
  <si>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</si>
  <si>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</si>
  <si>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</si>
  <si>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</si>
  <si>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</si>
  <si>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</si>
  <si>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</si>
  <si>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</si>
  <si>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</si>
  <si>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</si>
  <si>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</si>
  <si>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</si>
  <si>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</si>
  <si>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</si>
  <si>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</si>
  <si>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</si>
  <si>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</si>
  <si>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</si>
  <si>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</si>
  <si>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</si>
  <si>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</si>
  <si>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</si>
  <si>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</si>
  <si>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</si>
  <si>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</si>
  <si>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</si>
  <si>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</si>
  <si>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</si>
  <si>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</si>
  <si>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</si>
  <si>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</si>
  <si>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</si>
  <si>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</si>
  <si>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</si>
  <si>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</si>
  <si>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</si>
  <si>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</si>
  <si>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</si>
  <si>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</si>
  <si>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</si>
  <si>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</si>
  <si>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</si>
  <si>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</si>
  <si>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</si>
  <si>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</si>
  <si>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</si>
  <si>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</si>
  <si>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</si>
  <si>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</si>
  <si>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</si>
  <si>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</si>
  <si>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</si>
  <si>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</si>
  <si>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</si>
  <si>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</si>
  <si>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</si>
  <si>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</si>
  <si>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</si>
  <si>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</si>
  <si>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</si>
  <si>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</si>
  <si>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</si>
  <si>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</si>
  <si>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</si>
  <si>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</si>
  <si>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</si>
  <si>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</si>
  <si>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</si>
  <si>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</si>
  <si>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</si>
  <si>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</si>
  <si>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</si>
  <si>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</si>
  <si>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</si>
  <si>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</si>
  <si>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</si>
  <si>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</si>
  <si>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</si>
  <si>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</si>
  <si>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</si>
  <si>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</si>
  <si>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</si>
  <si>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</si>
  <si>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</si>
  <si>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</si>
  <si>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</si>
  <si>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</si>
  <si>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</si>
  <si>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</si>
  <si>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</si>
  <si>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</si>
  <si>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</si>
  <si>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</si>
  <si>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</si>
  <si>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</si>
  <si>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</si>
  <si>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</si>
  <si>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</si>
  <si>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</si>
  <si>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</si>
  <si>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</si>
  <si>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</si>
  <si>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</si>
  <si>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</si>
  <si>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</si>
  <si>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</si>
  <si>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</si>
  <si>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</si>
  <si>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</si>
  <si>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</si>
  <si>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</si>
  <si>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</si>
  <si>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</si>
  <si>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</si>
  <si>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</si>
  <si>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</si>
  <si>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</si>
  <si>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</si>
  <si>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</si>
  <si>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</si>
  <si>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</si>
  <si>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</si>
  <si>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</si>
  <si>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</si>
  <si>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</si>
  <si>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</si>
  <si>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</si>
  <si>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</si>
  <si>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</si>
  <si>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</si>
  <si>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</si>
  <si>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</si>
  <si>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</si>
  <si>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</si>
  <si>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</si>
  <si>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</si>
  <si>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</si>
  <si>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</si>
  <si>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</si>
  <si>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</si>
  <si>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</si>
  <si>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</si>
  <si>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</si>
  <si>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</si>
  <si>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</si>
  <si>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</si>
  <si>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</si>
  <si>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</si>
  <si>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</si>
  <si>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</si>
  <si>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</si>
  <si>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</si>
  <si>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</si>
  <si>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</si>
  <si>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</si>
  <si>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</si>
  <si>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</si>
  <si>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</si>
  <si>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</si>
  <si>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</si>
  <si>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</si>
  <si>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</si>
  <si>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</si>
  <si>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</si>
  <si>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</si>
  <si>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</si>
  <si>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</si>
  <si>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</si>
  <si>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</si>
  <si>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</si>
  <si>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</si>
  <si>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</si>
  <si>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</si>
  <si>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</si>
  <si>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</si>
  <si>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</si>
  <si>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</si>
  <si>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</si>
  <si>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</si>
  <si>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</si>
  <si>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</si>
  <si>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</si>
  <si>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</si>
  <si>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</si>
  <si>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</si>
  <si>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</si>
  <si>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</si>
  <si>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</si>
  <si>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</si>
  <si>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</si>
  <si>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</si>
  <si>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</si>
  <si>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</si>
  <si>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</si>
  <si>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</si>
  <si>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</si>
  <si>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</si>
  <si>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</si>
  <si>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</si>
  <si>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</si>
  <si>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</si>
  <si>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</si>
  <si>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</si>
  <si>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</si>
  <si>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</si>
  <si>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</si>
  <si>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</si>
  <si>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</si>
  <si>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</si>
  <si>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</si>
  <si>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</si>
  <si>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</si>
  <si>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</si>
  <si>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</si>
  <si>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</si>
  <si>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</si>
  <si>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</si>
  <si>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</si>
  <si>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</si>
  <si>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</si>
  <si>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</si>
  <si>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</si>
  <si>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</si>
  <si>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</si>
  <si>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</si>
  <si>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</si>
  <si>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</si>
  <si>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</si>
  <si>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</si>
  <si>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</si>
  <si>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</si>
  <si>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</si>
  <si>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</si>
  <si>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</si>
  <si>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</si>
  <si>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</si>
  <si>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</si>
  <si>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</si>
  <si>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</si>
  <si>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</si>
  <si>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</si>
  <si>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</si>
  <si>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</si>
  <si>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</si>
  <si>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</si>
  <si>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</si>
  <si>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</si>
  <si>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</si>
  <si>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</si>
  <si>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</si>
  <si>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</si>
  <si>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</si>
  <si>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</si>
  <si>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</si>
  <si>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</si>
  <si>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</si>
  <si>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</si>
  <si>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</si>
  <si>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</si>
  <si>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</si>
  <si>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</si>
  <si>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</si>
  <si>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</si>
  <si>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</si>
  <si>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</si>
  <si>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</si>
  <si>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</si>
  <si>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</si>
  <si>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</si>
  <si>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</si>
  <si>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</si>
  <si>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</si>
  <si>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</si>
  <si>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</si>
  <si>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</si>
  <si>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</si>
  <si>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</si>
  <si>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</si>
  <si>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</si>
  <si>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</si>
  <si>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</si>
  <si>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</si>
  <si>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</si>
  <si>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</si>
  <si>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</si>
  <si>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</si>
  <si>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</si>
  <si>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</si>
  <si>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</si>
  <si>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</si>
  <si>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</si>
  <si>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</si>
  <si>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</si>
  <si>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</si>
  <si>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</si>
  <si>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</si>
  <si>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</si>
  <si>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</si>
  <si>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</si>
  <si>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</si>
  <si>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</si>
  <si>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</si>
  <si>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</si>
  <si>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</si>
  <si>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</si>
  <si>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</si>
  <si>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</si>
  <si>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</si>
  <si>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</si>
  <si>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</si>
  <si>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</si>
  <si>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</si>
  <si>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</si>
  <si>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</si>
  <si>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</si>
  <si>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</si>
  <si>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</si>
  <si>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</si>
  <si>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</si>
  <si>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</si>
  <si>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</si>
  <si>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</si>
  <si>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</si>
  <si>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</si>
  <si>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</si>
  <si>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</si>
  <si>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</si>
  <si>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</si>
  <si>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</si>
  <si>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</si>
  <si>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</si>
  <si>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</si>
  <si>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</si>
  <si>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</si>
  <si>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</si>
  <si>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</si>
  <si>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</si>
  <si>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</si>
  <si>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</si>
  <si>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</si>
  <si>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</si>
  <si>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</si>
  <si>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</si>
  <si>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</si>
  <si>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</si>
  <si>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</si>
  <si>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</si>
  <si>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</si>
  <si>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</si>
  <si>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</si>
  <si>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</si>
  <si>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</si>
  <si>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</si>
  <si>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</si>
  <si>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</si>
  <si>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</si>
  <si>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</si>
  <si>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</si>
  <si>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</si>
  <si>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</si>
  <si>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</si>
  <si>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</si>
  <si>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</si>
  <si>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</si>
  <si>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</si>
  <si>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</si>
  <si>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</si>
  <si>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</si>
  <si>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</si>
  <si>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</si>
  <si>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</si>
  <si>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</si>
  <si>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</si>
  <si>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</si>
  <si>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</si>
  <si>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</si>
  <si>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</si>
  <si>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</si>
  <si>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</si>
  <si>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</si>
  <si>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</si>
  <si>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</si>
  <si>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</si>
  <si>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</si>
  <si>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</si>
  <si>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</si>
  <si>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</si>
  <si>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</si>
  <si>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</si>
  <si>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</si>
  <si>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</si>
  <si>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</si>
  <si>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</si>
  <si>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</si>
  <si>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</si>
  <si>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</si>
  <si>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</si>
  <si>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</si>
  <si>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</si>
  <si>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</si>
  <si>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</si>
  <si>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</si>
  <si>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</si>
  <si>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</si>
  <si>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</si>
  <si>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</si>
  <si>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</si>
  <si>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</si>
  <si>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</si>
  <si>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</si>
  <si>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</si>
  <si>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</si>
  <si>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</si>
  <si>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</si>
  <si>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</si>
  <si>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</si>
  <si>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</si>
  <si>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</si>
  <si>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</si>
  <si>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</si>
  <si>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</si>
  <si>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</si>
  <si>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</si>
  <si>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</si>
  <si>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</si>
  <si>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</si>
  <si>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</si>
  <si>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</si>
  <si>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</si>
  <si>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</si>
  <si>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</si>
  <si>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</si>
  <si>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</si>
  <si>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</si>
  <si>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</si>
  <si>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</si>
  <si>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</si>
  <si>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</si>
  <si>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</si>
  <si>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</si>
  <si>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</si>
  <si>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</si>
  <si>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</si>
  <si>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</si>
  <si>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</si>
  <si>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</si>
  <si>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</si>
  <si>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</si>
  <si>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</si>
  <si>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</si>
  <si>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</si>
  <si>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</si>
  <si>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</si>
  <si>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</si>
  <si>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</si>
  <si>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</si>
  <si>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</si>
  <si>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</si>
  <si>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</si>
  <si>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</si>
  <si>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</si>
  <si>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</si>
  <si>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</si>
  <si>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</si>
  <si>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</si>
  <si>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</si>
  <si>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</si>
  <si>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</si>
  <si>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</si>
  <si>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</si>
  <si>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</si>
  <si>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</si>
  <si>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</si>
  <si>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</si>
  <si>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</si>
  <si>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</si>
  <si>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</si>
  <si>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</si>
  <si>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</si>
  <si>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</si>
  <si>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</si>
  <si>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</si>
  <si>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</si>
  <si>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</si>
  <si>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</si>
  <si>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</si>
  <si>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</si>
  <si>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</si>
  <si>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</si>
  <si>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</si>
  <si>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</si>
  <si>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</si>
  <si>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</si>
  <si>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</si>
  <si>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</si>
  <si>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</si>
  <si>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</si>
  <si>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</si>
  <si>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</si>
  <si>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</si>
  <si>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</si>
  <si>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</si>
  <si>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</si>
  <si>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</si>
  <si>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</si>
  <si>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</si>
  <si>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</si>
  <si>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</si>
  <si>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</si>
  <si>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</si>
  <si>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</si>
  <si>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</si>
  <si>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</si>
  <si>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</si>
  <si>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</si>
  <si>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</si>
  <si>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</si>
  <si>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</si>
  <si>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</si>
  <si>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</si>
  <si>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</si>
  <si>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</si>
  <si>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</si>
  <si>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</si>
  <si>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</si>
  <si>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</si>
  <si>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</si>
  <si>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</si>
  <si>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</si>
  <si>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</si>
  <si>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</si>
  <si>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</si>
  <si>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</si>
  <si>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</si>
  <si>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</si>
  <si>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</si>
  <si>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</si>
  <si>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</si>
  <si>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</si>
  <si>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</si>
  <si>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</si>
  <si>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</si>
  <si>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</si>
  <si>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</si>
  <si>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</si>
  <si>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</si>
  <si>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</si>
  <si>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</si>
  <si>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</si>
  <si>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</si>
  <si>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</si>
  <si>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</si>
  <si>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</si>
  <si>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</si>
  <si>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</si>
  <si>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</si>
  <si>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</si>
  <si>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</si>
  <si>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</si>
  <si>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</si>
  <si>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</si>
  <si>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</si>
  <si>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</si>
  <si>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</si>
  <si>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</si>
  <si>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</si>
  <si>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</si>
  <si>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</si>
  <si>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</si>
  <si>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</si>
  <si>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</si>
  <si>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</si>
  <si>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</si>
  <si>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dc.2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</si>
</sst>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11" t="s">
        <v>197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473</v>
      </c>
      <c r="B355" s="6" t="str">
        <f>IF(A355="","",VLOOKUP(A355,DB!A:B,2,0))</f>
        <v>RTS Zeus III</v>
      </c>
      <c r="C355" s="5"/>
      <c r="D355" s="6"/>
      <c r="E355" s="6" t="s">
        <v>508</v>
      </c>
      <c r="F355" s="6" t="s">
        <v>197</v>
      </c>
      <c r="G355" s="6" t="s">
        <v>509</v>
      </c>
      <c r="H355" s="6" t="s">
        <v>510</v>
      </c>
      <c r="I355" s="5" t="str">
        <f>IF(H355="","",VLOOKUP(H355,DB!A:B,2,0))</f>
        <v>Servidor</v>
      </c>
      <c r="J355" s="6">
        <v>0.0</v>
      </c>
      <c r="K355" s="6" t="s">
        <v>511</v>
      </c>
      <c r="L355" s="6" t="s">
        <v>512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510</v>
      </c>
      <c r="B356" s="6" t="str">
        <f>IF(A356="","",VLOOKUP(A356,DB!A:B,2,0))</f>
        <v>Servidor</v>
      </c>
      <c r="C356" s="6">
        <v>0.0</v>
      </c>
      <c r="D356" s="6" t="s">
        <v>511</v>
      </c>
      <c r="E356" s="6" t="s">
        <v>513</v>
      </c>
      <c r="F356" s="5"/>
      <c r="G356" s="5"/>
      <c r="H356" s="6" t="s">
        <v>473</v>
      </c>
      <c r="I356" s="5" t="str">
        <f>IF(H356="","",VLOOKUP(H356,DB!A:B,2,0))</f>
        <v>RTS Zeus III</v>
      </c>
      <c r="J356" s="6"/>
      <c r="K356" s="6"/>
      <c r="L356" s="6" t="s">
        <v>509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225</v>
      </c>
      <c r="B357" s="6" t="str">
        <f>IF(A357="","",VLOOKUP(A357,DB!A:B,2,0))</f>
        <v>AJA FS2</v>
      </c>
      <c r="C357" s="5"/>
      <c r="D357" s="6"/>
      <c r="E357" s="6" t="s">
        <v>514</v>
      </c>
      <c r="F357" s="6" t="s">
        <v>197</v>
      </c>
      <c r="G357" s="16" t="s">
        <v>396</v>
      </c>
      <c r="H357" s="6" t="s">
        <v>473</v>
      </c>
      <c r="I357" s="5" t="str">
        <f>IF(H357="","",VLOOKUP(H357,DB!A:B,2,0))</f>
        <v>RTS Zeus III</v>
      </c>
      <c r="J357" s="6"/>
      <c r="K357" s="6"/>
      <c r="L357" s="6" t="s">
        <v>515</v>
      </c>
      <c r="M357" s="5"/>
      <c r="N357" s="6" t="s">
        <v>186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473</v>
      </c>
      <c r="B358" s="6" t="str">
        <f>IF(A358="","",VLOOKUP(A358,DB!A:B,2,0))</f>
        <v>RTS Zeus III</v>
      </c>
      <c r="C358" s="5"/>
      <c r="D358" s="6"/>
      <c r="E358" s="6" t="s">
        <v>516</v>
      </c>
      <c r="F358" s="6" t="s">
        <v>197</v>
      </c>
      <c r="G358" s="6" t="s">
        <v>515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204</v>
      </c>
      <c r="F359" s="6" t="s">
        <v>197</v>
      </c>
      <c r="G359" s="6" t="s">
        <v>68</v>
      </c>
      <c r="H359" s="6" t="s">
        <v>181</v>
      </c>
      <c r="I359" s="5" t="str">
        <f>IF(H359="","",VLOOKUP(H359,DB!A:B,2,0))</f>
        <v>?????</v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7" t="s">
        <v>517</v>
      </c>
      <c r="B1" s="18" t="s">
        <v>518</v>
      </c>
      <c r="C1" s="19" t="s">
        <v>519</v>
      </c>
      <c r="D1" s="20" t="s">
        <v>520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521</v>
      </c>
      <c r="B2" s="7" t="s">
        <v>522</v>
      </c>
      <c r="C2" s="21" t="s">
        <v>523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524</v>
      </c>
      <c r="C3" s="21" t="s">
        <v>525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526</v>
      </c>
      <c r="C4" s="21" t="s">
        <v>527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528</v>
      </c>
      <c r="C5" s="21" t="s">
        <v>529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530</v>
      </c>
      <c r="C6" s="22" t="s">
        <v>531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532</v>
      </c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1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533</v>
      </c>
      <c r="B9" s="7" t="s">
        <v>534</v>
      </c>
      <c r="C9" s="21" t="s">
        <v>535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536</v>
      </c>
      <c r="C10" s="21" t="s">
        <v>537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538</v>
      </c>
      <c r="C11" s="21" t="s">
        <v>539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540</v>
      </c>
      <c r="C12" s="21" t="s">
        <v>541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1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542</v>
      </c>
      <c r="C14" s="22" t="s">
        <v>543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544</v>
      </c>
      <c r="C15" s="21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545</v>
      </c>
      <c r="C16" s="21" t="s">
        <v>546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547</v>
      </c>
      <c r="C17" s="21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548</v>
      </c>
      <c r="C18" s="22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549</v>
      </c>
      <c r="C19" s="21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549</v>
      </c>
      <c r="C20" s="21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1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550</v>
      </c>
      <c r="C22" s="22" t="s">
        <v>551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552</v>
      </c>
      <c r="C23" s="22" t="s">
        <v>553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554</v>
      </c>
      <c r="B24" s="7"/>
      <c r="C24" s="21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1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555</v>
      </c>
      <c r="C26" s="21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556</v>
      </c>
      <c r="B27" s="7" t="s">
        <v>557</v>
      </c>
      <c r="C27" s="21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558</v>
      </c>
      <c r="C28" s="21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558</v>
      </c>
      <c r="C29" s="22" t="s">
        <v>559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560</v>
      </c>
      <c r="C30" s="21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561</v>
      </c>
      <c r="C31" s="21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562</v>
      </c>
      <c r="C32" s="21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557</v>
      </c>
      <c r="C33" s="21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562</v>
      </c>
      <c r="C34" s="21" t="s">
        <v>563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564</v>
      </c>
      <c r="C35" s="21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565</v>
      </c>
      <c r="C36" s="22" t="s">
        <v>566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567</v>
      </c>
      <c r="C37" s="22" t="s">
        <v>568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567</v>
      </c>
      <c r="C38" s="21" t="s">
        <v>569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570</v>
      </c>
      <c r="C39" s="21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571</v>
      </c>
      <c r="C40" s="21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572</v>
      </c>
      <c r="C41" s="21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1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573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574</v>
      </c>
      <c r="C44" s="21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575</v>
      </c>
      <c r="C45" s="21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576</v>
      </c>
      <c r="C46" s="21" t="s">
        <v>577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578</v>
      </c>
      <c r="C47" s="21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1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579</v>
      </c>
      <c r="B49" s="7" t="s">
        <v>580</v>
      </c>
      <c r="C49" s="21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581</v>
      </c>
      <c r="C50" s="21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582</v>
      </c>
      <c r="C51" s="21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583</v>
      </c>
      <c r="C52" s="21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584</v>
      </c>
      <c r="C53" s="21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585</v>
      </c>
      <c r="C54" s="21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586</v>
      </c>
      <c r="C55" s="22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587</v>
      </c>
      <c r="C56" s="21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1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588</v>
      </c>
      <c r="C58" s="22" t="s">
        <v>589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590</v>
      </c>
      <c r="C59" s="22" t="s">
        <v>591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1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592</v>
      </c>
      <c r="B61" s="11"/>
      <c r="C61" s="21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1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593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594</v>
      </c>
      <c r="B64" s="11" t="s">
        <v>595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596</v>
      </c>
      <c r="C65" s="21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597</v>
      </c>
      <c r="C66" s="21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598</v>
      </c>
      <c r="C67" s="21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598</v>
      </c>
      <c r="C68" s="21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599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600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601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562</v>
      </c>
      <c r="C72" s="21" t="s">
        <v>602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603</v>
      </c>
      <c r="C73" s="21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1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1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604</v>
      </c>
      <c r="B76" s="7"/>
      <c r="C76" s="21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605</v>
      </c>
      <c r="B77" s="7"/>
      <c r="C77" s="21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1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606</v>
      </c>
      <c r="C79" s="21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607</v>
      </c>
      <c r="C80" s="21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608</v>
      </c>
      <c r="C81" s="21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609</v>
      </c>
      <c r="C82" s="21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1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610</v>
      </c>
      <c r="C84" s="21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611</v>
      </c>
      <c r="C85" s="21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612</v>
      </c>
      <c r="C86" s="21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613</v>
      </c>
      <c r="C87" s="21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614</v>
      </c>
      <c r="B88" s="7" t="s">
        <v>615</v>
      </c>
      <c r="C88" s="21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616</v>
      </c>
      <c r="C89" s="21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617</v>
      </c>
      <c r="C90" s="21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618</v>
      </c>
      <c r="C91" s="21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619</v>
      </c>
      <c r="C92" s="21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620</v>
      </c>
      <c r="C93" s="21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621</v>
      </c>
      <c r="C94" s="21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622</v>
      </c>
      <c r="C95" s="21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623</v>
      </c>
      <c r="C96" s="21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624</v>
      </c>
      <c r="C97" s="21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625</v>
      </c>
      <c r="C98" s="21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1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626</v>
      </c>
      <c r="B100" s="7"/>
      <c r="C100" s="21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1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627</v>
      </c>
      <c r="C102" s="21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1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1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628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629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630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631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632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633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634</v>
      </c>
      <c r="B113" s="6" t="s">
        <v>635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636</v>
      </c>
      <c r="B114" s="6" t="s">
        <v>637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638</v>
      </c>
      <c r="B115" s="6" t="s">
        <v>639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640</v>
      </c>
      <c r="B117" s="6" t="s">
        <v>641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642</v>
      </c>
      <c r="B118" s="6" t="s">
        <v>643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644</v>
      </c>
      <c r="B119" s="6" t="s">
        <v>645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646</v>
      </c>
      <c r="B120" s="6" t="s">
        <v>647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648</v>
      </c>
      <c r="C122" s="6" t="s">
        <v>649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510</v>
      </c>
      <c r="B123" s="6" t="s">
        <v>650</v>
      </c>
      <c r="C123" s="6" t="s">
        <v>181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651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5"/>
      <c r="E2" s="5"/>
      <c r="F2" s="5"/>
      <c r="G2" s="5"/>
      <c r="H2" s="6" t="s">
        <v>652</v>
      </c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)"),"A.2")</f>
        <v>A.2</v>
      </c>
      <c r="B3" s="5" t="str">
        <f>IFERROR(__xludf.DUMMYFUNCTION("""COMPUTED_VALUE"""),"Player A")</f>
        <v>Player A</v>
      </c>
      <c r="C3" s="5">
        <f>IFERROR(__xludf.DUMMYFUNCTION("""COMPUTED_VALUE"""),2.0)</f>
        <v>2</v>
      </c>
      <c r="D3" s="5" t="str">
        <f>IFERROR(__xludf.DUMMYFUNCTION("""COMPUTED_VALUE"""),"DeckLink")</f>
        <v>DeckLink</v>
      </c>
      <c r="E3" s="5" t="str">
        <f>IFERROR(__xludf.DUMMYFUNCTION("""COMPUTED_VALUE"""),"Audio Out Ch 2")</f>
        <v>Audio Out Ch 2</v>
      </c>
      <c r="F3" s="5"/>
      <c r="G3" s="5"/>
      <c r="H3" s="5" t="str">
        <f>IFERROR(__xludf.DUMMYFUNCTION("""COMPUTED_VALUE"""),"DC.2")</f>
        <v>DC.2</v>
      </c>
      <c r="I3" s="5" t="str">
        <f>IFERROR(__xludf.DUMMYFUNCTION("""COMPUTED_VALUE"""),"Yamaha QL5")</f>
        <v>Yamaha QL5</v>
      </c>
      <c r="J3" s="5"/>
      <c r="K3" s="5"/>
      <c r="L3" s="5" t="str">
        <f>IFERROR(__xludf.DUMMYFUNCTION("""COMPUTED_VALUE"""),"In 29 (Audio)")</f>
        <v>In 29 (Audio)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IFERROR(__xludf.DUMMYFUNCTION("""COMPUTED_VALUE"""),"D.7")</f>
        <v>D.7</v>
      </c>
      <c r="B4" s="5" t="str">
        <f>IFERROR(__xludf.DUMMYFUNCTION("""COMPUTED_VALUE"""),"openGear X")</f>
        <v>openGear X</v>
      </c>
      <c r="C4" s="5">
        <f>IFERROR(__xludf.DUMMYFUNCTION("""COMPUTED_VALUE"""),4.0)</f>
        <v>4</v>
      </c>
      <c r="D4" s="5" t="str">
        <f>IFERROR(__xludf.DUMMYFUNCTION("""COMPUTED_VALUE"""),"De-embedder")</f>
        <v>De-embedder</v>
      </c>
      <c r="E4" s="5" t="str">
        <f>IFERROR(__xludf.DUMMYFUNCTION("""COMPUTED_VALUE"""),"Audio Out L")</f>
        <v>Audio Out L</v>
      </c>
      <c r="F4" s="5" t="str">
        <f>IFERROR(__xludf.DUMMYFUNCTION("""COMPUTED_VALUE"""),"T")</f>
        <v>T</v>
      </c>
      <c r="G4" s="5" t="str">
        <f>IFERROR(__xludf.DUMMYFUNCTION("""COMPUTED_VALUE"""),"SDI In")</f>
        <v>SDI In</v>
      </c>
      <c r="H4" s="5" t="str">
        <f>IFERROR(__xludf.DUMMYFUNCTION("""COMPUTED_VALUE"""),"DC.2")</f>
        <v>DC.2</v>
      </c>
      <c r="I4" s="5" t="str">
        <f>IFERROR(__xludf.DUMMYFUNCTION("""COMPUTED_VALUE"""),"Yamaha QL5")</f>
        <v>Yamaha QL5</v>
      </c>
      <c r="J4" s="5"/>
      <c r="K4" s="5"/>
      <c r="L4" s="5" t="str">
        <f>IFERROR(__xludf.DUMMYFUNCTION("""COMPUTED_VALUE"""),"In 12 (Audio)")</f>
        <v>In 12 (Audio)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IFERROR(__xludf.DUMMYFUNCTION("""COMPUTED_VALUE"""),"D.7")</f>
        <v>D.7</v>
      </c>
      <c r="B5" s="5" t="str">
        <f>IFERROR(__xludf.DUMMYFUNCTION("""COMPUTED_VALUE"""),"openGear X")</f>
        <v>openGear X</v>
      </c>
      <c r="C5" s="5">
        <f>IFERROR(__xludf.DUMMYFUNCTION("""COMPUTED_VALUE"""),4.0)</f>
        <v>4</v>
      </c>
      <c r="D5" s="5" t="str">
        <f>IFERROR(__xludf.DUMMYFUNCTION("""COMPUTED_VALUE"""),"De-embedder")</f>
        <v>De-embedder</v>
      </c>
      <c r="E5" s="5" t="str">
        <f>IFERROR(__xludf.DUMMYFUNCTION("""COMPUTED_VALUE"""),"Audio Out R")</f>
        <v>Audio Out R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IFERROR(__xludf.DUMMYFUNCTION("""COMPUTED_VALUE"""),"DC.2")</f>
        <v>DC.2</v>
      </c>
      <c r="I5" s="5" t="str">
        <f>IFERROR(__xludf.DUMMYFUNCTION("""COMPUTED_VALUE"""),"Yamaha QL5")</f>
        <v>Yamaha QL5</v>
      </c>
      <c r="J5" s="5"/>
      <c r="K5" s="5"/>
      <c r="L5" s="5" t="str">
        <f>IFERROR(__xludf.DUMMYFUNCTION("""COMPUTED_VALUE"""),"In 13 (Audio)")</f>
        <v>In 13 (Audio)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IFERROR(__xludf.DUMMYFUNCTION("""COMPUTED_VALUE"""),"D.7")</f>
        <v>D.7</v>
      </c>
      <c r="B6" s="5" t="str">
        <f>IFERROR(__xludf.DUMMYFUNCTION("""COMPUTED_VALUE"""),"openGear X")</f>
        <v>openGear X</v>
      </c>
      <c r="C6" s="5">
        <f>IFERROR(__xludf.DUMMYFUNCTION("""COMPUTED_VALUE"""),5.0)</f>
        <v>5</v>
      </c>
      <c r="D6" s="5" t="str">
        <f>IFERROR(__xludf.DUMMYFUNCTION("""COMPUTED_VALUE"""),"De-embedder")</f>
        <v>De-embedder</v>
      </c>
      <c r="E6" s="5" t="str">
        <f>IFERROR(__xludf.DUMMYFUNCTION("""COMPUTED_VALUE"""),"Audio Out L")</f>
        <v>Audio Out L</v>
      </c>
      <c r="F6" s="5" t="str">
        <f>IFERROR(__xludf.DUMMYFUNCTION("""COMPUTED_VALUE"""),"T")</f>
        <v>T</v>
      </c>
      <c r="G6" s="5" t="str">
        <f>IFERROR(__xludf.DUMMYFUNCTION("""COMPUTED_VALUE"""),"SDI In")</f>
        <v>SDI In</v>
      </c>
      <c r="H6" s="5" t="str">
        <f>IFERROR(__xludf.DUMMYFUNCTION("""COMPUTED_VALUE"""),"DC.2")</f>
        <v>DC.2</v>
      </c>
      <c r="I6" s="5" t="str">
        <f>IFERROR(__xludf.DUMMYFUNCTION("""COMPUTED_VALUE"""),"Yamaha QL5")</f>
        <v>Yamaha QL5</v>
      </c>
      <c r="J6" s="5"/>
      <c r="K6" s="5"/>
      <c r="L6" s="5" t="str">
        <f>IFERROR(__xludf.DUMMYFUNCTION("""COMPUTED_VALUE"""),"In 14 (Audio)")</f>
        <v>In 14 (Audio)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3"/>
      <c r="AG6" s="23"/>
      <c r="AH6" s="23"/>
      <c r="AI6" s="23"/>
      <c r="AJ6" s="23"/>
      <c r="AK6" s="23"/>
      <c r="AL6" s="23"/>
      <c r="AM6" s="23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IFERROR(__xludf.DUMMYFUNCTION("""COMPUTED_VALUE"""),"D.7")</f>
        <v>D.7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IFERROR(__xludf.DUMMYFUNCTION("""COMPUTED_VALUE"""),"De-embedder")</f>
        <v>De-embedder</v>
      </c>
      <c r="E7" s="5" t="str">
        <f>IFERROR(__xludf.DUMMYFUNCTION("""COMPUTED_VALUE"""),"Audio Out L")</f>
        <v>Audio Out L</v>
      </c>
      <c r="F7" s="5" t="str">
        <f>IFERROR(__xludf.DUMMYFUNCTION("""COMPUTED_VALUE"""),"T")</f>
        <v>T</v>
      </c>
      <c r="G7" s="5" t="str">
        <f>IFERROR(__xludf.DUMMYFUNCTION("""COMPUTED_VALUE"""),"SDI In")</f>
        <v>SDI In</v>
      </c>
      <c r="H7" s="5" t="str">
        <f>IFERROR(__xludf.DUMMYFUNCTION("""COMPUTED_VALUE"""),"DC.2")</f>
        <v>DC.2</v>
      </c>
      <c r="I7" s="5" t="str">
        <f>IFERROR(__xludf.DUMMYFUNCTION("""COMPUTED_VALUE"""),"Yamaha QL5")</f>
        <v>Yamaha QL5</v>
      </c>
      <c r="J7" s="5"/>
      <c r="K7" s="5"/>
      <c r="L7" s="5" t="str">
        <f>IFERROR(__xludf.DUMMYFUNCTION("""COMPUTED_VALUE"""),"In 15 (Audio)")</f>
        <v>In 15 (Audio)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IFERROR(__xludf.DUMMYFUNCTION("""COMPUTED_VALUE"""),"D.7")</f>
        <v>D.7</v>
      </c>
      <c r="B8" s="5" t="str">
        <f>IFERROR(__xludf.DUMMYFUNCTION("""COMPUTED_VALUE"""),"openGear X")</f>
        <v>openGear X</v>
      </c>
      <c r="C8" s="5">
        <f>IFERROR(__xludf.DUMMYFUNCTION("""COMPUTED_VALUE"""),7.0)</f>
        <v>7</v>
      </c>
      <c r="D8" s="5" t="str">
        <f>IFERROR(__xludf.DUMMYFUNCTION("""COMPUTED_VALUE"""),"De-embedder")</f>
        <v>De-embedder</v>
      </c>
      <c r="E8" s="5" t="str">
        <f>IFERROR(__xludf.DUMMYFUNCTION("""COMPUTED_VALUE"""),"Audio Out L")</f>
        <v>Audio Out L</v>
      </c>
      <c r="F8" s="5" t="str">
        <f>IFERROR(__xludf.DUMMYFUNCTION("""COMPUTED_VALUE"""),"T")</f>
        <v>T</v>
      </c>
      <c r="G8" s="5" t="str">
        <f>IFERROR(__xludf.DUMMYFUNCTION("""COMPUTED_VALUE"""),"SDI In")</f>
        <v>SDI In</v>
      </c>
      <c r="H8" s="5" t="str">
        <f>IFERROR(__xludf.DUMMYFUNCTION("""COMPUTED_VALUE"""),"DC.2")</f>
        <v>DC.2</v>
      </c>
      <c r="I8" s="5" t="str">
        <f>IFERROR(__xludf.DUMMYFUNCTION("""COMPUTED_VALUE"""),"Yamaha QL5")</f>
        <v>Yamaha QL5</v>
      </c>
      <c r="J8" s="5"/>
      <c r="K8" s="5"/>
      <c r="L8" s="5" t="str">
        <f>IFERROR(__xludf.DUMMYFUNCTION("""COMPUTED_VALUE"""),"In 16 (Audio)")</f>
        <v>In 16 (Audio)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3"/>
      <c r="AG14" s="23"/>
      <c r="AH14" s="23"/>
      <c r="AI14" s="23"/>
      <c r="AJ14" s="23"/>
      <c r="AK14" s="23"/>
      <c r="AL14" s="23"/>
      <c r="AM14" s="23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