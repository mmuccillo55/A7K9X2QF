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<sst xmlns="http://schemas.openxmlformats.org/spreadsheetml/2006/main" count="2184" uniqueCount="645">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</sst>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514</v>
      </c>
      <c r="B1" s="17" t="s">
        <v>515</v>
      </c>
      <c r="C1" s="18" t="s">
        <v>516</v>
      </c>
      <c r="D1" s="19" t="s">
        <v>517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518</v>
      </c>
      <c r="B2" s="7" t="s">
        <v>519</v>
      </c>
      <c r="C2" s="20" t="s">
        <v>520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521</v>
      </c>
      <c r="C3" s="20" t="s">
        <v>522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523</v>
      </c>
      <c r="C4" s="20" t="s">
        <v>524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525</v>
      </c>
      <c r="C5" s="20" t="s">
        <v>526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527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528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529</v>
      </c>
      <c r="B9" s="7" t="s">
        <v>530</v>
      </c>
      <c r="C9" s="20" t="s">
        <v>531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532</v>
      </c>
      <c r="C10" s="20" t="s">
        <v>533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534</v>
      </c>
      <c r="C11" s="20" t="s">
        <v>535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536</v>
      </c>
      <c r="C12" s="20" t="s">
        <v>537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538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539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540</v>
      </c>
      <c r="C16" s="20" t="s">
        <v>541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543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544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544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545</v>
      </c>
      <c r="C22" s="21" t="s">
        <v>546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547</v>
      </c>
      <c r="C23" s="21" t="s">
        <v>548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549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550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551</v>
      </c>
      <c r="B27" s="7" t="s">
        <v>552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553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553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554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555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556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552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556</v>
      </c>
      <c r="C34" s="20" t="s">
        <v>557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558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559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560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560</v>
      </c>
      <c r="C38" s="20" t="s">
        <v>561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562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563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564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565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566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567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568</v>
      </c>
      <c r="C46" s="20" t="s">
        <v>569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570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571</v>
      </c>
      <c r="B49" s="7" t="s">
        <v>572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573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574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575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576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577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578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579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580</v>
      </c>
      <c r="C58" s="21" t="s">
        <v>581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582</v>
      </c>
      <c r="C59" s="21" t="s">
        <v>583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584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585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586</v>
      </c>
      <c r="B64" s="11" t="s">
        <v>587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588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589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590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590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593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556</v>
      </c>
      <c r="C72" s="20" t="s">
        <v>594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595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596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597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598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599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600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601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602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603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604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605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606</v>
      </c>
      <c r="B88" s="7" t="s">
        <v>607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608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609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610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611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612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613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614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615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616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617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618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619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620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621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622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623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624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625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626</v>
      </c>
      <c r="B113" s="6" t="s">
        <v>627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628</v>
      </c>
      <c r="B114" s="6" t="s">
        <v>629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630</v>
      </c>
      <c r="B115" s="6" t="s">
        <v>631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632</v>
      </c>
      <c r="B117" s="6" t="s">
        <v>633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634</v>
      </c>
      <c r="B118" s="6" t="s">
        <v>635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636</v>
      </c>
      <c r="B119" s="6" t="s">
        <v>637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638</v>
      </c>
      <c r="B120" s="6" t="s">
        <v>639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640</v>
      </c>
      <c r="C122" s="6" t="s">
        <v>641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642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1" priority="1" operator="equal">
      <formula>"N/C"</formula>
    </cfRule>
  </conditionalFormatting>
  <conditionalFormatting sqref="A1:Y1025">
    <cfRule type="cellIs" dxfId="0" priority="2" operator="equal">
      <formula>"N/D"</formula>
    </cfRule>
  </conditionalFormatting>
  <conditionalFormatting sqref="A1:Y102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643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644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IFERROR(__xludf.DUMMYFUNCTION("""COMPUTED_VALUE"""),"J3")</f>
        <v>J3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62")</f>
        <v>In 62</v>
      </c>
      <c r="M4" s="5" t="str">
        <f>IFERROR(__xludf.DUMMYFUNCTION("""COMPUTED_VALUE"""),"LINEA 1X9")</f>
        <v>LINEA 1X9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IFERROR(__xludf.DUMMYFUNCTION("""COMPUTED_VALUE"""),5.0)</f>
        <v>5</v>
      </c>
      <c r="D5" s="5" t="str">
        <f>IFERROR(__xludf.DUMMYFUNCTION("""COMPUTED_VALUE"""),"De-embedder")</f>
        <v>De-embedder</v>
      </c>
      <c r="E5" s="5" t="str">
        <f>IFERROR(__xludf.DUMMYFUNCTION("""COMPUTED_VALUE"""),"SDI Out")</f>
        <v>SDI Out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IFERROR(__xludf.DUMMYFUNCTION("""COMPUTED_VALUE"""),"D.13")</f>
        <v>D.13</v>
      </c>
      <c r="I5" s="5" t="str">
        <f>IFERROR(__xludf.DUMMYFUNCTION("""COMPUTED_VALUE"""),"AJA FS2")</f>
        <v>AJA FS2</v>
      </c>
      <c r="J5" s="5"/>
      <c r="K5" s="5"/>
      <c r="L5" s="5" t="str">
        <f>IFERROR(__xludf.DUMMYFUNCTION("""COMPUTED_VALUE"""),"SDI In 1")</f>
        <v>SDI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IFERROR(__xludf.DUMMYFUNCTION("""COMPUTED_VALUE"""),"J5")</f>
        <v>J5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IFERROR(__xludf.DUMMYFUNCTION("""COMPUTED_VALUE"""),1.0)</f>
        <v>1</v>
      </c>
      <c r="K6" s="5" t="str">
        <f>IFERROR(__xludf.DUMMYFUNCTION("""COMPUTED_VALUE"""),"Dist. Amp. 1x9")</f>
        <v>Dist. Amp. 1x9</v>
      </c>
      <c r="L6" s="5" t="str">
        <f>IFERROR(__xludf.DUMMYFUNCTION("""COMPUTED_VALUE"""),"J1 (in)")</f>
        <v>J1 (in)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IFERROR(__xludf.DUMMYFUNCTION("""COMPUTED_VALUE"""),"J2")</f>
        <v>J2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IFERROR(__xludf.DUMMYFUNCTION("""COMPUTED_VALUE"""),"J4")</f>
        <v>J4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IFERROR(__xludf.DUMMYFUNCTION("""COMPUTED_VALUE"""),"J6")</f>
        <v>J6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IFERROR(__xludf.DUMMYFUNCTION("""COMPUTED_VALUE"""),"J7")</f>
        <v>J7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IFERROR(__xludf.DUMMYFUNCTION("""COMPUTED_VALUE"""),"J8")</f>
        <v>J8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IFERROR(__xludf.DUMMYFUNCTION("""COMPUTED_VALUE"""),"J9")</f>
        <v>J9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IFERROR(__xludf.DUMMYFUNCTION("""COMPUTED_VALUE"""),"J10")</f>
        <v>J10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IFERROR(__xludf.DUMMYFUNCTION("""COMPUTED_VALUE"""),0.0)</f>
        <v>0</v>
      </c>
      <c r="D14" s="5" t="str">
        <f>IFERROR(__xludf.DUMMYFUNCTION("""COMPUTED_VALUE"""),"Main")</f>
        <v>Main</v>
      </c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IFERROR(__xludf.DUMMYFUNCTION("""COMPUTED_VALUE"""),"D.11")</f>
        <v>D.11</v>
      </c>
      <c r="I14" s="5" t="str">
        <f>IFERROR(__xludf.DUMMYFUNCTION("""COMPUTED_VALUE"""),"AJA FS4")</f>
        <v>AJA FS4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IFERROR(__xludf.DUMMYFUNCTION("""COMPUTED_VALUE"""),5.0)</f>
        <v>5</v>
      </c>
      <c r="D15" s="5" t="str">
        <f>IFERROR(__xludf.DUMMYFUNCTION("""COMPUTED_VALUE"""),"De-embedder")</f>
        <v>De-embedder</v>
      </c>
      <c r="E15" s="5" t="str">
        <f>IFERROR(__xludf.DUMMYFUNCTION("""COMPUTED_VALUE"""),"Audio Out 2")</f>
        <v>Audio Out 2</v>
      </c>
      <c r="F15" s="5" t="str">
        <f>IFERROR(__xludf.DUMMYFUNCTION("""COMPUTED_VALUE"""),"T")</f>
        <v>T</v>
      </c>
      <c r="G15" s="5" t="str">
        <f>IFERROR(__xludf.DUMMYFUNCTION("""COMPUTED_VALUE"""),"SDI In")</f>
        <v>SDI In</v>
      </c>
      <c r="H15" s="5" t="str">
        <f>IFERROR(__xludf.DUMMYFUNCTION("""COMPUTED_VALUE"""),"TX.4")</f>
        <v>TX.4</v>
      </c>
      <c r="I15" s="5" t="str">
        <f>IFERROR(__xludf.DUMMYFUNCTION("""COMPUTED_VALUE"""),"Mixer Audio TX")</f>
        <v>Mixer Audio TX</v>
      </c>
      <c r="J15" s="5"/>
      <c r="K15" s="5"/>
      <c r="L15" s="5" t="str">
        <f>IFERROR(__xludf.DUMMYFUNCTION("""COMPUTED_VALUE"""),"Audio In")</f>
        <v>Audio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IFERROR(__xludf.DUMMYFUNCTION("""COMPUTED_VALUE"""),2.0)</f>
        <v>2</v>
      </c>
      <c r="D16" s="5" t="str">
        <f>IFERROR(__xludf.DUMMYFUNCTION("""COMPUTED_VALUE"""),"Embedder")</f>
        <v>Embedder</v>
      </c>
      <c r="E16" s="5" t="str">
        <f>IFERROR(__xludf.DUMMYFUNCTION("""COMPUTED_VALUE"""),"SDI Out")</f>
        <v>SDI Out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C")</f>
        <v>Cable suelto en Rack C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