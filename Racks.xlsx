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<sst xmlns="http://schemas.openxmlformats.org/spreadsheetml/2006/main" count="2034" uniqueCount="594">
  <si>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</si>
  <si>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</si>
  <si>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</si>
  <si>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</si>
  <si>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</si>
  <si>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</si>
  <si>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</si>
  <si>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</si>
  <si>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</si>
  <si>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</si>
  <si>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</si>
  <si>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</si>
  <si>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</si>
  <si>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</si>
  <si>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</si>
  <si>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</si>
  <si>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</si>
  <si>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</si>
  <si>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</si>
  <si>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</si>
  <si>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</si>
  <si>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</si>
  <si>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</si>
  <si>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</si>
  <si>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</si>
  <si>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</si>
  <si>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</si>
  <si>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</si>
  <si>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</si>
  <si>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</si>
  <si>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</si>
  <si>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</si>
  <si>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</si>
  <si>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</si>
  <si>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</si>
  <si>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</si>
  <si>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</si>
  <si>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</si>
  <si>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</si>
  <si>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</si>
  <si>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</si>
  <si>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</si>
  <si>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</si>
  <si>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</si>
  <si>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</si>
  <si>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</si>
  <si>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</si>
  <si>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</si>
  <si>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</si>
  <si>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</si>
  <si>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</si>
  <si>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</si>
  <si>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</si>
  <si>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</si>
  <si>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</si>
  <si>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</si>
  <si>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</si>
  <si>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</si>
  <si>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</si>
  <si>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</si>
  <si>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</si>
  <si>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</si>
  <si>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</si>
  <si>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</si>
  <si>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</si>
  <si>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</si>
  <si>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</si>
  <si>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</si>
  <si>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</si>
  <si>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</si>
  <si>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</si>
  <si>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</si>
  <si>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</si>
  <si>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</si>
  <si>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</si>
  <si>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</si>
  <si>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</si>
  <si>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</si>
  <si>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</si>
  <si>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</si>
  <si>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</si>
  <si>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</si>
  <si>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</si>
  <si>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</si>
  <si>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</si>
  <si>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</si>
  <si>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</si>
  <si>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</si>
  <si>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</si>
  <si>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</si>
  <si>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</si>
  <si>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</si>
  <si>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</si>
  <si>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</si>
  <si>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</si>
  <si>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</si>
  <si>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</si>
  <si>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</si>
  <si>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</si>
  <si>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</si>
  <si>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</si>
  <si>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</si>
  <si>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</si>
  <si>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</si>
  <si>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</si>
  <si>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</si>
  <si>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</si>
  <si>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</si>
  <si>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</si>
  <si>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</si>
  <si>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</si>
  <si>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</si>
  <si>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</si>
  <si>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</si>
  <si>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</si>
  <si>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</si>
  <si>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</si>
  <si>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</si>
  <si>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</si>
  <si>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</si>
  <si>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</si>
  <si>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</si>
  <si>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</si>
  <si>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</si>
  <si>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</si>
  <si>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</si>
  <si>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</si>
  <si>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</si>
  <si>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</si>
  <si>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</si>
  <si>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</si>
  <si>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</si>
  <si>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</si>
  <si>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</si>
  <si>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</si>
  <si>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</si>
  <si>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</si>
  <si>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</si>
  <si>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</si>
  <si>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</si>
  <si>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</si>
  <si>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</si>
  <si>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</si>
  <si>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</si>
  <si>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</si>
  <si>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</si>
  <si>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</si>
  <si>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</si>
  <si>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</si>
  <si>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</si>
  <si>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</si>
  <si>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</si>
  <si>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</si>
  <si>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</si>
  <si>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</si>
  <si>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</si>
  <si>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</si>
  <si>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</si>
  <si>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</si>
  <si>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</si>
  <si>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</si>
  <si>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</si>
  <si>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</si>
  <si>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</si>
  <si>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</si>
  <si>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</si>
  <si>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</si>
  <si>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</si>
  <si>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</si>
  <si>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</si>
  <si>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</si>
  <si>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</si>
  <si>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</si>
  <si>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</si>
  <si>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</si>
  <si>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</si>
  <si>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</si>
  <si>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</si>
  <si>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</si>
  <si>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</si>
  <si>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</si>
  <si>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</si>
  <si>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</si>
  <si>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</si>
  <si>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</si>
  <si>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</si>
  <si>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</si>
  <si>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</si>
  <si>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</si>
  <si>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</si>
  <si>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</si>
  <si>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</si>
  <si>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</si>
  <si>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</si>
  <si>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</si>
  <si>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</si>
  <si>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</si>
  <si>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</si>
  <si>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</si>
  <si>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</si>
  <si>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</si>
  <si>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</si>
  <si>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</si>
  <si>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</si>
  <si>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</si>
  <si>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</si>
  <si>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</si>
  <si>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</si>
  <si>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</si>
  <si>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</si>
  <si>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</si>
  <si>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</si>
  <si>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</si>
  <si>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</si>
  <si>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</si>
  <si>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</si>
  <si>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</si>
  <si>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</si>
  <si>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</si>
  <si>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</si>
  <si>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</si>
  <si>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</si>
  <si>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</si>
  <si>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</si>
  <si>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</si>
  <si>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</si>
  <si>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</si>
  <si>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</si>
  <si>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</si>
  <si>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</si>
  <si>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</si>
  <si>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</si>
  <si>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</si>
  <si>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</si>
  <si>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</si>
  <si>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</si>
  <si>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</si>
  <si>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</si>
  <si>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</si>
  <si>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</si>
  <si>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</si>
  <si>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</si>
  <si>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</si>
  <si>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</si>
  <si>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</si>
  <si>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</si>
  <si>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</si>
  <si>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</si>
  <si>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</si>
  <si>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</si>
  <si>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</si>
  <si>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</si>
  <si>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</si>
  <si>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</si>
  <si>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</si>
  <si>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</si>
  <si>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</si>
  <si>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</si>
  <si>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</si>
  <si>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</si>
  <si>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</si>
  <si>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</si>
  <si>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</si>
  <si>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</si>
  <si>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</si>
  <si>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</si>
  <si>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</si>
  <si>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</si>
  <si>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</si>
  <si>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</si>
  <si>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</si>
  <si>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</si>
  <si>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</si>
  <si>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</si>
  <si>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</si>
  <si>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</si>
  <si>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</si>
  <si>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</si>
  <si>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</si>
  <si>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</si>
  <si>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</si>
  <si>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</si>
  <si>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</si>
  <si>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</si>
  <si>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</si>
  <si>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</si>
  <si>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</si>
  <si>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</si>
  <si>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</si>
  <si>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</si>
  <si>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</si>
  <si>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</si>
  <si>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</si>
  <si>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</si>
  <si>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</si>
  <si>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</si>
  <si>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</si>
  <si>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</si>
  <si>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</si>
  <si>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</si>
  <si>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</si>
  <si>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</si>
  <si>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</si>
  <si>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</si>
  <si>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</si>
  <si>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</si>
  <si>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</si>
  <si>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</si>
  <si>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</si>
  <si>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</si>
  <si>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</si>
  <si>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</si>
  <si>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</si>
  <si>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</si>
  <si>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</si>
  <si>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</si>
  <si>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</si>
  <si>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</si>
  <si>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</si>
  <si>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</si>
  <si>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</si>
  <si>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</si>
  <si>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</si>
  <si>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</si>
  <si>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</si>
  <si>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</si>
  <si>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</si>
  <si>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</si>
  <si>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</si>
  <si>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</si>
  <si>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</si>
  <si>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</si>
  <si>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</si>
  <si>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</si>
  <si>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</si>
  <si>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</si>
  <si>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</si>
  <si>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</si>
  <si>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</si>
  <si>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</si>
  <si>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</si>
  <si>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</si>
  <si>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</si>
  <si>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</si>
  <si>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</si>
  <si>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</si>
  <si>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</si>
  <si>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</si>
  <si>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</si>
  <si>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</si>
  <si>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</si>
  <si>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</si>
  <si>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</si>
  <si>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</si>
  <si>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</si>
  <si>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</si>
  <si>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</si>
  <si>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</si>
  <si>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</si>
  <si>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</si>
  <si>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</si>
  <si>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</si>
  <si>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</si>
  <si>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</si>
  <si>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</si>
  <si>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</si>
  <si>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</si>
  <si>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</si>
  <si>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</si>
  <si>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</si>
  <si>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</si>
  <si>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</si>
  <si>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</si>
  <si>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</si>
  <si>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</si>
  <si>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</si>
  <si>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</si>
  <si>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</si>
  <si>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</si>
  <si>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</si>
  <si>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</si>
  <si>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</si>
  <si>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</si>
  <si>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</si>
  <si>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</si>
  <si>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</si>
  <si>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</si>
  <si>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</si>
  <si>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</si>
  <si>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</si>
  <si>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</si>
  <si>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</si>
  <si>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</si>
  <si>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</si>
  <si>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</si>
  <si>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</si>
  <si>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</si>
  <si>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</si>
  <si>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</si>
  <si>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</si>
  <si>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</si>
  <si>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</si>
  <si>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</si>
  <si>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</si>
  <si>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</si>
  <si>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</si>
  <si>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</si>
  <si>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</si>
  <si>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</si>
  <si>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</si>
  <si>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</si>
  <si>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</si>
  <si>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</si>
  <si>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</si>
  <si>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</si>
  <si>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</si>
  <si>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</si>
  <si>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</si>
  <si>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</si>
  <si>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</si>
  <si>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</si>
  <si>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</si>
  <si>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</si>
  <si>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</si>
  <si>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</si>
  <si>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</si>
  <si>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</si>
  <si>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</si>
  <si>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</si>
  <si>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</si>
  <si>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</si>
  <si>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</si>
  <si>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</si>
  <si>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</si>
  <si>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</si>
  <si>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</si>
  <si>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</si>
  <si>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</si>
  <si>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Aux 6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</si>
  <si>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</si>
  <si>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</si>
  <si>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</si>
  <si>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</si>
  <si>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</si>
  <si>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</si>
  <si>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</si>
  <si>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</si>
  <si>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</si>
  <si>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</si>
  <si>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</si>
  <si>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</si>
  <si>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</si>
  <si>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</si>
  <si>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</si>
  <si>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</si>
  <si>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</si>
  <si>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</si>
  <si>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</si>
  <si>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</si>
  <si>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</si>
  <si>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</si>
  <si>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</si>
  <si>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</si>
  <si>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</si>
  <si>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</si>
  <si>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</si>
  <si>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</si>
  <si>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</si>
  <si>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Viene de TX?</t>
  </si>
  <si>
    <t>Stereo Out R</t>
  </si>
  <si>
    <t>Bal In R</t>
  </si>
  <si>
    <t>Audio Out 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</si>
  <si>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</si>
  <si>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</si>
  <si>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</si>
  <si>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</si>
  <si>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</si>
  <si>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</si>
  <si>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</si>
  <si>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</si>
  <si>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</si>
  <si>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</si>
  <si>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</si>
  <si>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</si>
  <si>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</si>
  <si>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</si>
  <si>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</si>
  <si>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</si>
  <si>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</si>
  <si>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</si>
  <si>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</si>
  <si>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</si>
  <si>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</si>
  <si>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</si>
  <si>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</si>
  <si>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</si>
  <si>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</si>
  <si>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</si>
  <si>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</si>
  <si>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</si>
  <si>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</si>
  <si>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</si>
  <si>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</si>
  <si>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</si>
  <si>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</si>
  <si>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</si>
  <si>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</si>
  <si>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</si>
  <si>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</si>
  <si>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</si>
  <si>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</si>
  <si>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</si>
  <si>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</si>
  <si>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</si>
  <si>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</si>
  <si>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</si>
  <si>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</si>
  <si>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</si>
  <si>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</si>
  <si>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</si>
  <si>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</si>
  <si>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</si>
  <si>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</si>
  <si>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</si>
  <si>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</si>
  <si>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</si>
  <si>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</si>
  <si>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</si>
  <si>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</si>
  <si>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</si>
  <si>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</si>
  <si>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</si>
  <si>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</si>
  <si>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</si>
  <si>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</si>
  <si>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</si>
  <si>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</si>
  <si>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</si>
  <si>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</si>
  <si>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</si>
  <si>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</si>
  <si>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</si>
  <si>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</si>
  <si>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</si>
  <si>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</si>
  <si>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</si>
  <si>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</si>
  <si>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</si>
  <si>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</si>
  <si>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</si>
  <si>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</si>
  <si>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</si>
  <si>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</si>
  <si>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</si>
  <si>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</si>
  <si>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</si>
  <si>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</si>
  <si>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</si>
  <si>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</si>
  <si>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</si>
  <si>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</si>
  <si>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</si>
  <si>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</si>
  <si>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</si>
  <si>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</si>
  <si>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</si>
  <si>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</si>
  <si>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</si>
  <si>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</si>
  <si>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</si>
  <si>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</si>
  <si>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</si>
  <si>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</si>
  <si>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</si>
  <si>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</si>
  <si>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</si>
  <si>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Mixer Audio TX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</si>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</sst>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184</v>
      </c>
      <c r="B71" s="7" t="str">
        <f>IF(A71="","",VLOOKUP(A71,DB!A:B,2,0))</f>
        <v>openGear X</v>
      </c>
      <c r="C71" s="11">
        <v>2.0</v>
      </c>
      <c r="D71" s="11" t="s">
        <v>195</v>
      </c>
      <c r="E71" s="11" t="s">
        <v>196</v>
      </c>
      <c r="F71" s="11" t="s">
        <v>197</v>
      </c>
      <c r="G71" s="11" t="s">
        <v>106</v>
      </c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199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200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201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202</v>
      </c>
      <c r="B73" s="9" t="str">
        <f>IF(A73="","",VLOOKUP(A73,DB!A:B,2,0))</f>
        <v>Telairity BE-IRD 5503</v>
      </c>
      <c r="C73" s="9"/>
      <c r="D73" s="9"/>
      <c r="E73" s="9" t="s">
        <v>203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204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205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205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205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205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205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200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200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200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200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88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197</v>
      </c>
      <c r="G91" s="6" t="s">
        <v>243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244</v>
      </c>
      <c r="M91" s="6" t="s">
        <v>245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197</v>
      </c>
      <c r="G92" s="6" t="s">
        <v>243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246</v>
      </c>
      <c r="M92" s="6" t="s">
        <v>247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197</v>
      </c>
      <c r="G93" s="6" t="s">
        <v>243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248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249</v>
      </c>
      <c r="M94" s="6" t="s">
        <v>250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251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252</v>
      </c>
      <c r="M95" s="6" t="s">
        <v>253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254</v>
      </c>
      <c r="M96" s="6" t="s">
        <v>255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256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257</v>
      </c>
      <c r="B98" s="6" t="str">
        <f>IF(A98="","",VLOOKUP(A98,DB!A:B,2,0))</f>
        <v>Apple TV</v>
      </c>
      <c r="C98" s="5"/>
      <c r="D98" s="5"/>
      <c r="E98" s="6" t="s">
        <v>258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259</v>
      </c>
      <c r="M98" s="6" t="s">
        <v>260</v>
      </c>
      <c r="N98" s="5"/>
      <c r="O98" s="6" t="s">
        <v>261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262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263</v>
      </c>
      <c r="M99" s="6" t="s">
        <v>264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262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265</v>
      </c>
      <c r="M100" s="6" t="s">
        <v>266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262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267</v>
      </c>
      <c r="M101" s="6" t="s">
        <v>268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262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269</v>
      </c>
      <c r="M102" s="6" t="s">
        <v>270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262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271</v>
      </c>
      <c r="M103" s="6" t="s">
        <v>272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262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273</v>
      </c>
      <c r="M104" s="6" t="s">
        <v>274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262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275</v>
      </c>
      <c r="M105" s="6" t="s">
        <v>276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277</v>
      </c>
      <c r="B106" s="6" t="str">
        <f>IF(A106="","",VLOOKUP(A106,DB!A:B,2,0))</f>
        <v>Sony HXCU-100 Cam 1</v>
      </c>
      <c r="C106" s="5"/>
      <c r="D106" s="5"/>
      <c r="E106" s="6" t="s">
        <v>200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278</v>
      </c>
      <c r="M106" s="6" t="s">
        <v>279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280</v>
      </c>
      <c r="B107" s="6" t="str">
        <f>IF(A107="","",VLOOKUP(A107,DB!A:B,2,0))</f>
        <v>Sony HXCU-100 Cam 2</v>
      </c>
      <c r="C107" s="5"/>
      <c r="D107" s="5"/>
      <c r="E107" s="6" t="s">
        <v>200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281</v>
      </c>
      <c r="M107" s="6" t="s">
        <v>282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283</v>
      </c>
      <c r="B108" s="6" t="str">
        <f>IF(A108="","",VLOOKUP(A108,DB!A:B,2,0))</f>
        <v>Sony HXCU-100 Cam 3</v>
      </c>
      <c r="C108" s="5"/>
      <c r="D108" s="5"/>
      <c r="E108" s="6" t="s">
        <v>200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284</v>
      </c>
      <c r="M108" s="6" t="s">
        <v>285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286</v>
      </c>
      <c r="B109" s="6" t="str">
        <f>IF(A109="","",VLOOKUP(A109,DB!A:B,2,0))</f>
        <v>Sony HXCU-100 Cam 4</v>
      </c>
      <c r="C109" s="5"/>
      <c r="D109" s="5"/>
      <c r="E109" s="6" t="s">
        <v>200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287</v>
      </c>
      <c r="M109" s="6" t="s">
        <v>288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289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290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291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292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293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294</v>
      </c>
      <c r="M115" s="6" t="s">
        <v>88</v>
      </c>
      <c r="N115" s="6" t="s">
        <v>295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296</v>
      </c>
      <c r="M116" s="6" t="s">
        <v>88</v>
      </c>
      <c r="N116" s="6" t="s">
        <v>295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297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298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299</v>
      </c>
      <c r="M118" s="6" t="s">
        <v>300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301</v>
      </c>
      <c r="M119" s="6" t="s">
        <v>302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303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304</v>
      </c>
      <c r="M120" s="6" t="s">
        <v>305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306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200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307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308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309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310</v>
      </c>
      <c r="M124" s="6" t="s">
        <v>311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312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313</v>
      </c>
      <c r="M125" s="6" t="s">
        <v>314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315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316</v>
      </c>
      <c r="E127" s="6" t="s">
        <v>317</v>
      </c>
      <c r="F127" s="6" t="s">
        <v>197</v>
      </c>
      <c r="G127" s="6" t="s">
        <v>318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319</v>
      </c>
      <c r="M127" s="6" t="s">
        <v>320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321</v>
      </c>
      <c r="M128" s="6" t="s">
        <v>322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323</v>
      </c>
      <c r="M129" s="6" t="s">
        <v>324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325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326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327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328</v>
      </c>
      <c r="L136" s="6" t="s">
        <v>106</v>
      </c>
      <c r="M136" s="6" t="s">
        <v>329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328</v>
      </c>
      <c r="L137" s="6" t="s">
        <v>106</v>
      </c>
      <c r="M137" s="6" t="s">
        <v>330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328</v>
      </c>
      <c r="L138" s="6" t="s">
        <v>106</v>
      </c>
      <c r="M138" s="6" t="s">
        <v>331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328</v>
      </c>
      <c r="L139" s="6" t="s">
        <v>106</v>
      </c>
      <c r="M139" s="6" t="s">
        <v>332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333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334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335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336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337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338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339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340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262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262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262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262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262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262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262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262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262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341</v>
      </c>
      <c r="I168" s="5" t="str">
        <f>IF(H168="","",VLOOKUP(H168,DB!A:B,2,0))</f>
        <v>Monitor Pvw TX</v>
      </c>
      <c r="J168" s="5"/>
      <c r="K168" s="6"/>
      <c r="L168" s="6" t="s">
        <v>243</v>
      </c>
      <c r="M168" s="5"/>
      <c r="N168" s="5"/>
      <c r="O168" s="6" t="s">
        <v>342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343</v>
      </c>
      <c r="I170" s="5" t="str">
        <f>IF(H170="","",VLOOKUP(H170,DB!A:B,2,0))</f>
        <v>Monitor Linea TX</v>
      </c>
      <c r="J170" s="5"/>
      <c r="K170" s="6"/>
      <c r="L170" s="6" t="s">
        <v>243</v>
      </c>
      <c r="M170" s="5"/>
      <c r="N170" s="5"/>
      <c r="O170" s="6" t="s">
        <v>342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344</v>
      </c>
      <c r="I171" s="5" t="str">
        <f>IF(H171="","",VLOOKUP(H171,DB!A:B,2,0))</f>
        <v>Monitor MV TX</v>
      </c>
      <c r="J171" s="5"/>
      <c r="K171" s="6"/>
      <c r="L171" s="6" t="s">
        <v>243</v>
      </c>
      <c r="M171" s="5"/>
      <c r="N171" s="5"/>
      <c r="O171" s="6" t="s">
        <v>342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345</v>
      </c>
      <c r="I172" s="5" t="str">
        <f>IF(H172="","",VLOOKUP(H172,DB!A:B,2,0))</f>
        <v>Monitor Sonidista</v>
      </c>
      <c r="J172" s="5"/>
      <c r="K172" s="6"/>
      <c r="L172" s="6" t="s">
        <v>243</v>
      </c>
      <c r="M172" s="5"/>
      <c r="N172" s="5"/>
      <c r="O172" s="6" t="s">
        <v>342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346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347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348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349</v>
      </c>
      <c r="I180" s="5" t="str">
        <f>IF(H180="","",VLOOKUP(H180,DB!A:B,2,0))</f>
        <v>Monitor Titulos</v>
      </c>
      <c r="J180" s="5"/>
      <c r="K180" s="6"/>
      <c r="L180" s="6" t="s">
        <v>243</v>
      </c>
      <c r="M180" s="5"/>
      <c r="N180" s="5"/>
      <c r="O180" s="6" t="s">
        <v>342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350</v>
      </c>
      <c r="I181" s="5" t="str">
        <f>IF(H181="","",VLOOKUP(H181,DB!A:B,2,0))</f>
        <v>Monitor Iluminador</v>
      </c>
      <c r="J181" s="5"/>
      <c r="K181" s="6"/>
      <c r="L181" s="6" t="s">
        <v>243</v>
      </c>
      <c r="M181" s="5"/>
      <c r="N181" s="5"/>
      <c r="O181" s="6" t="s">
        <v>342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351</v>
      </c>
      <c r="I182" s="5" t="str">
        <f>IF(H182="","",VLOOKUP(H182,DB!A:B,2,0))</f>
        <v>Monitor Piso</v>
      </c>
      <c r="J182" s="5"/>
      <c r="K182" s="6"/>
      <c r="L182" s="6" t="s">
        <v>243</v>
      </c>
      <c r="M182" s="5"/>
      <c r="N182" s="5"/>
      <c r="O182" s="6" t="s">
        <v>342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203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203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316</v>
      </c>
      <c r="L185" s="6" t="s">
        <v>318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328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328</v>
      </c>
      <c r="E187" s="6" t="s">
        <v>352</v>
      </c>
      <c r="F187" s="6" t="s">
        <v>197</v>
      </c>
      <c r="G187" s="6" t="s">
        <v>106</v>
      </c>
      <c r="H187" s="6" t="s">
        <v>353</v>
      </c>
      <c r="I187" s="5" t="str">
        <f>IF(H187="","",VLOOKUP(H187,DB!A:B,2,0))</f>
        <v>Yamaha QL5</v>
      </c>
      <c r="J187" s="5"/>
      <c r="K187" s="6"/>
      <c r="L187" s="6" t="s">
        <v>354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328</v>
      </c>
      <c r="E188" s="6" t="s">
        <v>355</v>
      </c>
      <c r="F188" s="6" t="s">
        <v>197</v>
      </c>
      <c r="G188" s="6" t="s">
        <v>106</v>
      </c>
      <c r="H188" s="6" t="s">
        <v>353</v>
      </c>
      <c r="I188" s="5" t="str">
        <f>IF(H188="","",VLOOKUP(H188,DB!A:B,2,0))</f>
        <v>Yamaha QL5</v>
      </c>
      <c r="J188" s="5"/>
      <c r="K188" s="6"/>
      <c r="L188" s="6" t="s">
        <v>356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328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328</v>
      </c>
      <c r="E190" s="6" t="s">
        <v>352</v>
      </c>
      <c r="F190" s="6" t="s">
        <v>197</v>
      </c>
      <c r="G190" s="6" t="s">
        <v>106</v>
      </c>
      <c r="H190" s="6" t="s">
        <v>353</v>
      </c>
      <c r="I190" s="5" t="str">
        <f>IF(H190="","",VLOOKUP(H190,DB!A:B,2,0))</f>
        <v>Yamaha QL5</v>
      </c>
      <c r="J190" s="5"/>
      <c r="K190" s="6"/>
      <c r="L190" s="6" t="s">
        <v>357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328</v>
      </c>
      <c r="E191" s="6" t="s">
        <v>355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328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328</v>
      </c>
      <c r="E193" s="6" t="s">
        <v>352</v>
      </c>
      <c r="F193" s="6" t="s">
        <v>197</v>
      </c>
      <c r="G193" s="6" t="s">
        <v>106</v>
      </c>
      <c r="H193" s="6" t="s">
        <v>353</v>
      </c>
      <c r="I193" s="5" t="str">
        <f>IF(H193="","",VLOOKUP(H193,DB!A:B,2,0))</f>
        <v>Yamaha QL5</v>
      </c>
      <c r="J193" s="5"/>
      <c r="K193" s="6"/>
      <c r="L193" s="6" t="s">
        <v>358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328</v>
      </c>
      <c r="E194" s="6" t="s">
        <v>355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328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328</v>
      </c>
      <c r="E196" s="6" t="s">
        <v>352</v>
      </c>
      <c r="F196" s="6" t="s">
        <v>197</v>
      </c>
      <c r="G196" s="6" t="s">
        <v>106</v>
      </c>
      <c r="H196" s="6" t="s">
        <v>353</v>
      </c>
      <c r="I196" s="5" t="str">
        <f>IF(H196="","",VLOOKUP(H196,DB!A:B,2,0))</f>
        <v>Yamaha QL5</v>
      </c>
      <c r="J196" s="5"/>
      <c r="K196" s="6"/>
      <c r="L196" s="6" t="s">
        <v>359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328</v>
      </c>
      <c r="E197" s="6" t="s">
        <v>355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328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328</v>
      </c>
      <c r="E199" s="6" t="s">
        <v>352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328</v>
      </c>
      <c r="E200" s="6" t="s">
        <v>355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360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361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362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361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363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364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317</v>
      </c>
      <c r="F205" s="6" t="s">
        <v>197</v>
      </c>
      <c r="G205" s="6" t="s">
        <v>318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365</v>
      </c>
      <c r="F206" s="6" t="s">
        <v>197</v>
      </c>
      <c r="G206" s="6" t="s">
        <v>318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366</v>
      </c>
      <c r="F207" s="6" t="s">
        <v>197</v>
      </c>
      <c r="G207" s="6" t="s">
        <v>318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367</v>
      </c>
      <c r="F208" s="6" t="s">
        <v>197</v>
      </c>
      <c r="G208" s="6" t="s">
        <v>318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368</v>
      </c>
      <c r="B209" s="6" t="str">
        <f>IF(A209="","",VLOOKUP(A209,DB!A:B,2,0))</f>
        <v>Cisco D9865</v>
      </c>
      <c r="C209" s="5"/>
      <c r="D209" s="5"/>
      <c r="E209" s="6" t="s">
        <v>228</v>
      </c>
      <c r="F209" s="5"/>
      <c r="G209" s="5"/>
      <c r="H209" s="6" t="s">
        <v>224</v>
      </c>
      <c r="I209" s="5" t="str">
        <f>IF(H209="","",VLOOKUP(H209,DB!A:B,2,0))</f>
        <v>AJA FS2</v>
      </c>
      <c r="J209" s="5"/>
      <c r="K209" s="6"/>
      <c r="L209" s="6" t="s">
        <v>369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328</v>
      </c>
      <c r="E210" s="6" t="s">
        <v>196</v>
      </c>
      <c r="F210" s="6" t="s">
        <v>197</v>
      </c>
      <c r="G210" s="6" t="s">
        <v>106</v>
      </c>
      <c r="H210" s="6" t="s">
        <v>224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316</v>
      </c>
      <c r="E211" s="6" t="s">
        <v>365</v>
      </c>
      <c r="F211" s="6" t="s">
        <v>197</v>
      </c>
      <c r="G211" s="6" t="s">
        <v>318</v>
      </c>
      <c r="H211" s="6" t="s">
        <v>205</v>
      </c>
      <c r="I211" s="5" t="str">
        <f>IF(H211="","",VLOOKUP(H211,DB!A:B,2,0))</f>
        <v>openGear X</v>
      </c>
      <c r="J211" s="6">
        <v>1.0</v>
      </c>
      <c r="K211" s="6" t="s">
        <v>316</v>
      </c>
      <c r="L211" s="6" t="s">
        <v>318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316</v>
      </c>
      <c r="E212" s="6" t="s">
        <v>370</v>
      </c>
      <c r="F212" s="6" t="s">
        <v>197</v>
      </c>
      <c r="G212" s="6" t="s">
        <v>318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316</v>
      </c>
      <c r="E213" s="6" t="s">
        <v>360</v>
      </c>
      <c r="F213" s="6" t="s">
        <v>197</v>
      </c>
      <c r="G213" s="6" t="s">
        <v>318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316</v>
      </c>
      <c r="E214" s="6" t="s">
        <v>362</v>
      </c>
      <c r="F214" s="6" t="s">
        <v>197</v>
      </c>
      <c r="G214" s="6" t="s">
        <v>318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316</v>
      </c>
      <c r="E215" s="6" t="s">
        <v>366</v>
      </c>
      <c r="F215" s="6" t="s">
        <v>197</v>
      </c>
      <c r="G215" s="6" t="s">
        <v>318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316</v>
      </c>
      <c r="E216" s="6" t="s">
        <v>363</v>
      </c>
      <c r="F216" s="6" t="s">
        <v>197</v>
      </c>
      <c r="G216" s="6" t="s">
        <v>318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316</v>
      </c>
      <c r="E217" s="6" t="s">
        <v>367</v>
      </c>
      <c r="F217" s="6" t="s">
        <v>197</v>
      </c>
      <c r="G217" s="6" t="s">
        <v>318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316</v>
      </c>
      <c r="E218" s="6" t="s">
        <v>364</v>
      </c>
      <c r="F218" s="6" t="s">
        <v>197</v>
      </c>
      <c r="G218" s="6" t="s">
        <v>318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371</v>
      </c>
      <c r="B219" s="6" t="str">
        <f>IF(A219="","",VLOOKUP(A219,DB!A:B,2,0))</f>
        <v>Raspberry PI 1</v>
      </c>
      <c r="C219" s="5"/>
      <c r="D219" s="6"/>
      <c r="E219" s="6" t="s">
        <v>258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242</v>
      </c>
      <c r="L219" s="6" t="s">
        <v>243</v>
      </c>
      <c r="M219" s="5"/>
      <c r="N219" s="6" t="s">
        <v>372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373</v>
      </c>
      <c r="B220" s="6" t="str">
        <f>IF(A220="","",VLOOKUP(A220,DB!A:B,2,0))</f>
        <v>Raspberry PI 2</v>
      </c>
      <c r="C220" s="5"/>
      <c r="D220" s="6"/>
      <c r="E220" s="6" t="s">
        <v>258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242</v>
      </c>
      <c r="L220" s="6" t="s">
        <v>243</v>
      </c>
      <c r="M220" s="5"/>
      <c r="N220" s="6" t="s">
        <v>374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375</v>
      </c>
      <c r="B221" s="6" t="str">
        <f>IF(A221="","",VLOOKUP(A221,DB!A:B,2,0))</f>
        <v>Deco Direccion</v>
      </c>
      <c r="C221" s="5"/>
      <c r="D221" s="5"/>
      <c r="E221" s="6" t="s">
        <v>258</v>
      </c>
      <c r="F221" s="5"/>
      <c r="G221" s="5"/>
      <c r="H221" s="6" t="s">
        <v>262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261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376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377</v>
      </c>
      <c r="F222" s="5"/>
      <c r="G222" s="5"/>
      <c r="H222" s="6" t="s">
        <v>262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277</v>
      </c>
      <c r="B223" s="6" t="str">
        <f>IF(A223="","",VLOOKUP(A223,DB!A:B,2,0))</f>
        <v>Sony HXCU-100 Cam 1</v>
      </c>
      <c r="C223" s="5"/>
      <c r="D223" s="5"/>
      <c r="E223" s="6" t="s">
        <v>203</v>
      </c>
      <c r="F223" s="5"/>
      <c r="G223" s="5"/>
      <c r="H223" s="6" t="s">
        <v>251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277</v>
      </c>
      <c r="B224" s="6" t="str">
        <f>IF(A224="","",VLOOKUP(A224,DB!A:B,2,0))</f>
        <v>Sony HXCU-100 Cam 1</v>
      </c>
      <c r="C224" s="5"/>
      <c r="D224" s="5"/>
      <c r="E224" s="6" t="s">
        <v>309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280</v>
      </c>
      <c r="B225" s="6" t="str">
        <f>IF(A225="","",VLOOKUP(A225,DB!A:B,2,0))</f>
        <v>Sony HXCU-100 Cam 2</v>
      </c>
      <c r="C225" s="5"/>
      <c r="D225" s="5"/>
      <c r="E225" s="6" t="s">
        <v>203</v>
      </c>
      <c r="F225" s="5"/>
      <c r="G225" s="5"/>
      <c r="H225" s="6" t="s">
        <v>251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280</v>
      </c>
      <c r="B226" s="6" t="str">
        <f>IF(A226="","",VLOOKUP(A226,DB!A:B,2,0))</f>
        <v>Sony HXCU-100 Cam 2</v>
      </c>
      <c r="C226" s="5"/>
      <c r="D226" s="5"/>
      <c r="E226" s="6" t="s">
        <v>309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283</v>
      </c>
      <c r="B227" s="6" t="str">
        <f>IF(A227="","",VLOOKUP(A227,DB!A:B,2,0))</f>
        <v>Sony HXCU-100 Cam 3</v>
      </c>
      <c r="C227" s="5"/>
      <c r="D227" s="5"/>
      <c r="E227" s="6" t="s">
        <v>203</v>
      </c>
      <c r="F227" s="5"/>
      <c r="G227" s="5"/>
      <c r="H227" s="6" t="s">
        <v>251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283</v>
      </c>
      <c r="B228" s="6" t="str">
        <f>IF(A228="","",VLOOKUP(A228,DB!A:B,2,0))</f>
        <v>Sony HXCU-100 Cam 3</v>
      </c>
      <c r="C228" s="5"/>
      <c r="D228" s="5"/>
      <c r="E228" s="6" t="s">
        <v>309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286</v>
      </c>
      <c r="B229" s="6" t="str">
        <f>IF(A229="","",VLOOKUP(A229,DB!A:B,2,0))</f>
        <v>Sony HXCU-100 Cam 4</v>
      </c>
      <c r="C229" s="5"/>
      <c r="D229" s="5"/>
      <c r="E229" s="6" t="s">
        <v>203</v>
      </c>
      <c r="F229" s="5"/>
      <c r="G229" s="5"/>
      <c r="H229" s="6" t="s">
        <v>251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286</v>
      </c>
      <c r="B230" s="6" t="str">
        <f>IF(A230="","",VLOOKUP(A230,DB!A:B,2,0))</f>
        <v>Sony HXCU-100 Cam 4</v>
      </c>
      <c r="C230" s="5"/>
      <c r="D230" s="5"/>
      <c r="E230" s="6" t="s">
        <v>309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378</v>
      </c>
      <c r="F231" s="5"/>
      <c r="G231" s="5"/>
      <c r="H231" s="6" t="s">
        <v>379</v>
      </c>
      <c r="I231" s="5" t="str">
        <f>IF(H231="","",VLOOKUP(H231,DB!A:B,2,0))</f>
        <v>Monitor Director 2</v>
      </c>
      <c r="J231" s="5"/>
      <c r="K231" s="6"/>
      <c r="L231" s="6" t="s">
        <v>243</v>
      </c>
      <c r="M231" s="5"/>
      <c r="N231" s="5"/>
      <c r="O231" s="6" t="s">
        <v>342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380</v>
      </c>
      <c r="F232" s="5"/>
      <c r="G232" s="5"/>
      <c r="H232" s="6" t="s">
        <v>381</v>
      </c>
      <c r="I232" s="5" t="str">
        <f>IF(H232="","",VLOOKUP(H232,DB!A:B,2,0))</f>
        <v>PC Pantalla</v>
      </c>
      <c r="J232" s="5"/>
      <c r="K232" s="6"/>
      <c r="L232" s="6" t="s">
        <v>243</v>
      </c>
      <c r="M232" s="5"/>
      <c r="N232" s="5"/>
      <c r="O232" s="6" t="s">
        <v>382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383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383</v>
      </c>
      <c r="B234" s="6" t="str">
        <f>IF(A234="","",VLOOKUP(A234,DB!A:B,2,0))</f>
        <v>AJA HD5DA</v>
      </c>
      <c r="C234" s="5"/>
      <c r="D234" s="5"/>
      <c r="E234" s="6" t="s">
        <v>200</v>
      </c>
      <c r="F234" s="6" t="s">
        <v>197</v>
      </c>
      <c r="G234" s="6" t="s">
        <v>106</v>
      </c>
      <c r="H234" s="6" t="s">
        <v>277</v>
      </c>
      <c r="I234" s="5" t="str">
        <f>IF(H234="","",VLOOKUP(H234,DB!A:B,2,0))</f>
        <v>Sony HXCU-100 Cam 1</v>
      </c>
      <c r="J234" s="5"/>
      <c r="K234" s="6"/>
      <c r="L234" s="6" t="s">
        <v>384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383</v>
      </c>
      <c r="B235" s="6" t="str">
        <f>IF(A235="","",VLOOKUP(A235,DB!A:B,2,0))</f>
        <v>AJA HD5DA</v>
      </c>
      <c r="C235" s="5"/>
      <c r="D235" s="5"/>
      <c r="E235" s="6" t="s">
        <v>203</v>
      </c>
      <c r="F235" s="6" t="s">
        <v>197</v>
      </c>
      <c r="G235" s="6" t="s">
        <v>106</v>
      </c>
      <c r="H235" s="6" t="s">
        <v>280</v>
      </c>
      <c r="I235" s="5" t="str">
        <f>IF(H235="","",VLOOKUP(H235,DB!A:B,2,0))</f>
        <v>Sony HXCU-100 Cam 2</v>
      </c>
      <c r="J235" s="5"/>
      <c r="K235" s="6"/>
      <c r="L235" s="6" t="s">
        <v>384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383</v>
      </c>
      <c r="B236" s="6" t="str">
        <f>IF(A236="","",VLOOKUP(A236,DB!A:B,2,0))</f>
        <v>AJA HD5DA</v>
      </c>
      <c r="C236" s="5"/>
      <c r="D236" s="5"/>
      <c r="E236" s="6" t="s">
        <v>309</v>
      </c>
      <c r="F236" s="6" t="s">
        <v>197</v>
      </c>
      <c r="G236" s="6" t="s">
        <v>106</v>
      </c>
      <c r="H236" s="6" t="s">
        <v>283</v>
      </c>
      <c r="I236" s="5" t="str">
        <f>IF(H236="","",VLOOKUP(H236,DB!A:B,2,0))</f>
        <v>Sony HXCU-100 Cam 3</v>
      </c>
      <c r="J236" s="5"/>
      <c r="K236" s="6"/>
      <c r="L236" s="6" t="s">
        <v>384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383</v>
      </c>
      <c r="B237" s="6" t="str">
        <f>IF(A237="","",VLOOKUP(A237,DB!A:B,2,0))</f>
        <v>AJA HD5DA</v>
      </c>
      <c r="C237" s="5"/>
      <c r="D237" s="5"/>
      <c r="E237" s="6" t="s">
        <v>312</v>
      </c>
      <c r="F237" s="6" t="s">
        <v>197</v>
      </c>
      <c r="G237" s="6" t="s">
        <v>106</v>
      </c>
      <c r="H237" s="6" t="s">
        <v>286</v>
      </c>
      <c r="I237" s="5" t="str">
        <f>IF(H237="","",VLOOKUP(H237,DB!A:B,2,0))</f>
        <v>Sony HXCU-100 Cam 4</v>
      </c>
      <c r="J237" s="5"/>
      <c r="K237" s="6"/>
      <c r="L237" s="6" t="s">
        <v>384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385</v>
      </c>
      <c r="B238" s="6" t="str">
        <f>IF(A238="","",VLOOKUP(A238,DB!A:B,2,0))</f>
        <v>Patch Estudio</v>
      </c>
      <c r="C238" s="5"/>
      <c r="D238" s="5"/>
      <c r="E238" s="6" t="s">
        <v>386</v>
      </c>
      <c r="F238" s="5"/>
      <c r="G238" s="5"/>
      <c r="H238" s="6" t="s">
        <v>262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262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262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262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262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262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262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262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262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262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262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262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262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262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242</v>
      </c>
      <c r="L254" s="6" t="s">
        <v>243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224</v>
      </c>
      <c r="B255" s="6" t="str">
        <f>IF(A255="","",VLOOKUP(A255,DB!A:B,2,0))</f>
        <v>AJA FS2</v>
      </c>
      <c r="C255" s="5"/>
      <c r="D255" s="6"/>
      <c r="E255" s="6" t="s">
        <v>387</v>
      </c>
      <c r="F255" s="5"/>
      <c r="G255" s="5"/>
      <c r="H255" s="6" t="s">
        <v>388</v>
      </c>
      <c r="I255" s="5" t="str">
        <f>IF(H255="","",VLOOKUP(H255,DB!A:B,2,0))</f>
        <v>Digiwave DSC-131</v>
      </c>
      <c r="J255" s="6"/>
      <c r="K255" s="6"/>
      <c r="L255" s="6" t="s">
        <v>389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388</v>
      </c>
      <c r="B256" s="6" t="str">
        <f>IF(A256="","",VLOOKUP(A256,DB!A:B,2,0))</f>
        <v>Digiwave DSC-131</v>
      </c>
      <c r="C256" s="5"/>
      <c r="D256" s="6"/>
      <c r="E256" s="6" t="s">
        <v>390</v>
      </c>
      <c r="F256" s="5"/>
      <c r="G256" s="5"/>
      <c r="H256" s="6" t="s">
        <v>391</v>
      </c>
      <c r="I256" s="5" t="str">
        <f>IF(H256="","",VLOOKUP(H256,DB!A:B,2,0))</f>
        <v>vidicraft vst2110</v>
      </c>
      <c r="J256" s="6"/>
      <c r="K256" s="6"/>
      <c r="L256" s="6" t="s">
        <v>392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393</v>
      </c>
      <c r="B257" s="6" t="str">
        <f>IF(A257="","",VLOOKUP(A257,DB!A:B,2,0))</f>
        <v>tc electronic Finalizer</v>
      </c>
      <c r="C257" s="5"/>
      <c r="D257" s="6"/>
      <c r="E257" s="6" t="s">
        <v>394</v>
      </c>
      <c r="F257" s="5"/>
      <c r="G257" s="5"/>
      <c r="H257" s="6" t="s">
        <v>224</v>
      </c>
      <c r="I257" s="5" t="str">
        <f>IF(H257="","",VLOOKUP(H257,DB!A:B,2,0))</f>
        <v>AJA FS2</v>
      </c>
      <c r="J257" s="6"/>
      <c r="K257" s="6"/>
      <c r="L257" s="6" t="s">
        <v>395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393</v>
      </c>
      <c r="B258" s="6" t="str">
        <f>IF(A258="","",VLOOKUP(A258,DB!A:B,2,0))</f>
        <v>tc electronic Finalizer</v>
      </c>
      <c r="C258" s="5"/>
      <c r="D258" s="6"/>
      <c r="E258" s="6" t="s">
        <v>396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240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393</v>
      </c>
      <c r="B259" s="6" t="str">
        <f>IF(A259="","",VLOOKUP(A259,DB!A:B,2,0))</f>
        <v>tc electronic Finalizer</v>
      </c>
      <c r="C259" s="5"/>
      <c r="D259" s="6"/>
      <c r="E259" s="6" t="s">
        <v>397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240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398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399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398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399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398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399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398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399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398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399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398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399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398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400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398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401</v>
      </c>
      <c r="F268" s="5"/>
      <c r="G268" s="5"/>
      <c r="H268" s="6" t="s">
        <v>353</v>
      </c>
      <c r="I268" s="5" t="str">
        <f>IF(H268="","",VLOOKUP(H268,DB!A:B,2,0))</f>
        <v>Yamaha QL5</v>
      </c>
      <c r="J268" s="6"/>
      <c r="K268" s="6"/>
      <c r="L268" s="6" t="s">
        <v>402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205</v>
      </c>
      <c r="B269" s="6" t="str">
        <f>IF(A269="","",VLOOKUP(A269,DB!A:B,2,0))</f>
        <v>openGear X</v>
      </c>
      <c r="C269" s="6">
        <v>1.0</v>
      </c>
      <c r="D269" s="6" t="s">
        <v>316</v>
      </c>
      <c r="E269" s="6" t="s">
        <v>403</v>
      </c>
      <c r="F269" s="6" t="s">
        <v>197</v>
      </c>
      <c r="G269" s="6" t="s">
        <v>318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205</v>
      </c>
      <c r="B270" s="6" t="str">
        <f>IF(A270="","",VLOOKUP(A270,DB!A:B,2,0))</f>
        <v>openGear X</v>
      </c>
      <c r="C270" s="6">
        <v>1.0</v>
      </c>
      <c r="D270" s="6" t="s">
        <v>316</v>
      </c>
      <c r="E270" s="6" t="s">
        <v>404</v>
      </c>
      <c r="F270" s="6" t="s">
        <v>197</v>
      </c>
      <c r="G270" s="6" t="s">
        <v>318</v>
      </c>
      <c r="H270" s="6" t="s">
        <v>405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406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205</v>
      </c>
      <c r="B271" s="6" t="str">
        <f>IF(A271="","",VLOOKUP(A271,DB!A:B,2,0))</f>
        <v>openGear X</v>
      </c>
      <c r="C271" s="6">
        <v>1.0</v>
      </c>
      <c r="D271" s="6" t="s">
        <v>316</v>
      </c>
      <c r="E271" s="6" t="s">
        <v>407</v>
      </c>
      <c r="F271" s="6" t="s">
        <v>197</v>
      </c>
      <c r="G271" s="6" t="s">
        <v>318</v>
      </c>
      <c r="H271" s="6" t="s">
        <v>209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408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205</v>
      </c>
      <c r="B272" s="6" t="str">
        <f>IF(A272="","",VLOOKUP(A272,DB!A:B,2,0))</f>
        <v>openGear X</v>
      </c>
      <c r="C272" s="6">
        <v>1.0</v>
      </c>
      <c r="D272" s="6" t="s">
        <v>316</v>
      </c>
      <c r="E272" s="6" t="s">
        <v>409</v>
      </c>
      <c r="F272" s="6" t="s">
        <v>197</v>
      </c>
      <c r="G272" s="6" t="s">
        <v>318</v>
      </c>
      <c r="H272" s="6" t="s">
        <v>205</v>
      </c>
      <c r="I272" s="5" t="str">
        <f>IF(H272="","",VLOOKUP(H272,DB!A:B,2,0))</f>
        <v>openGear X</v>
      </c>
      <c r="J272" s="6">
        <v>3.0</v>
      </c>
      <c r="K272" s="14" t="s">
        <v>206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205</v>
      </c>
      <c r="B273" s="6" t="str">
        <f>IF(A273="","",VLOOKUP(A273,DB!A:B,2,0))</f>
        <v>openGear X</v>
      </c>
      <c r="C273" s="6">
        <v>1.0</v>
      </c>
      <c r="D273" s="6" t="s">
        <v>316</v>
      </c>
      <c r="E273" s="6" t="s">
        <v>410</v>
      </c>
      <c r="F273" s="6" t="s">
        <v>197</v>
      </c>
      <c r="G273" s="6" t="s">
        <v>318</v>
      </c>
      <c r="H273" s="6" t="s">
        <v>205</v>
      </c>
      <c r="I273" s="5" t="str">
        <f>IF(H273="","",VLOOKUP(H273,DB!A:B,2,0))</f>
        <v>openGear X</v>
      </c>
      <c r="J273" s="6">
        <v>2.0</v>
      </c>
      <c r="K273" s="14" t="s">
        <v>206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205</v>
      </c>
      <c r="B274" s="6" t="str">
        <f>IF(A274="","",VLOOKUP(A274,DB!A:B,2,0))</f>
        <v>openGear X</v>
      </c>
      <c r="C274" s="6">
        <v>1.0</v>
      </c>
      <c r="D274" s="6" t="s">
        <v>316</v>
      </c>
      <c r="E274" s="6" t="s">
        <v>411</v>
      </c>
      <c r="F274" s="6" t="s">
        <v>197</v>
      </c>
      <c r="G274" s="6" t="s">
        <v>318</v>
      </c>
      <c r="H274" s="6" t="s">
        <v>205</v>
      </c>
      <c r="I274" s="5" t="str">
        <f>IF(H274="","",VLOOKUP(H274,DB!A:B,2,0))</f>
        <v>openGear X</v>
      </c>
      <c r="J274" s="6">
        <v>5.0</v>
      </c>
      <c r="K274" s="14" t="s">
        <v>206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205</v>
      </c>
      <c r="B275" s="6" t="str">
        <f>IF(A275="","",VLOOKUP(A275,DB!A:B,2,0))</f>
        <v>openGear X</v>
      </c>
      <c r="C275" s="6">
        <v>1.0</v>
      </c>
      <c r="D275" s="6" t="s">
        <v>316</v>
      </c>
      <c r="E275" s="6" t="s">
        <v>412</v>
      </c>
      <c r="F275" s="6" t="s">
        <v>197</v>
      </c>
      <c r="G275" s="6" t="s">
        <v>318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413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205</v>
      </c>
      <c r="B276" s="6" t="str">
        <f>IF(A276="","",VLOOKUP(A276,DB!A:B,2,0))</f>
        <v>openGear X</v>
      </c>
      <c r="C276" s="6">
        <v>1.0</v>
      </c>
      <c r="D276" s="6" t="s">
        <v>316</v>
      </c>
      <c r="E276" s="6" t="s">
        <v>414</v>
      </c>
      <c r="F276" s="6" t="s">
        <v>197</v>
      </c>
      <c r="G276" s="6" t="s">
        <v>318</v>
      </c>
      <c r="H276" s="6" t="s">
        <v>348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205</v>
      </c>
      <c r="B277" s="6" t="str">
        <f>IF(A277="","",VLOOKUP(A277,DB!A:B,2,0))</f>
        <v>openGear X</v>
      </c>
      <c r="C277" s="6">
        <v>1.0</v>
      </c>
      <c r="D277" s="6" t="s">
        <v>316</v>
      </c>
      <c r="E277" s="6" t="s">
        <v>415</v>
      </c>
      <c r="F277" s="6" t="s">
        <v>197</v>
      </c>
      <c r="G277" s="6" t="s">
        <v>318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213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416</v>
      </c>
      <c r="B278" s="6" t="str">
        <f>IF(A278="","",VLOOKUP(A278,DB!A:B,2,0))</f>
        <v>Leader Sync Generator</v>
      </c>
      <c r="C278" s="5"/>
      <c r="D278" s="6"/>
      <c r="E278" s="6" t="s">
        <v>417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418</v>
      </c>
      <c r="L278" s="6" t="s">
        <v>399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416</v>
      </c>
      <c r="B279" s="6" t="str">
        <f>IF(A279="","",VLOOKUP(A279,DB!A:B,2,0))</f>
        <v>Leader Sync Generator</v>
      </c>
      <c r="C279" s="5"/>
      <c r="D279" s="6"/>
      <c r="E279" s="6" t="s">
        <v>419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399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416</v>
      </c>
      <c r="B280" s="6" t="str">
        <f>IF(A280="","",VLOOKUP(A280,DB!A:B,2,0))</f>
        <v>Leader Sync Generator</v>
      </c>
      <c r="C280" s="5"/>
      <c r="D280" s="6"/>
      <c r="E280" s="6" t="s">
        <v>420</v>
      </c>
      <c r="F280" s="5"/>
      <c r="G280" s="5"/>
      <c r="H280" s="6" t="s">
        <v>421</v>
      </c>
      <c r="I280" s="5" t="str">
        <f>IF(H280="","",VLOOKUP(H280,DB!A:B,2,0))</f>
        <v>Miranda Densite3</v>
      </c>
      <c r="J280" s="6">
        <v>7.0</v>
      </c>
      <c r="K280" s="6" t="s">
        <v>422</v>
      </c>
      <c r="L280" s="6" t="s">
        <v>392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416</v>
      </c>
      <c r="B281" s="6" t="str">
        <f>IF(A281="","",VLOOKUP(A281,DB!A:B,2,0))</f>
        <v>Leader Sync Generator</v>
      </c>
      <c r="C281" s="5"/>
      <c r="D281" s="6"/>
      <c r="E281" s="6" t="s">
        <v>423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416</v>
      </c>
      <c r="B282" s="6" t="str">
        <f>IF(A282="","",VLOOKUP(A282,DB!A:B,2,0))</f>
        <v>Leader Sync Generator</v>
      </c>
      <c r="C282" s="5"/>
      <c r="D282" s="6"/>
      <c r="E282" s="6" t="s">
        <v>424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416</v>
      </c>
      <c r="B283" s="6" t="str">
        <f>IF(A283="","",VLOOKUP(A283,DB!A:B,2,0))</f>
        <v>Leader Sync Generator</v>
      </c>
      <c r="C283" s="5"/>
      <c r="D283" s="6"/>
      <c r="E283" s="6" t="s">
        <v>425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421</v>
      </c>
      <c r="B284" s="6" t="str">
        <f>IF(A284="","",VLOOKUP(A284,DB!A:B,2,0))</f>
        <v>Miranda Densite3</v>
      </c>
      <c r="C284" s="6">
        <v>7.0</v>
      </c>
      <c r="D284" s="6" t="s">
        <v>422</v>
      </c>
      <c r="E284" s="6" t="s">
        <v>426</v>
      </c>
      <c r="F284" s="6" t="s">
        <v>197</v>
      </c>
      <c r="G284" s="6" t="s">
        <v>392</v>
      </c>
      <c r="H284" s="6" t="s">
        <v>388</v>
      </c>
      <c r="I284" s="5" t="str">
        <f>IF(H284="","",VLOOKUP(H284,DB!A:B,2,0))</f>
        <v>Digiwave DSC-131</v>
      </c>
      <c r="J284" s="6"/>
      <c r="K284" s="6"/>
      <c r="L284" s="6" t="s">
        <v>399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421</v>
      </c>
      <c r="B285" s="6" t="str">
        <f>IF(A285="","",VLOOKUP(A285,DB!A:B,2,0))</f>
        <v>Miranda Densite3</v>
      </c>
      <c r="C285" s="6">
        <v>7.0</v>
      </c>
      <c r="D285" s="6" t="s">
        <v>422</v>
      </c>
      <c r="E285" s="6" t="s">
        <v>427</v>
      </c>
      <c r="F285" s="6" t="s">
        <v>197</v>
      </c>
      <c r="G285" s="6" t="s">
        <v>392</v>
      </c>
      <c r="H285" s="6" t="s">
        <v>398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421</v>
      </c>
      <c r="B286" s="6" t="str">
        <f>IF(A286="","",VLOOKUP(A286,DB!A:B,2,0))</f>
        <v>Miranda Densite3</v>
      </c>
      <c r="C286" s="6">
        <v>7.0</v>
      </c>
      <c r="D286" s="6" t="s">
        <v>422</v>
      </c>
      <c r="E286" s="6" t="s">
        <v>428</v>
      </c>
      <c r="F286" s="6" t="s">
        <v>197</v>
      </c>
      <c r="G286" s="6" t="s">
        <v>392</v>
      </c>
      <c r="H286" s="6" t="s">
        <v>277</v>
      </c>
      <c r="I286" s="5" t="str">
        <f>IF(H286="","",VLOOKUP(H286,DB!A:B,2,0))</f>
        <v>Sony HXCU-100 Cam 1</v>
      </c>
      <c r="J286" s="6"/>
      <c r="K286" s="6"/>
      <c r="L286" s="6" t="s">
        <v>399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421</v>
      </c>
      <c r="B287" s="6" t="str">
        <f>IF(A287="","",VLOOKUP(A287,DB!A:B,2,0))</f>
        <v>Miranda Densite3</v>
      </c>
      <c r="C287" s="6">
        <v>7.0</v>
      </c>
      <c r="D287" s="6" t="s">
        <v>422</v>
      </c>
      <c r="E287" s="6" t="s">
        <v>429</v>
      </c>
      <c r="F287" s="6" t="s">
        <v>197</v>
      </c>
      <c r="G287" s="6" t="s">
        <v>392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421</v>
      </c>
      <c r="B288" s="6" t="str">
        <f>IF(A288="","",VLOOKUP(A288,DB!A:B,2,0))</f>
        <v>Miranda Densite3</v>
      </c>
      <c r="C288" s="6">
        <v>7.0</v>
      </c>
      <c r="D288" s="6" t="s">
        <v>422</v>
      </c>
      <c r="E288" s="6" t="s">
        <v>430</v>
      </c>
      <c r="F288" s="6" t="s">
        <v>197</v>
      </c>
      <c r="G288" s="6" t="s">
        <v>392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421</v>
      </c>
      <c r="B289" s="6" t="str">
        <f>IF(A289="","",VLOOKUP(A289,DB!A:B,2,0))</f>
        <v>Miranda Densite3</v>
      </c>
      <c r="C289" s="6">
        <v>7.0</v>
      </c>
      <c r="D289" s="6" t="s">
        <v>422</v>
      </c>
      <c r="E289" s="6" t="s">
        <v>431</v>
      </c>
      <c r="F289" s="6" t="s">
        <v>197</v>
      </c>
      <c r="G289" s="6" t="s">
        <v>392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421</v>
      </c>
      <c r="B290" s="6" t="str">
        <f>IF(A290="","",VLOOKUP(A290,DB!A:B,2,0))</f>
        <v>Miranda Densite3</v>
      </c>
      <c r="C290" s="6">
        <v>7.0</v>
      </c>
      <c r="D290" s="6" t="s">
        <v>422</v>
      </c>
      <c r="E290" s="6" t="s">
        <v>432</v>
      </c>
      <c r="F290" s="6" t="s">
        <v>197</v>
      </c>
      <c r="G290" s="6" t="s">
        <v>392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421</v>
      </c>
      <c r="B291" s="6" t="str">
        <f>IF(A291="","",VLOOKUP(A291,DB!A:B,2,0))</f>
        <v>Miranda Densite3</v>
      </c>
      <c r="C291" s="6">
        <v>7.0</v>
      </c>
      <c r="D291" s="6" t="s">
        <v>422</v>
      </c>
      <c r="E291" s="6" t="s">
        <v>433</v>
      </c>
      <c r="F291" s="6" t="s">
        <v>197</v>
      </c>
      <c r="G291" s="6" t="s">
        <v>392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421</v>
      </c>
      <c r="B292" s="6" t="str">
        <f>IF(A292="","",VLOOKUP(A292,DB!A:B,2,0))</f>
        <v>Miranda Densite3</v>
      </c>
      <c r="C292" s="6">
        <v>7.0</v>
      </c>
      <c r="D292" s="6" t="s">
        <v>422</v>
      </c>
      <c r="E292" s="6" t="s">
        <v>434</v>
      </c>
      <c r="F292" s="6" t="s">
        <v>197</v>
      </c>
      <c r="G292" s="6" t="s">
        <v>392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435</v>
      </c>
      <c r="F293" s="6" t="s">
        <v>197</v>
      </c>
      <c r="G293" s="6" t="s">
        <v>399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399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277</v>
      </c>
      <c r="B294" s="6" t="str">
        <f>IF(A294="","",VLOOKUP(A294,DB!A:B,2,0))</f>
        <v>Sony HXCU-100 Cam 1</v>
      </c>
      <c r="C294" s="5"/>
      <c r="D294" s="6"/>
      <c r="E294" s="6" t="s">
        <v>435</v>
      </c>
      <c r="F294" s="6" t="s">
        <v>197</v>
      </c>
      <c r="G294" s="6" t="s">
        <v>399</v>
      </c>
      <c r="H294" s="6" t="s">
        <v>280</v>
      </c>
      <c r="I294" s="5" t="str">
        <f>IF(H294="","",VLOOKUP(H294,DB!A:B,2,0))</f>
        <v>Sony HXCU-100 Cam 2</v>
      </c>
      <c r="J294" s="6"/>
      <c r="K294" s="6"/>
      <c r="L294" s="6" t="s">
        <v>399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280</v>
      </c>
      <c r="B295" s="6" t="str">
        <f>IF(A295="","",VLOOKUP(A295,DB!A:B,2,0))</f>
        <v>Sony HXCU-100 Cam 2</v>
      </c>
      <c r="C295" s="5"/>
      <c r="D295" s="6"/>
      <c r="E295" s="6" t="s">
        <v>435</v>
      </c>
      <c r="F295" s="6" t="s">
        <v>197</v>
      </c>
      <c r="G295" s="6" t="s">
        <v>399</v>
      </c>
      <c r="H295" s="6" t="s">
        <v>283</v>
      </c>
      <c r="I295" s="5" t="str">
        <f>IF(H295="","",VLOOKUP(H295,DB!A:B,2,0))</f>
        <v>Sony HXCU-100 Cam 3</v>
      </c>
      <c r="J295" s="6"/>
      <c r="K295" s="6"/>
      <c r="L295" s="6" t="s">
        <v>399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283</v>
      </c>
      <c r="B296" s="6" t="str">
        <f>IF(A296="","",VLOOKUP(A296,DB!A:B,2,0))</f>
        <v>Sony HXCU-100 Cam 3</v>
      </c>
      <c r="C296" s="5"/>
      <c r="D296" s="6"/>
      <c r="E296" s="6" t="s">
        <v>435</v>
      </c>
      <c r="F296" s="6" t="s">
        <v>197</v>
      </c>
      <c r="G296" s="6" t="s">
        <v>399</v>
      </c>
      <c r="H296" s="6" t="s">
        <v>286</v>
      </c>
      <c r="I296" s="5" t="str">
        <f>IF(H296="","",VLOOKUP(H296,DB!A:B,2,0))</f>
        <v>Sony HXCU-100 Cam 4</v>
      </c>
      <c r="J296" s="6"/>
      <c r="K296" s="6"/>
      <c r="L296" s="6" t="s">
        <v>399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286</v>
      </c>
      <c r="B297" s="6" t="str">
        <f>IF(A297="","",VLOOKUP(A297,DB!A:B,2,0))</f>
        <v>Sony HXCU-100 Cam 4</v>
      </c>
      <c r="C297" s="5"/>
      <c r="D297" s="6"/>
      <c r="E297" s="6" t="s">
        <v>435</v>
      </c>
      <c r="F297" s="6" t="s">
        <v>197</v>
      </c>
      <c r="G297" s="6" t="s">
        <v>399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399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328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418</v>
      </c>
      <c r="E299" s="6" t="s">
        <v>435</v>
      </c>
      <c r="F299" s="6" t="s">
        <v>197</v>
      </c>
      <c r="G299" s="6" t="s">
        <v>399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418</v>
      </c>
      <c r="L299" s="6" t="s">
        <v>399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418</v>
      </c>
      <c r="E300" s="6" t="s">
        <v>435</v>
      </c>
      <c r="F300" s="6" t="s">
        <v>197</v>
      </c>
      <c r="G300" s="6" t="s">
        <v>399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399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435</v>
      </c>
      <c r="F301" s="6" t="s">
        <v>197</v>
      </c>
      <c r="G301" s="6" t="s">
        <v>399</v>
      </c>
      <c r="H301" s="6" t="s">
        <v>224</v>
      </c>
      <c r="I301" s="5" t="str">
        <f>IF(H301="","",VLOOKUP(H301,DB!A:B,2,0))</f>
        <v>AJA FS2</v>
      </c>
      <c r="J301" s="6"/>
      <c r="K301" s="6"/>
      <c r="L301" s="6" t="s">
        <v>399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436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437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318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224</v>
      </c>
      <c r="B304" s="6" t="str">
        <f>IF(A304="","",VLOOKUP(A304,DB!A:B,2,0))</f>
        <v>AJA FS2</v>
      </c>
      <c r="C304" s="5"/>
      <c r="D304" s="6"/>
      <c r="E304" s="6" t="s">
        <v>435</v>
      </c>
      <c r="F304" s="6" t="s">
        <v>197</v>
      </c>
      <c r="G304" s="6" t="s">
        <v>399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90</v>
      </c>
      <c r="B306" s="6" t="str">
        <f>IF(A306="","",VLOOKUP(A306,DB!A:B,2,0))</f>
        <v>FOR A HVS-390HS</v>
      </c>
      <c r="C306" s="5"/>
      <c r="D306" s="6"/>
      <c r="E306" s="6" t="s">
        <v>438</v>
      </c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353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388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391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392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348</v>
      </c>
      <c r="B317" s="6" t="str">
        <f>IF(A317="","",VLOOKUP(A317,DB!A:B,2,0))</f>
        <v>VIDEObit 3G-LINK-TD</v>
      </c>
      <c r="C317" s="5"/>
      <c r="D317" s="6"/>
      <c r="E317" s="6" t="s">
        <v>200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348</v>
      </c>
      <c r="B318" s="6" t="str">
        <f>IF(A318="","",VLOOKUP(A318,DB!A:B,2,0))</f>
        <v>VIDEObit 3G-LINK-TD</v>
      </c>
      <c r="C318" s="5"/>
      <c r="D318" s="6"/>
      <c r="E318" s="6" t="s">
        <v>203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368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224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368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224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224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224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393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6" t="s">
        <v>468</v>
      </c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469</v>
      </c>
      <c r="F324" s="6" t="s">
        <v>197</v>
      </c>
      <c r="G324" s="6" t="s">
        <v>466</v>
      </c>
      <c r="H324" s="6" t="s">
        <v>393</v>
      </c>
      <c r="I324" s="5" t="str">
        <f>IF(H324="","",VLOOKUP(H324,DB!A:B,2,0))</f>
        <v>tc electronic Finalizer</v>
      </c>
      <c r="J324" s="6"/>
      <c r="K324" s="6"/>
      <c r="L324" s="6" t="s">
        <v>470</v>
      </c>
      <c r="M324" s="5"/>
      <c r="N324" s="6" t="s">
        <v>468</v>
      </c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328</v>
      </c>
      <c r="E325" s="6" t="s">
        <v>471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A1:AC503">
    <cfRule type="cellIs" dxfId="0" priority="1" operator="equal">
      <formula>"N/D"</formula>
    </cfRule>
  </conditionalFormatting>
  <conditionalFormatting sqref="A1:AC503">
    <cfRule type="cellIs" dxfId="1" priority="2" operator="equal">
      <formula>"N/C"</formula>
    </cfRule>
  </conditionalFormatting>
  <conditionalFormatting sqref="A1:AC503">
    <cfRule type="expression" dxfId="2" priority="3">
      <formula>ISEVEN(ROW())</formula>
    </cfRule>
  </conditionalFormatting>
  <dataValidations>
    <dataValidation type="list" allowBlank="1" showErrorMessage="1" sqref="A2:A503 H2:H503">
      <formula1>DB!$A$2:$A$1019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472</v>
      </c>
      <c r="B1" s="17" t="s">
        <v>473</v>
      </c>
      <c r="C1" s="18" t="s">
        <v>474</v>
      </c>
      <c r="D1" s="19" t="s">
        <v>475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476</v>
      </c>
      <c r="B2" s="7" t="s">
        <v>477</v>
      </c>
      <c r="C2" s="20" t="s">
        <v>478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479</v>
      </c>
      <c r="C3" s="20" t="s">
        <v>480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481</v>
      </c>
      <c r="C4" s="20" t="s">
        <v>482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483</v>
      </c>
      <c r="C5" s="20" t="s">
        <v>484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485</v>
      </c>
      <c r="C6" s="21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398</v>
      </c>
      <c r="B7" s="11" t="s">
        <v>486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487</v>
      </c>
      <c r="B9" s="7" t="s">
        <v>488</v>
      </c>
      <c r="C9" s="20" t="s">
        <v>489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490</v>
      </c>
      <c r="C10" s="20" t="s">
        <v>491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492</v>
      </c>
      <c r="C11" s="20" t="s">
        <v>493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494</v>
      </c>
      <c r="C12" s="20" t="s">
        <v>495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416</v>
      </c>
      <c r="B14" s="11" t="s">
        <v>496</v>
      </c>
      <c r="C14" s="21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421</v>
      </c>
      <c r="B15" s="7" t="s">
        <v>497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498</v>
      </c>
      <c r="C16" s="20" t="s">
        <v>499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500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501</v>
      </c>
      <c r="C18" s="21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262</v>
      </c>
      <c r="B19" s="7" t="s">
        <v>502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502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371</v>
      </c>
      <c r="B22" s="11" t="s">
        <v>503</v>
      </c>
      <c r="C22" s="21" t="s">
        <v>504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373</v>
      </c>
      <c r="B23" s="11" t="s">
        <v>505</v>
      </c>
      <c r="C23" s="21" t="s">
        <v>506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507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508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509</v>
      </c>
      <c r="B27" s="7" t="s">
        <v>510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511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511</v>
      </c>
      <c r="C29" s="21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512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202</v>
      </c>
      <c r="B31" s="7" t="s">
        <v>513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514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368</v>
      </c>
      <c r="B33" s="7" t="s">
        <v>510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514</v>
      </c>
      <c r="C34" s="20" t="s">
        <v>515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393</v>
      </c>
      <c r="B35" s="7" t="s">
        <v>516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517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518</v>
      </c>
      <c r="C37" s="21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518</v>
      </c>
      <c r="C38" s="20" t="s">
        <v>519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388</v>
      </c>
      <c r="B39" s="7" t="s">
        <v>520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391</v>
      </c>
      <c r="B40" s="7" t="s">
        <v>521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522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523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524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525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526</v>
      </c>
      <c r="C46" s="20" t="s">
        <v>527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528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529</v>
      </c>
      <c r="B49" s="7" t="s">
        <v>530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277</v>
      </c>
      <c r="B50" s="11" t="s">
        <v>531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280</v>
      </c>
      <c r="B51" s="11" t="s">
        <v>532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283</v>
      </c>
      <c r="B52" s="11" t="s">
        <v>533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286</v>
      </c>
      <c r="B53" s="11" t="s">
        <v>534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251</v>
      </c>
      <c r="B54" s="7" t="s">
        <v>535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536</v>
      </c>
      <c r="C55" s="21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383</v>
      </c>
      <c r="B56" s="7" t="s">
        <v>537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346</v>
      </c>
      <c r="B58" s="11" t="s">
        <v>538</v>
      </c>
      <c r="C58" s="21" t="s">
        <v>539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347</v>
      </c>
      <c r="B59" s="11" t="s">
        <v>540</v>
      </c>
      <c r="C59" s="21" t="s">
        <v>541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542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543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544</v>
      </c>
      <c r="B64" s="11" t="s">
        <v>545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546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348</v>
      </c>
      <c r="B66" s="11" t="s">
        <v>547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209</v>
      </c>
      <c r="B67" s="11" t="s">
        <v>548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405</v>
      </c>
      <c r="B68" s="11" t="s">
        <v>548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549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550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551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205</v>
      </c>
      <c r="B72" s="7" t="s">
        <v>514</v>
      </c>
      <c r="C72" s="20" t="s">
        <v>552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553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554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555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257</v>
      </c>
      <c r="B79" s="7" t="s">
        <v>556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385</v>
      </c>
      <c r="B80" s="7" t="s">
        <v>557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351</v>
      </c>
      <c r="B81" s="7" t="s">
        <v>558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345</v>
      </c>
      <c r="B83" s="7" t="s">
        <v>559</v>
      </c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353</v>
      </c>
      <c r="B84" s="7" t="s">
        <v>560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349</v>
      </c>
      <c r="B85" s="7" t="s">
        <v>561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376</v>
      </c>
      <c r="B86" s="7" t="s">
        <v>562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563</v>
      </c>
      <c r="B87" s="7" t="s">
        <v>564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379</v>
      </c>
      <c r="B88" s="7" t="s">
        <v>565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148</v>
      </c>
      <c r="B89" s="7" t="s">
        <v>566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350</v>
      </c>
      <c r="B90" s="7" t="s">
        <v>567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381</v>
      </c>
      <c r="B91" s="7" t="s">
        <v>568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109</v>
      </c>
      <c r="B92" s="7" t="s">
        <v>569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11" t="s">
        <v>375</v>
      </c>
      <c r="B93" s="11" t="s">
        <v>570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 t="s">
        <v>571</v>
      </c>
      <c r="B95" s="7"/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181</v>
      </c>
      <c r="B97" s="11" t="s">
        <v>572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7"/>
      <c r="B98" s="7"/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 t="s">
        <v>88</v>
      </c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6" t="s">
        <v>344</v>
      </c>
      <c r="B101" s="6" t="s">
        <v>573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6" t="s">
        <v>343</v>
      </c>
      <c r="B102" s="6" t="s">
        <v>574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6" t="s">
        <v>341</v>
      </c>
      <c r="B103" s="6" t="s">
        <v>575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6" t="s">
        <v>464</v>
      </c>
      <c r="B104" s="6" t="s">
        <v>576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440</v>
      </c>
      <c r="B106" s="6" t="s">
        <v>577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578</v>
      </c>
      <c r="B107" s="6" t="s">
        <v>579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580</v>
      </c>
      <c r="B108" s="6" t="s">
        <v>581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582</v>
      </c>
      <c r="B109" s="6" t="s">
        <v>583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6" t="s">
        <v>584</v>
      </c>
      <c r="B111" s="6" t="s">
        <v>585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586</v>
      </c>
      <c r="B112" s="6" t="s">
        <v>587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588</v>
      </c>
      <c r="B113" s="6" t="s">
        <v>589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590</v>
      </c>
      <c r="B114" s="6" t="s">
        <v>591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</sheetData>
  <conditionalFormatting sqref="B101:B104">
    <cfRule type="cellIs" dxfId="1" priority="1" operator="equal">
      <formula>"N/C"</formula>
    </cfRule>
  </conditionalFormatting>
  <conditionalFormatting sqref="A1:Y1019">
    <cfRule type="cellIs" dxfId="0" priority="2" operator="equal">
      <formula>"N/D"</formula>
    </cfRule>
  </conditionalFormatting>
  <conditionalFormatting sqref="A1:Y1019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592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593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IFERROR(__xludf.DUMMYFUNCTION("""COMPUTED_VALUE"""),1.0)</f>
        <v>1</v>
      </c>
      <c r="D3" s="5" t="str">
        <f>IFERROR(__xludf.DUMMYFUNCTION("""COMPUTED_VALUE"""),"Embedder")</f>
        <v>Embedder</v>
      </c>
      <c r="E3" s="5" t="str">
        <f>IFERROR(__xludf.DUMMYFUNCTION("""COMPUTED_VALUE"""),"SDI Out")</f>
        <v>SDI Out</v>
      </c>
      <c r="F3" s="5" t="str">
        <f>IFERROR(__xludf.DUMMYFUNCTION("""COMPUTED_VALUE"""),"T")</f>
        <v>T</v>
      </c>
      <c r="G3" s="5" t="str">
        <f>IFERROR(__xludf.DUMMYFUNCTION("""COMPUTED_VALUE"""),"SDI In")</f>
        <v>SDI In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5")</f>
        <v>In 5</v>
      </c>
      <c r="M3" s="5" t="str">
        <f>IFERROR(__xludf.DUMMYFUNCTION("""COMPUTED_VALUE"""),"FOR A PGM")</f>
        <v>FOR A PGM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IFERROR(__xludf.DUMMYFUNCTION("""COMPUTED_VALUE"""),2.0)</f>
        <v>2</v>
      </c>
      <c r="D4" s="5" t="str">
        <f>IFERROR(__xludf.DUMMYFUNCTION("""COMPUTED_VALUE"""),"Embedder")</f>
        <v>Embedder</v>
      </c>
      <c r="E4" s="5" t="str">
        <f>IFERROR(__xludf.DUMMYFUNCTION("""COMPUTED_VALUE"""),"SDI Out")</f>
        <v>SDI Out</v>
      </c>
      <c r="F4" s="5" t="str">
        <f>IFERROR(__xludf.DUMMYFUNCTION("""COMPUTED_VALUE"""),"T")</f>
        <v>T</v>
      </c>
      <c r="G4" s="5" t="str">
        <f>IFERROR(__xludf.DUMMYFUNCTION("""COMPUTED_VALUE"""),"SDI In")</f>
        <v>SDI In</v>
      </c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6")</f>
        <v>In 6</v>
      </c>
      <c r="M4" s="5" t="str">
        <f>IFERROR(__xludf.DUMMYFUNCTION("""COMPUTED_VALUE"""),"FOR A AUX 6")</f>
        <v>FOR A AUX 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IFERROR(__xludf.DUMMYFUNCTION("""COMPUTED_VALUE"""),6.0)</f>
        <v>6</v>
      </c>
      <c r="D5" s="5" t="str">
        <f>IFERROR(__xludf.DUMMYFUNCTION("""COMPUTED_VALUE"""),"Dist. Amp. 1x9")</f>
        <v>Dist. Amp. 1x9</v>
      </c>
      <c r="E5" s="5" t="str">
        <f>IFERROR(__xludf.DUMMYFUNCTION("""COMPUTED_VALUE"""),"J3")</f>
        <v>J3</v>
      </c>
      <c r="F5" s="5" t="str">
        <f>IFERROR(__xludf.DUMMYFUNCTION("""COMPUTED_VALUE"""),"T")</f>
        <v>T</v>
      </c>
      <c r="G5" s="5" t="str">
        <f>IFERROR(__xludf.DUMMYFUNCTION("""COMPUTED_VALUE"""),"J1 (in)")</f>
        <v>J1 (in)</v>
      </c>
      <c r="H5" s="5" t="str">
        <f>IFERROR(__xludf.DUMMYFUNCTION("""COMPUTED_VALUE"""),"C.3")</f>
        <v>C.3</v>
      </c>
      <c r="I5" s="5" t="str">
        <f>IFERROR(__xludf.DUMMYFUNCTION("""COMPUTED_VALUE"""),"AJA KUMO 6464")</f>
        <v>AJA KUMO 6464</v>
      </c>
      <c r="J5" s="5"/>
      <c r="K5" s="5"/>
      <c r="L5" s="5" t="str">
        <f>IFERROR(__xludf.DUMMYFUNCTION("""COMPUTED_VALUE"""),"In 62")</f>
        <v>In 62</v>
      </c>
      <c r="M5" s="5" t="str">
        <f>IFERROR(__xludf.DUMMYFUNCTION("""COMPUTED_VALUE"""),"LINEA 1X9")</f>
        <v>LINEA 1X9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IFERROR(__xludf.DUMMYFUNCTION("""COMPUTED_VALUE"""),5.0)</f>
        <v>5</v>
      </c>
      <c r="D6" s="5" t="str">
        <f>IFERROR(__xludf.DUMMYFUNCTION("""COMPUTED_VALUE"""),"De-embedder")</f>
        <v>De-embedder</v>
      </c>
      <c r="E6" s="5" t="str">
        <f>IFERROR(__xludf.DUMMYFUNCTION("""COMPUTED_VALUE"""),"SDI Out")</f>
        <v>SDI Out</v>
      </c>
      <c r="F6" s="5" t="str">
        <f>IFERROR(__xludf.DUMMYFUNCTION("""COMPUTED_VALUE"""),"T")</f>
        <v>T</v>
      </c>
      <c r="G6" s="5" t="str">
        <f>IFERROR(__xludf.DUMMYFUNCTION("""COMPUTED_VALUE"""),"SDI In")</f>
        <v>SDI In</v>
      </c>
      <c r="H6" s="5" t="str">
        <f>IFERROR(__xludf.DUMMYFUNCTION("""COMPUTED_VALUE"""),"D.13")</f>
        <v>D.13</v>
      </c>
      <c r="I6" s="5" t="str">
        <f>IFERROR(__xludf.DUMMYFUNCTION("""COMPUTED_VALUE"""),"AJA FS2")</f>
        <v>AJA FS2</v>
      </c>
      <c r="J6" s="5"/>
      <c r="K6" s="5"/>
      <c r="L6" s="5" t="str">
        <f>IFERROR(__xludf.DUMMYFUNCTION("""COMPUTED_VALUE"""),"SDI In 1")</f>
        <v>SDI In 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IFERROR(__xludf.DUMMYFUNCTION("""COMPUTED_VALUE"""),"Dist. Amp. 1x9")</f>
        <v>Dist. Amp. 1x9</v>
      </c>
      <c r="E7" s="5" t="str">
        <f>IFERROR(__xludf.DUMMYFUNCTION("""COMPUTED_VALUE"""),"J5")</f>
        <v>J5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IFERROR(__xludf.DUMMYFUNCTION("""COMPUTED_VALUE"""),"L.7")</f>
        <v>L.7</v>
      </c>
      <c r="I7" s="5" t="str">
        <f>IFERROR(__xludf.DUMMYFUNCTION("""COMPUTED_VALUE"""),"openGear X")</f>
        <v>openGear X</v>
      </c>
      <c r="J7" s="5">
        <f>IFERROR(__xludf.DUMMYFUNCTION("""COMPUTED_VALUE"""),1.0)</f>
        <v>1</v>
      </c>
      <c r="K7" s="5" t="str">
        <f>IFERROR(__xludf.DUMMYFUNCTION("""COMPUTED_VALUE"""),"Dist. Amp. 1x9")</f>
        <v>Dist. Amp. 1x9</v>
      </c>
      <c r="L7" s="5" t="str">
        <f>IFERROR(__xludf.DUMMYFUNCTION("""COMPUTED_VALUE"""),"J1 (in)")</f>
        <v>J1 (in)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IFERROR(__xludf.DUMMYFUNCTION("""COMPUTED_VALUE"""),6.0)</f>
        <v>6</v>
      </c>
      <c r="D8" s="5" t="str">
        <f>IFERROR(__xludf.DUMMYFUNCTION("""COMPUTED_VALUE"""),"Dist. Amp. 1x9")</f>
        <v>Dist. Amp. 1x9</v>
      </c>
      <c r="E8" s="5" t="str">
        <f>IFERROR(__xludf.DUMMYFUNCTION("""COMPUTED_VALUE"""),"J2")</f>
        <v>J2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IFERROR(__xludf.DUMMYFUNCTION("""COMPUTED_VALUE"""),"N/C")</f>
        <v>N/C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IFERROR(__xludf.DUMMYFUNCTION("""COMPUTED_VALUE"""),6.0)</f>
        <v>6</v>
      </c>
      <c r="D9" s="5" t="str">
        <f>IFERROR(__xludf.DUMMYFUNCTION("""COMPUTED_VALUE"""),"Dist. Amp. 1x9")</f>
        <v>Dist. Amp. 1x9</v>
      </c>
      <c r="E9" s="5" t="str">
        <f>IFERROR(__xludf.DUMMYFUNCTION("""COMPUTED_VALUE"""),"J4")</f>
        <v>J4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IFERROR(__xludf.DUMMYFUNCTION("""COMPUTED_VALUE"""),"N/C")</f>
        <v>N/C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IFERROR(__xludf.DUMMYFUNCTION("""COMPUTED_VALUE"""),"J6")</f>
        <v>J6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IFERROR(__xludf.DUMMYFUNCTION("""COMPUTED_VALUE"""),"N/C")</f>
        <v>N/C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IFERROR(__xludf.DUMMYFUNCTION("""COMPUTED_VALUE"""),6.0)</f>
        <v>6</v>
      </c>
      <c r="D11" s="5" t="str">
        <f>IFERROR(__xludf.DUMMYFUNCTION("""COMPUTED_VALUE"""),"Dist. Amp. 1x9")</f>
        <v>Dist. Amp. 1x9</v>
      </c>
      <c r="E11" s="5" t="str">
        <f>IFERROR(__xludf.DUMMYFUNCTION("""COMPUTED_VALUE"""),"J7")</f>
        <v>J7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IFERROR(__xludf.DUMMYFUNCTION("""COMPUTED_VALUE"""),"N/C")</f>
        <v>N/C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IFERROR(__xludf.DUMMYFUNCTION("""COMPUTED_VALUE"""),6.0)</f>
        <v>6</v>
      </c>
      <c r="D12" s="5" t="str">
        <f>IFERROR(__xludf.DUMMYFUNCTION("""COMPUTED_VALUE"""),"Dist. Amp. 1x9")</f>
        <v>Dist. Amp. 1x9</v>
      </c>
      <c r="E12" s="5" t="str">
        <f>IFERROR(__xludf.DUMMYFUNCTION("""COMPUTED_VALUE"""),"J8")</f>
        <v>J8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IFERROR(__xludf.DUMMYFUNCTION("""COMPUTED_VALUE"""),"N/C")</f>
        <v>N/C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IFERROR(__xludf.DUMMYFUNCTION("""COMPUTED_VALUE"""),6.0)</f>
        <v>6</v>
      </c>
      <c r="D13" s="5" t="str">
        <f>IFERROR(__xludf.DUMMYFUNCTION("""COMPUTED_VALUE"""),"Dist. Amp. 1x9")</f>
        <v>Dist. Amp. 1x9</v>
      </c>
      <c r="E13" s="5" t="str">
        <f>IFERROR(__xludf.DUMMYFUNCTION("""COMPUTED_VALUE"""),"J9")</f>
        <v>J9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IFERROR(__xludf.DUMMYFUNCTION("""COMPUTED_VALUE"""),"N/C")</f>
        <v>N/C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IFERROR(__xludf.DUMMYFUNCTION("""COMPUTED_VALUE"""),"D.9")</f>
        <v>D.9</v>
      </c>
      <c r="B14" s="5" t="str">
        <f>IFERROR(__xludf.DUMMYFUNCTION("""COMPUTED_VALUE"""),"openGear X")</f>
        <v>openGear X</v>
      </c>
      <c r="C14" s="5">
        <f>IFERROR(__xludf.DUMMYFUNCTION("""COMPUTED_VALUE"""),6.0)</f>
        <v>6</v>
      </c>
      <c r="D14" s="5" t="str">
        <f>IFERROR(__xludf.DUMMYFUNCTION("""COMPUTED_VALUE"""),"Dist. Amp. 1x9")</f>
        <v>Dist. Amp. 1x9</v>
      </c>
      <c r="E14" s="5" t="str">
        <f>IFERROR(__xludf.DUMMYFUNCTION("""COMPUTED_VALUE"""),"J10")</f>
        <v>J10</v>
      </c>
      <c r="F14" s="5" t="str">
        <f>IFERROR(__xludf.DUMMYFUNCTION("""COMPUTED_VALUE"""),"T")</f>
        <v>T</v>
      </c>
      <c r="G14" s="5" t="str">
        <f>IFERROR(__xludf.DUMMYFUNCTION("""COMPUTED_VALUE"""),"J1 (in)")</f>
        <v>J1 (in)</v>
      </c>
      <c r="H14" s="5" t="str">
        <f>IFERROR(__xludf.DUMMYFUNCTION("""COMPUTED_VALUE"""),"N/C")</f>
        <v>N/C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IFERROR(__xludf.DUMMYFUNCTION("""COMPUTED_VALUE"""),"D.9")</f>
        <v>D.9</v>
      </c>
      <c r="B15" s="5" t="str">
        <f>IFERROR(__xludf.DUMMYFUNCTION("""COMPUTED_VALUE"""),"openGear X")</f>
        <v>openGear X</v>
      </c>
      <c r="C15" s="5">
        <f>IFERROR(__xludf.DUMMYFUNCTION("""COMPUTED_VALUE"""),0.0)</f>
        <v>0</v>
      </c>
      <c r="D15" s="5" t="str">
        <f>IFERROR(__xludf.DUMMYFUNCTION("""COMPUTED_VALUE"""),"Main")</f>
        <v>Main</v>
      </c>
      <c r="E15" s="5" t="str">
        <f>IFERROR(__xludf.DUMMYFUNCTION("""COMPUTED_VALUE"""),"REF Out")</f>
        <v>REF Out</v>
      </c>
      <c r="F15" s="5" t="str">
        <f>IFERROR(__xludf.DUMMYFUNCTION("""COMPUTED_VALUE"""),"T")</f>
        <v>T</v>
      </c>
      <c r="G15" s="5" t="str">
        <f>IFERROR(__xludf.DUMMYFUNCTION("""COMPUTED_VALUE"""),"REF In")</f>
        <v>REF In</v>
      </c>
      <c r="H15" s="5" t="str">
        <f>IFERROR(__xludf.DUMMYFUNCTION("""COMPUTED_VALUE"""),"D.11")</f>
        <v>D.11</v>
      </c>
      <c r="I15" s="5" t="str">
        <f>IFERROR(__xludf.DUMMYFUNCTION("""COMPUTED_VALUE"""),"AJA FS4")</f>
        <v>AJA FS4</v>
      </c>
      <c r="J15" s="5"/>
      <c r="K15" s="5"/>
      <c r="L15" s="5" t="str">
        <f>IFERROR(__xludf.DUMMYFUNCTION("""COMPUTED_VALUE"""),"REF In")</f>
        <v>REF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IFERROR(__xludf.DUMMYFUNCTION("""COMPUTED_VALUE"""),"D.9")</f>
        <v>D.9</v>
      </c>
      <c r="B16" s="5" t="str">
        <f>IFERROR(__xludf.DUMMYFUNCTION("""COMPUTED_VALUE"""),"openGear X")</f>
        <v>openGear X</v>
      </c>
      <c r="C16" s="5">
        <f>IFERROR(__xludf.DUMMYFUNCTION("""COMPUTED_VALUE"""),5.0)</f>
        <v>5</v>
      </c>
      <c r="D16" s="5" t="str">
        <f>IFERROR(__xludf.DUMMYFUNCTION("""COMPUTED_VALUE"""),"De-embedder")</f>
        <v>De-embedder</v>
      </c>
      <c r="E16" s="5" t="str">
        <f>IFERROR(__xludf.DUMMYFUNCTION("""COMPUTED_VALUE"""),"Audio Out 2")</f>
        <v>Audio Out 2</v>
      </c>
      <c r="F16" s="5" t="str">
        <f>IFERROR(__xludf.DUMMYFUNCTION("""COMPUTED_VALUE"""),"T")</f>
        <v>T</v>
      </c>
      <c r="G16" s="5" t="str">
        <f>IFERROR(__xludf.DUMMYFUNCTION("""COMPUTED_VALUE"""),"SDI In")</f>
        <v>SDI In</v>
      </c>
      <c r="H16" s="5" t="str">
        <f>IFERROR(__xludf.DUMMYFUNCTION("""COMPUTED_VALUE"""),"TX.4")</f>
        <v>TX.4</v>
      </c>
      <c r="I16" s="5" t="str">
        <f>IFERROR(__xludf.DUMMYFUNCTION("""COMPUTED_VALUE"""),"Mixer Audio TX")</f>
        <v>Mixer Audio TX</v>
      </c>
      <c r="J16" s="5"/>
      <c r="K16" s="5"/>
      <c r="L16" s="5" t="str">
        <f>IFERROR(__xludf.DUMMYFUNCTION("""COMPUTED_VALUE"""),"Audio In")</f>
        <v>Audio In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DB!$B$2:$B$418</formula1>
    </dataValidation>
  </dataValidations>
  <drawing r:id="rId1"/>
</worksheet>
</file>