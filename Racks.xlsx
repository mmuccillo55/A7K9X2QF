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<sst xmlns="http://schemas.openxmlformats.org/spreadsheetml/2006/main" count="2011" uniqueCount="582">
  <si>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</si>
  <si>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</si>
  <si>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</si>
  <si>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</si>
  <si>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</si>
  <si>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</si>
  <si>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</si>
  <si>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</si>
  <si>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</si>
  <si>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</si>
  <si>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</si>
  <si>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</si>
  <si>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</si>
  <si>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</si>
  <si>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</si>
  <si>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</si>
  <si>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</si>
  <si>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</si>
  <si>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</si>
  <si>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</si>
  <si>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</si>
  <si>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</si>
  <si>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</si>
  <si>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</si>
  <si>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</si>
  <si>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</si>
  <si>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</si>
  <si>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</si>
  <si>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</si>
  <si>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</si>
  <si>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</si>
  <si>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</si>
  <si>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</si>
  <si>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</si>
  <si>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</si>
  <si>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</si>
  <si>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</si>
  <si>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</si>
  <si>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</si>
  <si>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</si>
  <si>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</si>
  <si>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</si>
  <si>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</si>
  <si>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</si>
  <si>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</si>
  <si>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</si>
  <si>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</si>
  <si>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</si>
  <si>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</si>
  <si>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</si>
  <si>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</si>
  <si>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</si>
  <si>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</si>
  <si>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</si>
  <si>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</si>
  <si>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</si>
  <si>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</si>
  <si>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</si>
  <si>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</si>
  <si>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</si>
  <si>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</si>
  <si>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</si>
  <si>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</si>
  <si>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</si>
  <si>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</si>
  <si>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</si>
  <si>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</si>
  <si>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</si>
  <si>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</si>
  <si>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</si>
  <si>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</si>
  <si>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</si>
  <si>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</si>
  <si>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</si>
  <si>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</si>
  <si>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</si>
  <si>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</si>
  <si>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</si>
  <si>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</si>
  <si>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</si>
  <si>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</si>
  <si>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</si>
  <si>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</si>
  <si>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</si>
  <si>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</si>
  <si>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</si>
  <si>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</si>
  <si>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</si>
  <si>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</si>
  <si>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</si>
  <si>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</si>
  <si>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</si>
  <si>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</si>
  <si>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</si>
  <si>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</si>
  <si>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</si>
  <si>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</si>
  <si>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</si>
  <si>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</si>
  <si>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</si>
  <si>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</si>
  <si>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</si>
  <si>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</si>
  <si>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</si>
  <si>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</si>
  <si>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</si>
  <si>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</si>
  <si>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</si>
  <si>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</si>
  <si>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</si>
  <si>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</si>
  <si>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</si>
  <si>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</si>
  <si>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</si>
  <si>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</si>
  <si>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</si>
  <si>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</si>
  <si>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</si>
  <si>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</si>
  <si>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</si>
  <si>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</si>
  <si>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</si>
  <si>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</si>
  <si>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</si>
  <si>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</si>
  <si>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</si>
  <si>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</si>
  <si>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</si>
  <si>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</si>
  <si>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</si>
  <si>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</si>
  <si>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</si>
  <si>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</si>
  <si>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</si>
  <si>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</si>
  <si>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</si>
  <si>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</si>
  <si>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</si>
  <si>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</si>
  <si>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</si>
  <si>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</si>
  <si>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</si>
  <si>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</si>
  <si>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</si>
  <si>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</si>
  <si>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</si>
  <si>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</si>
  <si>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</si>
  <si>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</si>
  <si>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</si>
  <si>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</si>
  <si>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</si>
  <si>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</si>
  <si>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</si>
  <si>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</si>
  <si>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</si>
  <si>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</si>
  <si>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</si>
  <si>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</si>
  <si>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</si>
  <si>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</si>
  <si>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</si>
  <si>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</si>
  <si>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</si>
  <si>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</si>
  <si>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</si>
  <si>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</si>
  <si>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</si>
  <si>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</si>
  <si>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</si>
  <si>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</si>
  <si>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</si>
  <si>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</si>
  <si>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</si>
  <si>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</si>
  <si>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</si>
  <si>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</si>
  <si>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</si>
  <si>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</si>
  <si>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</si>
  <si>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</si>
  <si>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</si>
  <si>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</si>
  <si>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</si>
  <si>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</si>
  <si>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</si>
  <si>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</si>
  <si>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</si>
  <si>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</si>
  <si>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</si>
  <si>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</si>
  <si>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</si>
  <si>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</si>
  <si>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</si>
  <si>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</si>
  <si>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</si>
  <si>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</si>
  <si>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</si>
  <si>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</si>
  <si>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</si>
  <si>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</si>
  <si>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</si>
  <si>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</si>
  <si>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</si>
  <si>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</si>
  <si>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</si>
  <si>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</si>
  <si>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</si>
  <si>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</si>
  <si>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</si>
  <si>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</si>
  <si>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</si>
  <si>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</si>
  <si>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</si>
  <si>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</si>
  <si>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</si>
  <si>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</si>
  <si>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</si>
  <si>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</si>
  <si>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</si>
  <si>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</si>
  <si>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</si>
  <si>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</si>
  <si>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</si>
  <si>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</si>
  <si>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</si>
  <si>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</si>
  <si>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</si>
  <si>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</si>
  <si>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</si>
  <si>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</si>
  <si>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</si>
  <si>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</si>
  <si>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</si>
  <si>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</si>
  <si>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</si>
  <si>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</si>
  <si>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</si>
  <si>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</si>
  <si>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</si>
  <si>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</si>
  <si>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</si>
  <si>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</si>
  <si>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</si>
  <si>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</si>
  <si>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</si>
  <si>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</si>
  <si>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</si>
  <si>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</si>
  <si>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</si>
  <si>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</si>
  <si>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</si>
  <si>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</si>
  <si>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</si>
  <si>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</si>
  <si>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</si>
  <si>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</si>
  <si>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</si>
  <si>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</si>
  <si>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</si>
  <si>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</si>
  <si>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</si>
  <si>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</si>
  <si>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</si>
  <si>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</si>
  <si>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</si>
  <si>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</si>
  <si>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</si>
  <si>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</si>
  <si>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</si>
  <si>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</si>
  <si>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</si>
  <si>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</si>
  <si>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</si>
  <si>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</si>
  <si>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</si>
  <si>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</si>
  <si>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</si>
  <si>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</si>
  <si>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</si>
  <si>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</si>
  <si>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</si>
  <si>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</si>
  <si>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</si>
  <si>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</si>
  <si>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</si>
  <si>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</si>
  <si>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</si>
  <si>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</si>
  <si>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</si>
  <si>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</si>
  <si>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</si>
  <si>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</si>
  <si>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</si>
  <si>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</si>
  <si>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</si>
  <si>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</si>
  <si>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</si>
  <si>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</si>
  <si>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</si>
  <si>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</si>
  <si>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</si>
  <si>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</si>
  <si>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</si>
  <si>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</si>
  <si>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</si>
  <si>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</si>
  <si>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</si>
  <si>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</si>
  <si>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</si>
  <si>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</si>
  <si>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</si>
  <si>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</si>
  <si>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</si>
  <si>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</si>
  <si>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</si>
  <si>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</si>
  <si>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</si>
  <si>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</si>
  <si>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</si>
  <si>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</si>
  <si>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</si>
  <si>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</si>
  <si>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</si>
  <si>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</si>
  <si>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</si>
  <si>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</si>
  <si>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</si>
  <si>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</si>
  <si>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</si>
  <si>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</si>
  <si>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</si>
  <si>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</si>
  <si>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</si>
  <si>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</si>
  <si>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</si>
  <si>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</si>
  <si>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</si>
  <si>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</si>
  <si>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</si>
  <si>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</si>
  <si>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</si>
  <si>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</si>
  <si>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</si>
  <si>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</si>
  <si>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</si>
  <si>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</si>
  <si>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</si>
  <si>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</si>
  <si>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</si>
  <si>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</si>
  <si>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</si>
  <si>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</si>
  <si>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</si>
  <si>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</si>
  <si>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</si>
  <si>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</si>
  <si>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</si>
  <si>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</si>
  <si>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</si>
  <si>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</si>
  <si>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</si>
  <si>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</si>
  <si>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</si>
  <si>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</si>
  <si>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</si>
  <si>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</si>
  <si>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</si>
  <si>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</si>
  <si>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</si>
  <si>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</si>
  <si>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L.1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</si>
  <si>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</si>
  <si>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</si>
  <si>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</si>
  <si>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</si>
  <si>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</si>
  <si>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</si>
  <si>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</si>
  <si>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</si>
  <si>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</si>
  <si>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</si>
  <si>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</si>
  <si>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</si>
  <si>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</si>
  <si>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</si>
  <si>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</si>
  <si>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</si>
  <si>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</si>
  <si>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</si>
  <si>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</si>
  <si>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</si>
  <si>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</si>
  <si>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</si>
  <si>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</si>
  <si>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</si>
  <si>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</si>
  <si>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</si>
  <si>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</si>
  <si>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</si>
  <si>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</si>
  <si>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</si>
  <si>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</si>
  <si>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</si>
  <si>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</si>
  <si>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</si>
  <si>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</si>
  <si>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</si>
  <si>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</si>
  <si>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</si>
  <si>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</si>
  <si>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L.5a</t>
  </si>
  <si>
    <t>4 - C12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</si>
  <si>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</si>
  <si>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</si>
  <si>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</si>
  <si>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</si>
  <si>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</si>
  <si>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</si>
  <si>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</si>
  <si>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</si>
  <si>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</si>
  <si>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</si>
  <si>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</si>
  <si>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</si>
  <si>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</si>
  <si>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</si>
  <si>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</si>
  <si>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</si>
  <si>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</si>
  <si>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</si>
  <si>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</si>
  <si>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</si>
  <si>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</si>
  <si>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</si>
  <si>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</si>
  <si>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</si>
  <si>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</si>
  <si>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</si>
  <si>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</si>
  <si>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</si>
  <si>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Aux 6</t>
  </si>
  <si>
    <t>Omni 15a</t>
  </si>
  <si>
    <t>A1</t>
  </si>
  <si>
    <t>Omni 15b</t>
  </si>
  <si>
    <t>A2</t>
  </si>
  <si>
    <t>Omni 15c</t>
  </si>
  <si>
    <t>Omni 15d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</si>
  <si>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</si>
  <si>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</si>
  <si>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</si>
  <si>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</si>
  <si>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</si>
  <si>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</si>
  <si>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</si>
  <si>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</si>
  <si>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</si>
  <si>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</si>
  <si>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</si>
  <si>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</si>
  <si>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</si>
  <si>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</si>
  <si>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</si>
  <si>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</si>
  <si>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</si>
  <si>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</si>
  <si>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</si>
  <si>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</si>
  <si>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</si>
  <si>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</si>
  <si>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</si>
  <si>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Viene de TX?</t>
  </si>
  <si>
    <t>Stereo Out R</t>
  </si>
  <si>
    <t>Bal In R</t>
  </si>
  <si>
    <t>Audio Out 2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</si>
  <si>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</si>
  <si>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</si>
  <si>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</si>
  <si>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</si>
  <si>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</si>
  <si>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</si>
  <si>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</si>
  <si>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</si>
  <si>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</si>
  <si>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</si>
  <si>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</si>
  <si>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</si>
  <si>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</si>
  <si>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</si>
  <si>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</si>
  <si>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</si>
  <si>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</si>
  <si>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</si>
  <si>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</si>
  <si>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</si>
  <si>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</si>
  <si>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</si>
  <si>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</si>
  <si>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</si>
  <si>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</si>
  <si>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</si>
  <si>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</si>
  <si>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</si>
  <si>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</si>
  <si>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</si>
  <si>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</si>
  <si>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</si>
  <si>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</si>
  <si>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</si>
  <si>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</si>
  <si>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</si>
  <si>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</si>
  <si>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</si>
  <si>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</si>
  <si>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</si>
  <si>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</si>
  <si>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</si>
  <si>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</si>
  <si>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</si>
  <si>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</si>
  <si>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</si>
  <si>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</si>
  <si>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</si>
  <si>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</si>
  <si>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</si>
  <si>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</si>
  <si>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</si>
  <si>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</si>
  <si>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</si>
  <si>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</si>
  <si>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</si>
  <si>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</si>
  <si>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</si>
  <si>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</si>
  <si>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</si>
  <si>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</si>
  <si>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</si>
  <si>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</si>
  <si>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</si>
  <si>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</si>
  <si>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</si>
  <si>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</si>
  <si>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</si>
  <si>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</si>
  <si>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</si>
  <si>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</si>
  <si>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</si>
  <si>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</si>
  <si>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</si>
  <si>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</si>
  <si>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</si>
  <si>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</si>
  <si>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</si>
  <si>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</si>
  <si>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</si>
  <si>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</si>
  <si>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</si>
  <si>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</si>
  <si>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</si>
  <si>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</si>
  <si>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</si>
  <si>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</si>
  <si>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</si>
  <si>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</si>
  <si>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</si>
  <si>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</si>
  <si>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</si>
  <si>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</si>
  <si>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</si>
  <si>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</si>
  <si>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</si>
  <si>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</si>
  <si>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</si>
  <si>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</si>
  <si>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</si>
  <si>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</si>
  <si>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</si>
  <si>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</si>
  <si>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</si>
  <si>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Mixer Audio TX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</si>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</sst>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185</v>
      </c>
      <c r="B70" s="7" t="str">
        <f>IF(A70="","",VLOOKUP(A70,DB!A:B,2,0))</f>
        <v>openGear X</v>
      </c>
      <c r="C70" s="11">
        <v>1.0</v>
      </c>
      <c r="D70" s="11" t="s">
        <v>196</v>
      </c>
      <c r="E70" s="11" t="s">
        <v>197</v>
      </c>
      <c r="F70" s="11" t="s">
        <v>198</v>
      </c>
      <c r="G70" s="11" t="s">
        <v>107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199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185</v>
      </c>
      <c r="B71" s="7" t="str">
        <f>IF(A71="","",VLOOKUP(A71,DB!A:B,2,0))</f>
        <v>openGear X</v>
      </c>
      <c r="C71" s="11">
        <v>2.0</v>
      </c>
      <c r="D71" s="11" t="s">
        <v>196</v>
      </c>
      <c r="E71" s="11" t="s">
        <v>197</v>
      </c>
      <c r="F71" s="11" t="s">
        <v>198</v>
      </c>
      <c r="G71" s="11" t="s">
        <v>107</v>
      </c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#N/A</v>
      </c>
      <c r="C77" s="5"/>
      <c r="D77" s="5"/>
      <c r="E77" s="6" t="s">
        <v>197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89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198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198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198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197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198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198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198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198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198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198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198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89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89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198</v>
      </c>
      <c r="G122" s="6" t="s">
        <v>163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198</v>
      </c>
      <c r="G124" s="6" t="s">
        <v>169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198</v>
      </c>
      <c r="G125" s="6" t="s">
        <v>172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198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198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198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198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198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198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198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198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198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198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198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198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198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198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198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198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198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198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198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198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198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198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198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198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198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198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198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198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198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198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198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198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198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198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198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198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198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198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198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198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198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198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198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107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198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163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198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198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198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198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198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198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198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198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198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197</v>
      </c>
      <c r="F186" s="6" t="s">
        <v>198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198</v>
      </c>
      <c r="G187" s="6" t="s">
        <v>107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198</v>
      </c>
      <c r="G188" s="6" t="s">
        <v>107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197</v>
      </c>
      <c r="F189" s="6" t="s">
        <v>198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198</v>
      </c>
      <c r="G190" s="6" t="s">
        <v>107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198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197</v>
      </c>
      <c r="F192" s="6" t="s">
        <v>198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198</v>
      </c>
      <c r="G193" s="6" t="s">
        <v>107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198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197</v>
      </c>
      <c r="F195" s="6" t="s">
        <v>198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198</v>
      </c>
      <c r="G196" s="6" t="s">
        <v>107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198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197</v>
      </c>
      <c r="F198" s="6" t="s">
        <v>198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198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198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361</v>
      </c>
      <c r="F201" s="6" t="s">
        <v>198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363</v>
      </c>
      <c r="F202" s="6" t="s">
        <v>198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144</v>
      </c>
      <c r="B203" s="6" t="str">
        <f>IF(A203="","",VLOOKUP(A203,DB!A:B,2,0))</f>
        <v>openGear X</v>
      </c>
      <c r="C203" s="6">
        <v>9.0</v>
      </c>
      <c r="D203" s="6" t="s">
        <v>145</v>
      </c>
      <c r="E203" s="6" t="s">
        <v>364</v>
      </c>
      <c r="F203" s="6" t="s">
        <v>198</v>
      </c>
      <c r="G203" s="6" t="s">
        <v>146</v>
      </c>
      <c r="H203" s="6" t="s">
        <v>89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144</v>
      </c>
      <c r="B204" s="6" t="str">
        <f>IF(A204="","",VLOOKUP(A204,DB!A:B,2,0))</f>
        <v>openGear X</v>
      </c>
      <c r="C204" s="6">
        <v>9.0</v>
      </c>
      <c r="D204" s="6" t="s">
        <v>145</v>
      </c>
      <c r="E204" s="6" t="s">
        <v>365</v>
      </c>
      <c r="F204" s="6" t="s">
        <v>198</v>
      </c>
      <c r="G204" s="6" t="s">
        <v>146</v>
      </c>
      <c r="H204" s="6" t="s">
        <v>89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144</v>
      </c>
      <c r="B205" s="6" t="str">
        <f>IF(A205="","",VLOOKUP(A205,DB!A:B,2,0))</f>
        <v>openGear X</v>
      </c>
      <c r="C205" s="6">
        <v>9.0</v>
      </c>
      <c r="D205" s="6" t="s">
        <v>145</v>
      </c>
      <c r="E205" s="6" t="s">
        <v>318</v>
      </c>
      <c r="F205" s="6" t="s">
        <v>198</v>
      </c>
      <c r="G205" s="6" t="s">
        <v>319</v>
      </c>
      <c r="H205" s="6" t="s">
        <v>89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144</v>
      </c>
      <c r="B206" s="6" t="str">
        <f>IF(A206="","",VLOOKUP(A206,DB!A:B,2,0))</f>
        <v>openGear X</v>
      </c>
      <c r="C206" s="6">
        <v>9.0</v>
      </c>
      <c r="D206" s="6" t="s">
        <v>145</v>
      </c>
      <c r="E206" s="6" t="s">
        <v>366</v>
      </c>
      <c r="F206" s="6" t="s">
        <v>198</v>
      </c>
      <c r="G206" s="6" t="s">
        <v>319</v>
      </c>
      <c r="H206" s="6" t="s">
        <v>89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144</v>
      </c>
      <c r="B207" s="6" t="str">
        <f>IF(A207="","",VLOOKUP(A207,DB!A:B,2,0))</f>
        <v>openGear X</v>
      </c>
      <c r="C207" s="6">
        <v>9.0</v>
      </c>
      <c r="D207" s="6" t="s">
        <v>145</v>
      </c>
      <c r="E207" s="6" t="s">
        <v>367</v>
      </c>
      <c r="F207" s="6" t="s">
        <v>198</v>
      </c>
      <c r="G207" s="6" t="s">
        <v>319</v>
      </c>
      <c r="H207" s="6" t="s">
        <v>89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144</v>
      </c>
      <c r="B208" s="6" t="str">
        <f>IF(A208="","",VLOOKUP(A208,DB!A:B,2,0))</f>
        <v>openGear X</v>
      </c>
      <c r="C208" s="6">
        <v>9.0</v>
      </c>
      <c r="D208" s="6" t="s">
        <v>145</v>
      </c>
      <c r="E208" s="6" t="s">
        <v>368</v>
      </c>
      <c r="F208" s="6" t="s">
        <v>198</v>
      </c>
      <c r="G208" s="6" t="s">
        <v>319</v>
      </c>
      <c r="H208" s="6" t="s">
        <v>89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5.0</v>
      </c>
      <c r="D210" s="6" t="s">
        <v>186</v>
      </c>
      <c r="E210" s="6" t="s">
        <v>197</v>
      </c>
      <c r="F210" s="6" t="s">
        <v>198</v>
      </c>
      <c r="G210" s="6" t="s">
        <v>107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163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198</v>
      </c>
      <c r="G211" s="6" t="s">
        <v>319</v>
      </c>
      <c r="H211" s="6" t="s">
        <v>371</v>
      </c>
      <c r="I211" s="5" t="str">
        <f>IF(H211="","",VLOOKUP(H211,DB!A:B,2,0))</f>
        <v>VIDEOTRON</v>
      </c>
      <c r="J211" s="5"/>
      <c r="K211" s="6"/>
      <c r="L211" s="6" t="s">
        <v>163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372</v>
      </c>
      <c r="F212" s="6" t="s">
        <v>198</v>
      </c>
      <c r="G212" s="6" t="s">
        <v>319</v>
      </c>
      <c r="H212" s="6" t="s">
        <v>89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198</v>
      </c>
      <c r="G213" s="6" t="s">
        <v>319</v>
      </c>
      <c r="H213" s="6" t="s">
        <v>89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198</v>
      </c>
      <c r="G214" s="6" t="s">
        <v>319</v>
      </c>
      <c r="H214" s="6" t="s">
        <v>89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198</v>
      </c>
      <c r="G215" s="6" t="s">
        <v>319</v>
      </c>
      <c r="H215" s="6" t="s">
        <v>89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198</v>
      </c>
      <c r="G216" s="6" t="s">
        <v>319</v>
      </c>
      <c r="H216" s="6" t="s">
        <v>89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198</v>
      </c>
      <c r="G217" s="6" t="s">
        <v>319</v>
      </c>
      <c r="H217" s="6" t="s">
        <v>89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198</v>
      </c>
      <c r="G218" s="6" t="s">
        <v>319</v>
      </c>
      <c r="H218" s="6" t="s">
        <v>89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373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144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374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375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144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376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377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378</v>
      </c>
      <c r="B222" s="6" t="str">
        <f>IF(A222="","",VLOOKUP(A222,DB!A:B,2,0))</f>
        <v>PC Videollamada</v>
      </c>
      <c r="C222" s="6">
        <v>1.0</v>
      </c>
      <c r="D222" s="6" t="s">
        <v>73</v>
      </c>
      <c r="E222" s="6" t="s">
        <v>379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91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91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91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91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91</v>
      </c>
      <c r="B231" s="6" t="str">
        <f>IF(A231="","",VLOOKUP(A231,DB!A:B,2,0))</f>
        <v>FOR A HVS-390HS</v>
      </c>
      <c r="C231" s="5"/>
      <c r="D231" s="5"/>
      <c r="E231" s="6" t="s">
        <v>380</v>
      </c>
      <c r="F231" s="5"/>
      <c r="G231" s="5"/>
      <c r="H231" s="6" t="s">
        <v>381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91</v>
      </c>
      <c r="B232" s="6" t="str">
        <f>IF(A232="","",VLOOKUP(A232,DB!A:B,2,0))</f>
        <v>FOR A HVS-390HS</v>
      </c>
      <c r="C232" s="5"/>
      <c r="D232" s="5"/>
      <c r="E232" s="6" t="s">
        <v>382</v>
      </c>
      <c r="F232" s="5"/>
      <c r="G232" s="5"/>
      <c r="H232" s="6" t="s">
        <v>383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384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91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385</v>
      </c>
      <c r="I233" s="5" t="str">
        <f>IF(H233="","",VLOOKUP(H233,DB!A:B,2,0))</f>
        <v>AJA HD5DA</v>
      </c>
      <c r="J233" s="5"/>
      <c r="K233" s="6"/>
      <c r="L233" s="6" t="s">
        <v>107</v>
      </c>
      <c r="M233" s="5"/>
      <c r="N233" s="5"/>
      <c r="O233" s="6" t="s">
        <v>386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385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198</v>
      </c>
      <c r="G234" s="6" t="s">
        <v>107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387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385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198</v>
      </c>
      <c r="G235" s="6" t="s">
        <v>107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387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385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198</v>
      </c>
      <c r="G236" s="6" t="s">
        <v>107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387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385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198</v>
      </c>
      <c r="G237" s="6" t="s">
        <v>107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388</v>
      </c>
      <c r="B238" s="6" t="str">
        <f>IF(A238="","",VLOOKUP(A238,DB!A:B,2,0))</f>
        <v>Patch Estudio</v>
      </c>
      <c r="C238" s="5"/>
      <c r="D238" s="5"/>
      <c r="E238" s="6" t="s">
        <v>389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89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89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89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89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89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89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89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89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89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89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89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89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89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144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390</v>
      </c>
      <c r="F255" s="5"/>
      <c r="G255" s="5"/>
      <c r="H255" s="6" t="s">
        <v>391</v>
      </c>
      <c r="I255" s="5" t="str">
        <f>IF(H255="","",VLOOKUP(H255,DB!A:B,2,0))</f>
        <v>Digiwave DSC-131</v>
      </c>
      <c r="J255" s="6"/>
      <c r="K255" s="6"/>
      <c r="L255" s="6" t="s">
        <v>392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391</v>
      </c>
      <c r="B256" s="6" t="str">
        <f>IF(A256="","",VLOOKUP(A256,DB!A:B,2,0))</f>
        <v>Digiwave DSC-131</v>
      </c>
      <c r="C256" s="5"/>
      <c r="D256" s="6"/>
      <c r="E256" s="6" t="s">
        <v>393</v>
      </c>
      <c r="F256" s="5"/>
      <c r="G256" s="5"/>
      <c r="H256" s="6" t="s">
        <v>394</v>
      </c>
      <c r="I256" s="5" t="str">
        <f>IF(H256="","",VLOOKUP(H256,DB!A:B,2,0))</f>
        <v>vidicraft vst2110</v>
      </c>
      <c r="J256" s="6"/>
      <c r="K256" s="6"/>
      <c r="L256" s="6" t="s">
        <v>395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396</v>
      </c>
      <c r="B257" s="6" t="str">
        <f>IF(A257="","",VLOOKUP(A257,DB!A:B,2,0))</f>
        <v>tc electronic Finalizer</v>
      </c>
      <c r="C257" s="5"/>
      <c r="D257" s="6"/>
      <c r="E257" s="6" t="s">
        <v>397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398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396</v>
      </c>
      <c r="B258" s="6" t="str">
        <f>IF(A258="","",VLOOKUP(A258,DB!A:B,2,0))</f>
        <v>tc electronic Finalizer</v>
      </c>
      <c r="C258" s="5"/>
      <c r="D258" s="6"/>
      <c r="E258" s="6" t="s">
        <v>399</v>
      </c>
      <c r="F258" s="5"/>
      <c r="G258" s="5"/>
      <c r="H258" s="6" t="s">
        <v>89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396</v>
      </c>
      <c r="B259" s="6" t="str">
        <f>IF(A259="","",VLOOKUP(A259,DB!A:B,2,0))</f>
        <v>tc electronic Finalizer</v>
      </c>
      <c r="C259" s="5"/>
      <c r="D259" s="6"/>
      <c r="E259" s="6" t="s">
        <v>400</v>
      </c>
      <c r="F259" s="5"/>
      <c r="G259" s="5"/>
      <c r="H259" s="6" t="s">
        <v>89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401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198</v>
      </c>
      <c r="G260" s="6" t="s">
        <v>18</v>
      </c>
      <c r="H260" s="6" t="s">
        <v>188</v>
      </c>
      <c r="I260" s="5" t="str">
        <f>IF(H260="","",VLOOKUP(H260,DB!A:B,2,0))</f>
        <v>Player A</v>
      </c>
      <c r="J260" s="6">
        <v>1.0</v>
      </c>
      <c r="K260" s="6" t="s">
        <v>73</v>
      </c>
      <c r="L260" s="6" t="s">
        <v>402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401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198</v>
      </c>
      <c r="G261" s="6" t="s">
        <v>18</v>
      </c>
      <c r="H261" s="6" t="s">
        <v>188</v>
      </c>
      <c r="I261" s="5" t="str">
        <f>IF(H261="","",VLOOKUP(H261,DB!A:B,2,0))</f>
        <v>Player A</v>
      </c>
      <c r="J261" s="6">
        <v>2.0</v>
      </c>
      <c r="K261" s="6" t="s">
        <v>73</v>
      </c>
      <c r="L261" s="6" t="s">
        <v>402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401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198</v>
      </c>
      <c r="G262" s="6" t="s">
        <v>18</v>
      </c>
      <c r="H262" s="6" t="s">
        <v>191</v>
      </c>
      <c r="I262" s="5" t="str">
        <f>IF(H262="","",VLOOKUP(H262,DB!A:B,2,0))</f>
        <v>Player B</v>
      </c>
      <c r="J262" s="6">
        <v>1.0</v>
      </c>
      <c r="K262" s="6" t="s">
        <v>73</v>
      </c>
      <c r="L262" s="6" t="s">
        <v>402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401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198</v>
      </c>
      <c r="G263" s="6" t="s">
        <v>18</v>
      </c>
      <c r="H263" s="6" t="s">
        <v>191</v>
      </c>
      <c r="I263" s="5" t="str">
        <f>IF(H263="","",VLOOKUP(H263,DB!A:B,2,0))</f>
        <v>Player B</v>
      </c>
      <c r="J263" s="6">
        <v>2.0</v>
      </c>
      <c r="K263" s="6" t="s">
        <v>73</v>
      </c>
      <c r="L263" s="6" t="s">
        <v>402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401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198</v>
      </c>
      <c r="G264" s="6" t="s">
        <v>18</v>
      </c>
      <c r="H264" s="6" t="s">
        <v>193</v>
      </c>
      <c r="I264" s="5" t="str">
        <f>IF(H264="","",VLOOKUP(H264,DB!A:B,2,0))</f>
        <v>Player C</v>
      </c>
      <c r="J264" s="6">
        <v>1.0</v>
      </c>
      <c r="K264" s="6" t="s">
        <v>73</v>
      </c>
      <c r="L264" s="6" t="s">
        <v>402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401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198</v>
      </c>
      <c r="G265" s="6" t="s">
        <v>18</v>
      </c>
      <c r="H265" s="6" t="s">
        <v>193</v>
      </c>
      <c r="I265" s="5" t="str">
        <f>IF(H265="","",VLOOKUP(H265,DB!A:B,2,0))</f>
        <v>Player C</v>
      </c>
      <c r="J265" s="6">
        <v>2.0</v>
      </c>
      <c r="K265" s="6" t="s">
        <v>73</v>
      </c>
      <c r="L265" s="6" t="s">
        <v>402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401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198</v>
      </c>
      <c r="G266" s="6" t="s">
        <v>18</v>
      </c>
      <c r="H266" s="6" t="s">
        <v>89</v>
      </c>
      <c r="I266" s="5" t="str">
        <f>IF(H266="","",VLOOKUP(H266,DB!A:B,2,0))</f>
        <v/>
      </c>
      <c r="J266" s="6"/>
      <c r="K266" s="6"/>
      <c r="L266" s="6"/>
      <c r="M266" s="5"/>
      <c r="N266" s="6" t="s">
        <v>403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401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198</v>
      </c>
      <c r="G267" s="6" t="s">
        <v>18</v>
      </c>
      <c r="H267" s="6" t="s">
        <v>89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188</v>
      </c>
      <c r="B268" s="6" t="str">
        <f>IF(A268="","",VLOOKUP(A268,DB!A:B,2,0))</f>
        <v>Player A</v>
      </c>
      <c r="C268" s="6">
        <v>2.0</v>
      </c>
      <c r="D268" s="6" t="s">
        <v>73</v>
      </c>
      <c r="E268" s="6" t="s">
        <v>404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405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182</v>
      </c>
      <c r="B269" s="6" t="str">
        <f>IF(A269="","",VLOOKUP(A269,DB!A:B,2,0))</f>
        <v>?????</v>
      </c>
      <c r="C269" s="5"/>
      <c r="D269" s="6"/>
      <c r="E269" s="6"/>
      <c r="F269" s="5"/>
      <c r="G269" s="5"/>
      <c r="H269" s="6" t="s">
        <v>206</v>
      </c>
      <c r="I269" s="5" t="str">
        <f>IF(H269="","",VLOOKUP(H269,DB!A:B,2,0))</f>
        <v>openGear X</v>
      </c>
      <c r="J269" s="6">
        <v>1.0</v>
      </c>
      <c r="K269" s="6" t="s">
        <v>317</v>
      </c>
      <c r="L269" s="6" t="s">
        <v>319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406</v>
      </c>
      <c r="F270" s="6" t="s">
        <v>198</v>
      </c>
      <c r="G270" s="6" t="s">
        <v>319</v>
      </c>
      <c r="H270" s="6" t="s">
        <v>89</v>
      </c>
      <c r="I270" s="5" t="str">
        <f>IF(H270="","",VLOOKUP(H270,DB!A:B,2,0))</f>
        <v/>
      </c>
      <c r="J270" s="5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407</v>
      </c>
      <c r="F271" s="6" t="s">
        <v>198</v>
      </c>
      <c r="G271" s="6" t="s">
        <v>319</v>
      </c>
      <c r="H271" s="6" t="s">
        <v>408</v>
      </c>
      <c r="I271" s="5" t="str">
        <f>IF(H271="","",VLOOKUP(H271,DB!A:B,2,0))</f>
        <v>BM Fiber Converter</v>
      </c>
      <c r="J271" s="5"/>
      <c r="K271" s="6"/>
      <c r="L271" s="6" t="s">
        <v>107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198</v>
      </c>
      <c r="G272" s="6" t="s">
        <v>319</v>
      </c>
      <c r="H272" s="6" t="s">
        <v>411</v>
      </c>
      <c r="I272" s="5" t="str">
        <f>IF(H272="","",VLOOKUP(H272,DB!A:B,2,0))</f>
        <v>BM Fiber Converter</v>
      </c>
      <c r="J272" s="5"/>
      <c r="K272" s="6"/>
      <c r="L272" s="6" t="s">
        <v>107</v>
      </c>
      <c r="M272" s="5"/>
      <c r="N272" s="6" t="s">
        <v>412</v>
      </c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413</v>
      </c>
      <c r="F273" s="6" t="s">
        <v>198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3.0</v>
      </c>
      <c r="K273" s="14" t="s">
        <v>207</v>
      </c>
      <c r="L273" s="6" t="s">
        <v>107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414</v>
      </c>
      <c r="F274" s="6" t="s">
        <v>198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2.0</v>
      </c>
      <c r="K274" s="14" t="s">
        <v>207</v>
      </c>
      <c r="L274" s="6" t="s">
        <v>107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415</v>
      </c>
      <c r="F275" s="6" t="s">
        <v>198</v>
      </c>
      <c r="G275" s="6" t="s">
        <v>319</v>
      </c>
      <c r="H275" s="6" t="s">
        <v>206</v>
      </c>
      <c r="I275" s="5" t="str">
        <f>IF(H275="","",VLOOKUP(H275,DB!A:B,2,0))</f>
        <v>openGear X</v>
      </c>
      <c r="J275" s="6">
        <v>5.0</v>
      </c>
      <c r="K275" s="14" t="s">
        <v>207</v>
      </c>
      <c r="L275" s="6" t="s">
        <v>107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416</v>
      </c>
      <c r="F276" s="6" t="s">
        <v>198</v>
      </c>
      <c r="G276" s="6" t="s">
        <v>319</v>
      </c>
      <c r="H276" s="6" t="s">
        <v>182</v>
      </c>
      <c r="I276" s="5" t="str">
        <f>IF(H276="","",VLOOKUP(H276,DB!A:B,2,0))</f>
        <v>?????</v>
      </c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417</v>
      </c>
      <c r="F277" s="6" t="s">
        <v>198</v>
      </c>
      <c r="G277" s="6" t="s">
        <v>319</v>
      </c>
      <c r="H277" s="6" t="s">
        <v>349</v>
      </c>
      <c r="I277" s="5" t="str">
        <f>IF(H277="","",VLOOKUP(H277,DB!A:B,2,0))</f>
        <v>VIDEObit 3G-LINK-TD</v>
      </c>
      <c r="J277" s="6"/>
      <c r="K277" s="6"/>
      <c r="L277" s="6" t="s">
        <v>68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206</v>
      </c>
      <c r="B278" s="6" t="str">
        <f>IF(A278="","",VLOOKUP(A278,DB!A:B,2,0))</f>
        <v>openGear X</v>
      </c>
      <c r="C278" s="6">
        <v>1.0</v>
      </c>
      <c r="D278" s="6" t="s">
        <v>317</v>
      </c>
      <c r="E278" s="6" t="s">
        <v>418</v>
      </c>
      <c r="F278" s="6" t="s">
        <v>198</v>
      </c>
      <c r="G278" s="6" t="s">
        <v>319</v>
      </c>
      <c r="H278" s="6" t="s">
        <v>89</v>
      </c>
      <c r="I278" s="5" t="str">
        <f>IF(H278="","",VLOOKUP(H278,DB!A:B,2,0))</f>
        <v/>
      </c>
      <c r="J278" s="6"/>
      <c r="K278" s="6"/>
      <c r="L278" s="6"/>
      <c r="M278" s="5"/>
      <c r="N278" s="6" t="s">
        <v>214</v>
      </c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419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144</v>
      </c>
      <c r="I279" s="5" t="str">
        <f>IF(H279="","",VLOOKUP(H279,DB!A:B,2,0))</f>
        <v>openGear X</v>
      </c>
      <c r="J279" s="6">
        <v>0.0</v>
      </c>
      <c r="K279" s="6" t="s">
        <v>421</v>
      </c>
      <c r="L279" s="6" t="s">
        <v>402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419</v>
      </c>
      <c r="B280" s="6" t="str">
        <f>IF(A280="","",VLOOKUP(A280,DB!A:B,2,0))</f>
        <v>Leader Sync Generator</v>
      </c>
      <c r="C280" s="5"/>
      <c r="D280" s="6"/>
      <c r="E280" s="6" t="s">
        <v>422</v>
      </c>
      <c r="F280" s="5"/>
      <c r="G280" s="5"/>
      <c r="H280" s="6" t="s">
        <v>15</v>
      </c>
      <c r="I280" s="5" t="str">
        <f>IF(H280="","",VLOOKUP(H280,DB!A:B,2,0))</f>
        <v>AJA KUMO 6464</v>
      </c>
      <c r="J280" s="6"/>
      <c r="K280" s="6"/>
      <c r="L280" s="6" t="s">
        <v>402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419</v>
      </c>
      <c r="B281" s="6" t="str">
        <f>IF(A281="","",VLOOKUP(A281,DB!A:B,2,0))</f>
        <v>Leader Sync Generator</v>
      </c>
      <c r="C281" s="5"/>
      <c r="D281" s="6"/>
      <c r="E281" s="6" t="s">
        <v>423</v>
      </c>
      <c r="F281" s="5"/>
      <c r="G281" s="5"/>
      <c r="H281" s="6" t="s">
        <v>424</v>
      </c>
      <c r="I281" s="5" t="str">
        <f>IF(H281="","",VLOOKUP(H281,DB!A:B,2,0))</f>
        <v>Miranda Densite3</v>
      </c>
      <c r="J281" s="6">
        <v>7.0</v>
      </c>
      <c r="K281" s="6" t="s">
        <v>425</v>
      </c>
      <c r="L281" s="6" t="s">
        <v>395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419</v>
      </c>
      <c r="B282" s="6" t="str">
        <f>IF(A282="","",VLOOKUP(A282,DB!A:B,2,0))</f>
        <v>Leader Sync Generator</v>
      </c>
      <c r="C282" s="5"/>
      <c r="D282" s="6"/>
      <c r="E282" s="6" t="s">
        <v>426</v>
      </c>
      <c r="F282" s="5"/>
      <c r="G282" s="5"/>
      <c r="H282" s="6" t="s">
        <v>89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419</v>
      </c>
      <c r="B283" s="6" t="str">
        <f>IF(A283="","",VLOOKUP(A283,DB!A:B,2,0))</f>
        <v>Leader Sync Generator</v>
      </c>
      <c r="C283" s="5"/>
      <c r="D283" s="6"/>
      <c r="E283" s="6" t="s">
        <v>427</v>
      </c>
      <c r="F283" s="5"/>
      <c r="G283" s="5"/>
      <c r="H283" s="6" t="s">
        <v>89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419</v>
      </c>
      <c r="B284" s="6" t="str">
        <f>IF(A284="","",VLOOKUP(A284,DB!A:B,2,0))</f>
        <v>Leader Sync Generator</v>
      </c>
      <c r="C284" s="5"/>
      <c r="D284" s="6"/>
      <c r="E284" s="6" t="s">
        <v>428</v>
      </c>
      <c r="F284" s="5"/>
      <c r="G284" s="5"/>
      <c r="H284" s="6" t="s">
        <v>89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424</v>
      </c>
      <c r="B285" s="6" t="str">
        <f>IF(A285="","",VLOOKUP(A285,DB!A:B,2,0))</f>
        <v>Miranda Densite3</v>
      </c>
      <c r="C285" s="6">
        <v>7.0</v>
      </c>
      <c r="D285" s="6" t="s">
        <v>425</v>
      </c>
      <c r="E285" s="6" t="s">
        <v>429</v>
      </c>
      <c r="F285" s="6" t="s">
        <v>198</v>
      </c>
      <c r="G285" s="6" t="s">
        <v>395</v>
      </c>
      <c r="H285" s="6" t="s">
        <v>391</v>
      </c>
      <c r="I285" s="5" t="str">
        <f>IF(H285="","",VLOOKUP(H285,DB!A:B,2,0))</f>
        <v>Digiwave DSC-131</v>
      </c>
      <c r="J285" s="6"/>
      <c r="K285" s="6"/>
      <c r="L285" s="6" t="s">
        <v>402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424</v>
      </c>
      <c r="B286" s="6" t="str">
        <f>IF(A286="","",VLOOKUP(A286,DB!A:B,2,0))</f>
        <v>Miranda Densite3</v>
      </c>
      <c r="C286" s="6">
        <v>7.0</v>
      </c>
      <c r="D286" s="6" t="s">
        <v>425</v>
      </c>
      <c r="E286" s="6" t="s">
        <v>430</v>
      </c>
      <c r="F286" s="6" t="s">
        <v>198</v>
      </c>
      <c r="G286" s="6" t="s">
        <v>395</v>
      </c>
      <c r="H286" s="6" t="s">
        <v>401</v>
      </c>
      <c r="I286" s="5" t="str">
        <f>IF(H286="","",VLOOKUP(H286,DB!A:B,2,0))</f>
        <v>Videotron DV100-EQ</v>
      </c>
      <c r="J286" s="6"/>
      <c r="K286" s="6"/>
      <c r="L286" s="6" t="s">
        <v>18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424</v>
      </c>
      <c r="B287" s="6" t="str">
        <f>IF(A287="","",VLOOKUP(A287,DB!A:B,2,0))</f>
        <v>Miranda Densite3</v>
      </c>
      <c r="C287" s="6">
        <v>7.0</v>
      </c>
      <c r="D287" s="6" t="s">
        <v>425</v>
      </c>
      <c r="E287" s="6" t="s">
        <v>431</v>
      </c>
      <c r="F287" s="6" t="s">
        <v>198</v>
      </c>
      <c r="G287" s="6" t="s">
        <v>395</v>
      </c>
      <c r="H287" s="6" t="s">
        <v>278</v>
      </c>
      <c r="I287" s="5" t="str">
        <f>IF(H287="","",VLOOKUP(H287,DB!A:B,2,0))</f>
        <v>Sony HXCU-100 Cam 1</v>
      </c>
      <c r="J287" s="6"/>
      <c r="K287" s="6"/>
      <c r="L287" s="6" t="s">
        <v>402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424</v>
      </c>
      <c r="B288" s="6" t="str">
        <f>IF(A288="","",VLOOKUP(A288,DB!A:B,2,0))</f>
        <v>Miranda Densite3</v>
      </c>
      <c r="C288" s="6">
        <v>7.0</v>
      </c>
      <c r="D288" s="6" t="s">
        <v>425</v>
      </c>
      <c r="E288" s="6" t="s">
        <v>432</v>
      </c>
      <c r="F288" s="6" t="s">
        <v>198</v>
      </c>
      <c r="G288" s="6" t="s">
        <v>395</v>
      </c>
      <c r="H288" s="6" t="s">
        <v>89</v>
      </c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424</v>
      </c>
      <c r="B289" s="6" t="str">
        <f>IF(A289="","",VLOOKUP(A289,DB!A:B,2,0))</f>
        <v>Miranda Densite3</v>
      </c>
      <c r="C289" s="6">
        <v>7.0</v>
      </c>
      <c r="D289" s="6" t="s">
        <v>425</v>
      </c>
      <c r="E289" s="6" t="s">
        <v>433</v>
      </c>
      <c r="F289" s="6" t="s">
        <v>198</v>
      </c>
      <c r="G289" s="6" t="s">
        <v>395</v>
      </c>
      <c r="H289" s="6" t="s">
        <v>89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424</v>
      </c>
      <c r="B290" s="6" t="str">
        <f>IF(A290="","",VLOOKUP(A290,DB!A:B,2,0))</f>
        <v>Miranda Densite3</v>
      </c>
      <c r="C290" s="6">
        <v>7.0</v>
      </c>
      <c r="D290" s="6" t="s">
        <v>425</v>
      </c>
      <c r="E290" s="6" t="s">
        <v>434</v>
      </c>
      <c r="F290" s="6" t="s">
        <v>198</v>
      </c>
      <c r="G290" s="6" t="s">
        <v>395</v>
      </c>
      <c r="H290" s="6" t="s">
        <v>89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424</v>
      </c>
      <c r="B291" s="6" t="str">
        <f>IF(A291="","",VLOOKUP(A291,DB!A:B,2,0))</f>
        <v>Miranda Densite3</v>
      </c>
      <c r="C291" s="6">
        <v>7.0</v>
      </c>
      <c r="D291" s="6" t="s">
        <v>425</v>
      </c>
      <c r="E291" s="6" t="s">
        <v>435</v>
      </c>
      <c r="F291" s="6" t="s">
        <v>198</v>
      </c>
      <c r="G291" s="6" t="s">
        <v>395</v>
      </c>
      <c r="H291" s="6" t="s">
        <v>89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424</v>
      </c>
      <c r="B292" s="6" t="str">
        <f>IF(A292="","",VLOOKUP(A292,DB!A:B,2,0))</f>
        <v>Miranda Densite3</v>
      </c>
      <c r="C292" s="6">
        <v>7.0</v>
      </c>
      <c r="D292" s="6" t="s">
        <v>425</v>
      </c>
      <c r="E292" s="6" t="s">
        <v>436</v>
      </c>
      <c r="F292" s="6" t="s">
        <v>198</v>
      </c>
      <c r="G292" s="6" t="s">
        <v>395</v>
      </c>
      <c r="H292" s="6" t="s">
        <v>89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424</v>
      </c>
      <c r="B293" s="6" t="str">
        <f>IF(A293="","",VLOOKUP(A293,DB!A:B,2,0))</f>
        <v>Miranda Densite3</v>
      </c>
      <c r="C293" s="6">
        <v>7.0</v>
      </c>
      <c r="D293" s="6" t="s">
        <v>425</v>
      </c>
      <c r="E293" s="6" t="s">
        <v>437</v>
      </c>
      <c r="F293" s="6" t="s">
        <v>198</v>
      </c>
      <c r="G293" s="6" t="s">
        <v>395</v>
      </c>
      <c r="H293" s="6" t="s">
        <v>89</v>
      </c>
      <c r="I293" s="5" t="str">
        <f>IF(H293="","",VLOOKUP(H293,DB!A:B,2,0))</f>
        <v/>
      </c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15</v>
      </c>
      <c r="B294" s="6" t="str">
        <f>IF(A294="","",VLOOKUP(A294,DB!A:B,2,0))</f>
        <v>AJA KUMO 6464</v>
      </c>
      <c r="C294" s="5"/>
      <c r="D294" s="6"/>
      <c r="E294" s="6" t="s">
        <v>438</v>
      </c>
      <c r="F294" s="6" t="s">
        <v>198</v>
      </c>
      <c r="G294" s="6" t="s">
        <v>402</v>
      </c>
      <c r="H294" s="6" t="s">
        <v>17</v>
      </c>
      <c r="I294" s="5" t="str">
        <f>IF(H294="","",VLOOKUP(H294,DB!A:B,2,0))</f>
        <v>Blackmagic 12 x 12</v>
      </c>
      <c r="J294" s="6"/>
      <c r="K294" s="6"/>
      <c r="L294" s="6" t="s">
        <v>402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278</v>
      </c>
      <c r="B295" s="6" t="str">
        <f>IF(A295="","",VLOOKUP(A295,DB!A:B,2,0))</f>
        <v>Sony HXCU-100 Cam 1</v>
      </c>
      <c r="C295" s="5"/>
      <c r="D295" s="6"/>
      <c r="E295" s="6" t="s">
        <v>438</v>
      </c>
      <c r="F295" s="6" t="s">
        <v>198</v>
      </c>
      <c r="G295" s="6" t="s">
        <v>402</v>
      </c>
      <c r="H295" s="6" t="s">
        <v>281</v>
      </c>
      <c r="I295" s="5" t="str">
        <f>IF(H295="","",VLOOKUP(H295,DB!A:B,2,0))</f>
        <v>Sony HXCU-100 Cam 2</v>
      </c>
      <c r="J295" s="6"/>
      <c r="K295" s="6"/>
      <c r="L295" s="6" t="s">
        <v>402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281</v>
      </c>
      <c r="B296" s="6" t="str">
        <f>IF(A296="","",VLOOKUP(A296,DB!A:B,2,0))</f>
        <v>Sony HXCU-100 Cam 2</v>
      </c>
      <c r="C296" s="5"/>
      <c r="D296" s="6"/>
      <c r="E296" s="6" t="s">
        <v>438</v>
      </c>
      <c r="F296" s="6" t="s">
        <v>198</v>
      </c>
      <c r="G296" s="6" t="s">
        <v>402</v>
      </c>
      <c r="H296" s="6" t="s">
        <v>284</v>
      </c>
      <c r="I296" s="5" t="str">
        <f>IF(H296="","",VLOOKUP(H296,DB!A:B,2,0))</f>
        <v>Sony HXCU-100 Cam 3</v>
      </c>
      <c r="J296" s="6"/>
      <c r="K296" s="6"/>
      <c r="L296" s="6" t="s">
        <v>402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284</v>
      </c>
      <c r="B297" s="6" t="str">
        <f>IF(A297="","",VLOOKUP(A297,DB!A:B,2,0))</f>
        <v>Sony HXCU-100 Cam 3</v>
      </c>
      <c r="C297" s="5"/>
      <c r="D297" s="6"/>
      <c r="E297" s="6" t="s">
        <v>438</v>
      </c>
      <c r="F297" s="6" t="s">
        <v>198</v>
      </c>
      <c r="G297" s="6" t="s">
        <v>402</v>
      </c>
      <c r="H297" s="6" t="s">
        <v>287</v>
      </c>
      <c r="I297" s="5" t="str">
        <f>IF(H297="","",VLOOKUP(H297,DB!A:B,2,0))</f>
        <v>Sony HXCU-100 Cam 4</v>
      </c>
      <c r="J297" s="6"/>
      <c r="K297" s="6"/>
      <c r="L297" s="6" t="s">
        <v>402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287</v>
      </c>
      <c r="B298" s="6" t="str">
        <f>IF(A298="","",VLOOKUP(A298,DB!A:B,2,0))</f>
        <v>Sony HXCU-100 Cam 4</v>
      </c>
      <c r="C298" s="5"/>
      <c r="D298" s="6"/>
      <c r="E298" s="6" t="s">
        <v>438</v>
      </c>
      <c r="F298" s="6" t="s">
        <v>198</v>
      </c>
      <c r="G298" s="6" t="s">
        <v>402</v>
      </c>
      <c r="H298" s="6" t="s">
        <v>91</v>
      </c>
      <c r="I298" s="5" t="str">
        <f>IF(H298="","",VLOOKUP(H298,DB!A:B,2,0))</f>
        <v>FOR A HVS-390HS</v>
      </c>
      <c r="J298" s="6"/>
      <c r="K298" s="6"/>
      <c r="L298" s="6" t="s">
        <v>402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89</v>
      </c>
      <c r="B299" s="6" t="str">
        <f>IF(A299="","",VLOOKUP(A299,DB!A:B,2,0))</f>
        <v/>
      </c>
      <c r="C299" s="5"/>
      <c r="D299" s="6"/>
      <c r="E299" s="6"/>
      <c r="F299" s="5"/>
      <c r="G299" s="5"/>
      <c r="H299" s="6" t="s">
        <v>144</v>
      </c>
      <c r="I299" s="5" t="str">
        <f>IF(H299="","",VLOOKUP(H299,DB!A:B,2,0))</f>
        <v>openGear X</v>
      </c>
      <c r="J299" s="6">
        <v>8.0</v>
      </c>
      <c r="K299" s="6" t="s">
        <v>329</v>
      </c>
      <c r="L299" s="6" t="s">
        <v>107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144</v>
      </c>
      <c r="B300" s="6" t="str">
        <f>IF(A300="","",VLOOKUP(A300,DB!A:B,2,0))</f>
        <v>openGear X</v>
      </c>
      <c r="C300" s="6">
        <v>0.0</v>
      </c>
      <c r="D300" s="6" t="s">
        <v>421</v>
      </c>
      <c r="E300" s="6" t="s">
        <v>438</v>
      </c>
      <c r="F300" s="6" t="s">
        <v>198</v>
      </c>
      <c r="G300" s="6" t="s">
        <v>402</v>
      </c>
      <c r="H300" s="6" t="s">
        <v>185</v>
      </c>
      <c r="I300" s="5" t="str">
        <f>IF(H300="","",VLOOKUP(H300,DB!A:B,2,0))</f>
        <v>openGear X</v>
      </c>
      <c r="J300" s="6">
        <v>0.0</v>
      </c>
      <c r="K300" s="6" t="s">
        <v>421</v>
      </c>
      <c r="L300" s="6" t="s">
        <v>402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185</v>
      </c>
      <c r="B301" s="6" t="str">
        <f>IF(A301="","",VLOOKUP(A301,DB!A:B,2,0))</f>
        <v>openGear X</v>
      </c>
      <c r="C301" s="6">
        <v>0.0</v>
      </c>
      <c r="D301" s="6" t="s">
        <v>421</v>
      </c>
      <c r="E301" s="6" t="s">
        <v>438</v>
      </c>
      <c r="F301" s="6" t="s">
        <v>198</v>
      </c>
      <c r="G301" s="6" t="s">
        <v>402</v>
      </c>
      <c r="H301" s="6" t="s">
        <v>67</v>
      </c>
      <c r="I301" s="5" t="str">
        <f>IF(H301="","",VLOOKUP(H301,DB!A:B,2,0))</f>
        <v>AJA FS4</v>
      </c>
      <c r="J301" s="6"/>
      <c r="K301" s="6"/>
      <c r="L301" s="6" t="s">
        <v>402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67</v>
      </c>
      <c r="B302" s="6" t="str">
        <f>IF(A302="","",VLOOKUP(A302,DB!A:B,2,0))</f>
        <v>AJA FS4</v>
      </c>
      <c r="C302" s="5"/>
      <c r="D302" s="6"/>
      <c r="E302" s="6" t="s">
        <v>438</v>
      </c>
      <c r="F302" s="6" t="s">
        <v>198</v>
      </c>
      <c r="G302" s="6" t="s">
        <v>402</v>
      </c>
      <c r="H302" s="6" t="s">
        <v>225</v>
      </c>
      <c r="I302" s="5" t="str">
        <f>IF(H302="","",VLOOKUP(H302,DB!A:B,2,0))</f>
        <v>AJA FS2</v>
      </c>
      <c r="J302" s="6"/>
      <c r="K302" s="6"/>
      <c r="L302" s="6" t="s">
        <v>402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175</v>
      </c>
      <c r="B303" s="6" t="str">
        <f>IF(A303="","",VLOOKUP(A303,DB!A:B,2,0))</f>
        <v>Leader LV 7770</v>
      </c>
      <c r="C303" s="5"/>
      <c r="D303" s="6"/>
      <c r="E303" s="6" t="s">
        <v>439</v>
      </c>
      <c r="F303" s="6" t="s">
        <v>198</v>
      </c>
      <c r="G303" s="6" t="s">
        <v>179</v>
      </c>
      <c r="H303" s="6" t="s">
        <v>102</v>
      </c>
      <c r="I303" s="5" t="str">
        <f>IF(H303="","",VLOOKUP(H303,DB!A:B,2,0))</f>
        <v>PC Rack</v>
      </c>
      <c r="J303" s="6">
        <v>1.0</v>
      </c>
      <c r="K303" s="6" t="s">
        <v>73</v>
      </c>
      <c r="L303" s="6" t="s">
        <v>440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89</v>
      </c>
      <c r="B304" s="6" t="str">
        <f>IF(A304="","",VLOOKUP(A304,DB!A:B,2,0))</f>
        <v/>
      </c>
      <c r="C304" s="5"/>
      <c r="D304" s="6"/>
      <c r="E304" s="6"/>
      <c r="F304" s="5"/>
      <c r="G304" s="5"/>
      <c r="H304" s="6" t="s">
        <v>144</v>
      </c>
      <c r="I304" s="5" t="str">
        <f>IF(H304="","",VLOOKUP(H304,DB!A:B,2,0))</f>
        <v>openGear X</v>
      </c>
      <c r="J304" s="6">
        <v>9.0</v>
      </c>
      <c r="K304" s="6" t="s">
        <v>145</v>
      </c>
      <c r="L304" s="6" t="s">
        <v>319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225</v>
      </c>
      <c r="B305" s="6" t="str">
        <f>IF(A305="","",VLOOKUP(A305,DB!A:B,2,0))</f>
        <v>AJA FS2</v>
      </c>
      <c r="C305" s="5"/>
      <c r="D305" s="6"/>
      <c r="E305" s="6" t="s">
        <v>438</v>
      </c>
      <c r="F305" s="6" t="s">
        <v>198</v>
      </c>
      <c r="G305" s="6" t="s">
        <v>402</v>
      </c>
      <c r="H305" s="6" t="s">
        <v>89</v>
      </c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91</v>
      </c>
      <c r="B306" s="6" t="str">
        <f>IF(A306="","",VLOOKUP(A306,DB!A:B,2,0))</f>
        <v>FOR A HVS-390HS</v>
      </c>
      <c r="C306" s="5"/>
      <c r="D306" s="6"/>
      <c r="E306" s="6" t="s">
        <v>16</v>
      </c>
      <c r="F306" s="5"/>
      <c r="G306" s="5"/>
      <c r="H306" s="6" t="s">
        <v>185</v>
      </c>
      <c r="I306" s="5" t="str">
        <f>IF(H306="","",VLOOKUP(H306,DB!A:B,2,0))</f>
        <v>openGear X</v>
      </c>
      <c r="J306" s="6">
        <v>1.0</v>
      </c>
      <c r="K306" s="11" t="s">
        <v>196</v>
      </c>
      <c r="L306" s="6" t="s">
        <v>107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91</v>
      </c>
      <c r="B307" s="6" t="str">
        <f>IF(A307="","",VLOOKUP(A307,DB!A:B,2,0))</f>
        <v>FOR A HVS-390HS</v>
      </c>
      <c r="C307" s="5"/>
      <c r="D307" s="6"/>
      <c r="E307" s="6" t="s">
        <v>441</v>
      </c>
      <c r="F307" s="5"/>
      <c r="G307" s="5"/>
      <c r="H307" s="6" t="s">
        <v>185</v>
      </c>
      <c r="I307" s="5" t="str">
        <f>IF(H307="","",VLOOKUP(H307,DB!A:B,2,0))</f>
        <v>openGear X</v>
      </c>
      <c r="J307" s="6">
        <v>2.0</v>
      </c>
      <c r="K307" s="11" t="s">
        <v>196</v>
      </c>
      <c r="L307" s="6" t="s">
        <v>107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354</v>
      </c>
      <c r="B308" s="6" t="str">
        <f>IF(A308="","",VLOOKUP(A308,DB!A:B,2,0))</f>
        <v>Yamaha QL5</v>
      </c>
      <c r="C308" s="5"/>
      <c r="D308" s="6"/>
      <c r="E308" s="6" t="s">
        <v>442</v>
      </c>
      <c r="F308" s="5"/>
      <c r="G308" s="5"/>
      <c r="H308" s="6" t="s">
        <v>185</v>
      </c>
      <c r="I308" s="5" t="str">
        <f>IF(H308="","",VLOOKUP(H308,DB!A:B,2,0))</f>
        <v>openGear X</v>
      </c>
      <c r="J308" s="6">
        <v>1.0</v>
      </c>
      <c r="K308" s="11" t="s">
        <v>196</v>
      </c>
      <c r="L308" s="6" t="s">
        <v>443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354</v>
      </c>
      <c r="B309" s="6" t="str">
        <f>IF(A309="","",VLOOKUP(A309,DB!A:B,2,0))</f>
        <v>Yamaha QL5</v>
      </c>
      <c r="C309" s="5"/>
      <c r="D309" s="6"/>
      <c r="E309" s="6" t="s">
        <v>444</v>
      </c>
      <c r="F309" s="5"/>
      <c r="G309" s="5"/>
      <c r="H309" s="6" t="s">
        <v>185</v>
      </c>
      <c r="I309" s="5" t="str">
        <f>IF(H309="","",VLOOKUP(H309,DB!A:B,2,0))</f>
        <v>openGear X</v>
      </c>
      <c r="J309" s="6">
        <v>1.0</v>
      </c>
      <c r="K309" s="11" t="s">
        <v>196</v>
      </c>
      <c r="L309" s="6" t="s">
        <v>445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354</v>
      </c>
      <c r="B310" s="6" t="str">
        <f>IF(A310="","",VLOOKUP(A310,DB!A:B,2,0))</f>
        <v>Yamaha QL5</v>
      </c>
      <c r="C310" s="5"/>
      <c r="D310" s="6"/>
      <c r="E310" s="6" t="s">
        <v>446</v>
      </c>
      <c r="F310" s="5"/>
      <c r="G310" s="5"/>
      <c r="H310" s="6" t="s">
        <v>185</v>
      </c>
      <c r="I310" s="5" t="str">
        <f>IF(H310="","",VLOOKUP(H310,DB!A:B,2,0))</f>
        <v>openGear X</v>
      </c>
      <c r="J310" s="6">
        <v>2.0</v>
      </c>
      <c r="K310" s="11" t="s">
        <v>196</v>
      </c>
      <c r="L310" s="6" t="s">
        <v>443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354</v>
      </c>
      <c r="B311" s="6" t="str">
        <f>IF(A311="","",VLOOKUP(A311,DB!A:B,2,0))</f>
        <v>Yamaha QL5</v>
      </c>
      <c r="C311" s="5"/>
      <c r="D311" s="6"/>
      <c r="E311" s="6" t="s">
        <v>447</v>
      </c>
      <c r="F311" s="5"/>
      <c r="G311" s="5"/>
      <c r="H311" s="6" t="s">
        <v>185</v>
      </c>
      <c r="I311" s="5" t="str">
        <f>IF(H311="","",VLOOKUP(H311,DB!A:B,2,0))</f>
        <v>openGear X</v>
      </c>
      <c r="J311" s="6">
        <v>2.0</v>
      </c>
      <c r="K311" s="11" t="s">
        <v>196</v>
      </c>
      <c r="L311" s="6" t="s">
        <v>445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371</v>
      </c>
      <c r="B312" s="6" t="str">
        <f>IF(A312="","",VLOOKUP(A312,DB!A:B,2,0))</f>
        <v>VIDEOTRON</v>
      </c>
      <c r="C312" s="6">
        <v>3.0</v>
      </c>
      <c r="D312" s="6" t="s">
        <v>448</v>
      </c>
      <c r="E312" s="6" t="s">
        <v>16</v>
      </c>
      <c r="F312" s="6" t="s">
        <v>198</v>
      </c>
      <c r="G312" s="6" t="s">
        <v>449</v>
      </c>
      <c r="H312" s="6" t="s">
        <v>450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371</v>
      </c>
      <c r="B313" s="6" t="str">
        <f>IF(A313="","",VLOOKUP(A313,DB!A:B,2,0))</f>
        <v>VIDEOTRON</v>
      </c>
      <c r="C313" s="6">
        <v>4.0</v>
      </c>
      <c r="D313" s="6" t="s">
        <v>451</v>
      </c>
      <c r="E313" s="6" t="s">
        <v>29</v>
      </c>
      <c r="F313" s="6" t="s">
        <v>198</v>
      </c>
      <c r="G313" s="6" t="s">
        <v>449</v>
      </c>
      <c r="H313" s="6" t="s">
        <v>450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371</v>
      </c>
      <c r="B314" s="6" t="str">
        <f>IF(A314="","",VLOOKUP(A314,DB!A:B,2,0))</f>
        <v>VIDEOTRON</v>
      </c>
      <c r="C314" s="6">
        <v>4.0</v>
      </c>
      <c r="D314" s="6" t="s">
        <v>451</v>
      </c>
      <c r="E314" s="6" t="s">
        <v>32</v>
      </c>
      <c r="F314" s="6" t="s">
        <v>198</v>
      </c>
      <c r="G314" s="6" t="s">
        <v>449</v>
      </c>
      <c r="H314" s="6" t="s">
        <v>452</v>
      </c>
      <c r="I314" s="5" t="str">
        <f>IF(H314="","",VLOOKUP(H314,DB!A:B,2,0))</f>
        <v>VIDEObit V2A-FIBER-5T</v>
      </c>
      <c r="J314" s="6"/>
      <c r="K314" s="6"/>
      <c r="L314" s="6" t="s">
        <v>453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391</v>
      </c>
      <c r="B315" s="6" t="str">
        <f>IF(A315="","",VLOOKUP(A315,DB!A:B,2,0))</f>
        <v>Digiwave DSC-131</v>
      </c>
      <c r="C315" s="5"/>
      <c r="D315" s="6"/>
      <c r="E315" s="6" t="s">
        <v>454</v>
      </c>
      <c r="F315" s="6" t="s">
        <v>198</v>
      </c>
      <c r="G315" s="6" t="s">
        <v>455</v>
      </c>
      <c r="H315" s="6" t="s">
        <v>371</v>
      </c>
      <c r="I315" s="5" t="str">
        <f>IF(H315="","",VLOOKUP(H315,DB!A:B,2,0))</f>
        <v>VIDEOTRON</v>
      </c>
      <c r="J315" s="6">
        <v>3.0</v>
      </c>
      <c r="K315" s="6" t="s">
        <v>448</v>
      </c>
      <c r="L315" s="6" t="s">
        <v>449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394</v>
      </c>
      <c r="B316" s="6" t="str">
        <f>IF(A316="","",VLOOKUP(A316,DB!A:B,2,0))</f>
        <v>vidicraft vst2110</v>
      </c>
      <c r="C316" s="5"/>
      <c r="D316" s="6"/>
      <c r="E316" s="6" t="s">
        <v>456</v>
      </c>
      <c r="F316" s="6" t="s">
        <v>198</v>
      </c>
      <c r="G316" s="6" t="s">
        <v>395</v>
      </c>
      <c r="H316" s="6" t="s">
        <v>371</v>
      </c>
      <c r="I316" s="5" t="str">
        <f>IF(H316="","",VLOOKUP(H316,DB!A:B,2,0))</f>
        <v>VIDEOTRON</v>
      </c>
      <c r="J316" s="6">
        <v>4.0</v>
      </c>
      <c r="K316" s="6" t="s">
        <v>451</v>
      </c>
      <c r="L316" s="6" t="s">
        <v>449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201</v>
      </c>
      <c r="F317" s="6" t="s">
        <v>198</v>
      </c>
      <c r="G317" s="6" t="s">
        <v>163</v>
      </c>
      <c r="H317" s="6" t="s">
        <v>457</v>
      </c>
      <c r="I317" s="5" t="str">
        <f>IF(H317="","",VLOOKUP(H317,DB!A:B,2,0))</f>
        <v>Ateme Kyrion CM5000</v>
      </c>
      <c r="J317" s="6"/>
      <c r="K317" s="6"/>
      <c r="L317" s="6" t="s">
        <v>163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204</v>
      </c>
      <c r="F318" s="6" t="s">
        <v>198</v>
      </c>
      <c r="G318" s="6" t="s">
        <v>68</v>
      </c>
      <c r="H318" s="6" t="s">
        <v>458</v>
      </c>
      <c r="I318" s="5" t="str">
        <f>IF(H318="","",VLOOKUP(H318,DB!A:B,2,0))</f>
        <v>TBS Encoder</v>
      </c>
      <c r="J318" s="6"/>
      <c r="K318" s="6"/>
      <c r="L318" s="6" t="s">
        <v>107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459</v>
      </c>
      <c r="F319" s="5"/>
      <c r="G319" s="5"/>
      <c r="H319" s="6" t="s">
        <v>225</v>
      </c>
      <c r="I319" s="5" t="str">
        <f>IF(H319="","",VLOOKUP(H319,DB!A:B,2,0))</f>
        <v>AJA FS2</v>
      </c>
      <c r="J319" s="6"/>
      <c r="K319" s="6"/>
      <c r="L319" s="6" t="s">
        <v>460</v>
      </c>
      <c r="M319" s="5"/>
      <c r="N319" s="15" t="s">
        <v>461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462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463</v>
      </c>
      <c r="M320" s="5"/>
      <c r="N320" s="15" t="s">
        <v>461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464</v>
      </c>
      <c r="B321" s="6" t="str">
        <f>IF(A321="","",VLOOKUP(A321,DB!A:B,2,0))</f>
        <v>DiTel Demodulador</v>
      </c>
      <c r="C321" s="5"/>
      <c r="D321" s="6"/>
      <c r="E321" s="6" t="s">
        <v>459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465</v>
      </c>
      <c r="M321" s="5"/>
      <c r="N321" s="15" t="s">
        <v>461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464</v>
      </c>
      <c r="B322" s="6" t="str">
        <f>IF(A322="","",VLOOKUP(A322,DB!A:B,2,0))</f>
        <v>DiTel Demodulador</v>
      </c>
      <c r="C322" s="5"/>
      <c r="D322" s="6"/>
      <c r="E322" s="6" t="s">
        <v>462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466</v>
      </c>
      <c r="M322" s="5"/>
      <c r="N322" s="15" t="s">
        <v>461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467</v>
      </c>
      <c r="B323" s="6" t="str">
        <f>IF(A323="","",VLOOKUP(A323,DB!A:B,2,0))</f>
        <v>Mixer Audio TX</v>
      </c>
      <c r="C323" s="5"/>
      <c r="D323" s="6"/>
      <c r="E323" s="6" t="s">
        <v>468</v>
      </c>
      <c r="F323" s="6" t="s">
        <v>198</v>
      </c>
      <c r="G323" s="6" t="s">
        <v>469</v>
      </c>
      <c r="H323" s="6" t="s">
        <v>396</v>
      </c>
      <c r="I323" s="5" t="str">
        <f>IF(H323="","",VLOOKUP(H323,DB!A:B,2,0))</f>
        <v>tc electronic Finalizer</v>
      </c>
      <c r="J323" s="6"/>
      <c r="K323" s="6"/>
      <c r="L323" s="6" t="s">
        <v>470</v>
      </c>
      <c r="M323" s="5"/>
      <c r="N323" s="6" t="s">
        <v>471</v>
      </c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467</v>
      </c>
      <c r="B324" s="6" t="str">
        <f>IF(A324="","",VLOOKUP(A324,DB!A:B,2,0))</f>
        <v>Mixer Audio TX</v>
      </c>
      <c r="C324" s="5"/>
      <c r="D324" s="6"/>
      <c r="E324" s="6" t="s">
        <v>472</v>
      </c>
      <c r="F324" s="6" t="s">
        <v>198</v>
      </c>
      <c r="G324" s="6" t="s">
        <v>469</v>
      </c>
      <c r="H324" s="6" t="s">
        <v>396</v>
      </c>
      <c r="I324" s="5" t="str">
        <f>IF(H324="","",VLOOKUP(H324,DB!A:B,2,0))</f>
        <v>tc electronic Finalizer</v>
      </c>
      <c r="J324" s="6"/>
      <c r="K324" s="6"/>
      <c r="L324" s="6" t="s">
        <v>473</v>
      </c>
      <c r="M324" s="5"/>
      <c r="N324" s="6" t="s">
        <v>471</v>
      </c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185</v>
      </c>
      <c r="B325" s="6" t="str">
        <f>IF(A325="","",VLOOKUP(A325,DB!A:B,2,0))</f>
        <v>openGear X</v>
      </c>
      <c r="C325" s="6">
        <v>5.0</v>
      </c>
      <c r="D325" s="6" t="s">
        <v>186</v>
      </c>
      <c r="E325" s="6" t="s">
        <v>474</v>
      </c>
      <c r="F325" s="6" t="s">
        <v>198</v>
      </c>
      <c r="G325" s="6" t="s">
        <v>107</v>
      </c>
      <c r="H325" s="6" t="s">
        <v>467</v>
      </c>
      <c r="I325" s="5" t="str">
        <f>IF(H325="","",VLOOKUP(H325,DB!A:B,2,0))</f>
        <v>Mixer Audio TX</v>
      </c>
      <c r="J325" s="6"/>
      <c r="K325" s="6"/>
      <c r="L325" s="6" t="s">
        <v>469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A1:AC503">
    <cfRule type="cellIs" dxfId="0" priority="1" operator="equal">
      <formula>"N/D"</formula>
    </cfRule>
  </conditionalFormatting>
  <conditionalFormatting sqref="A1:AC503">
    <cfRule type="cellIs" dxfId="1" priority="2" operator="equal">
      <formula>"N/C"</formula>
    </cfRule>
  </conditionalFormatting>
  <conditionalFormatting sqref="A1:AC503">
    <cfRule type="expression" dxfId="2" priority="3">
      <formula>ISEVEN(ROW())</formula>
    </cfRule>
  </conditionalFormatting>
  <dataValidations>
    <dataValidation type="list" allowBlank="1" showErrorMessage="1" sqref="A2:A503 H2:H503">
      <formula1>DB!$A$2:$A$1019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475</v>
      </c>
      <c r="B1" s="17" t="s">
        <v>476</v>
      </c>
      <c r="C1" s="18" t="s">
        <v>477</v>
      </c>
      <c r="D1" s="19" t="s">
        <v>478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479</v>
      </c>
      <c r="B2" s="7" t="s">
        <v>480</v>
      </c>
      <c r="C2" s="20" t="s">
        <v>481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482</v>
      </c>
      <c r="C3" s="20" t="s">
        <v>483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484</v>
      </c>
      <c r="C4" s="20" t="s">
        <v>485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486</v>
      </c>
      <c r="C5" s="20" t="s">
        <v>487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488</v>
      </c>
      <c r="C6" s="21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401</v>
      </c>
      <c r="B7" s="11" t="s">
        <v>489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490</v>
      </c>
      <c r="B9" s="7" t="s">
        <v>491</v>
      </c>
      <c r="C9" s="20" t="s">
        <v>492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493</v>
      </c>
      <c r="C10" s="20" t="s">
        <v>494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495</v>
      </c>
      <c r="C11" s="20" t="s">
        <v>496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497</v>
      </c>
      <c r="C12" s="20" t="s">
        <v>498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419</v>
      </c>
      <c r="B14" s="11" t="s">
        <v>499</v>
      </c>
      <c r="C14" s="21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424</v>
      </c>
      <c r="B15" s="7" t="s">
        <v>500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501</v>
      </c>
      <c r="C16" s="20" t="s">
        <v>502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503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504</v>
      </c>
      <c r="C18" s="21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505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505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373</v>
      </c>
      <c r="B22" s="11" t="s">
        <v>506</v>
      </c>
      <c r="C22" s="21" t="s">
        <v>507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375</v>
      </c>
      <c r="B23" s="11" t="s">
        <v>508</v>
      </c>
      <c r="C23" s="21" t="s">
        <v>509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510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511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512</v>
      </c>
      <c r="B27" s="7" t="s">
        <v>513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514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514</v>
      </c>
      <c r="C29" s="21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515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516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517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513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517</v>
      </c>
      <c r="C34" s="20" t="s">
        <v>518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396</v>
      </c>
      <c r="B35" s="7" t="s">
        <v>519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520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521</v>
      </c>
      <c r="C37" s="21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521</v>
      </c>
      <c r="C38" s="20" t="s">
        <v>522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391</v>
      </c>
      <c r="B39" s="7" t="s">
        <v>523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394</v>
      </c>
      <c r="B40" s="7" t="s">
        <v>524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525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464</v>
      </c>
      <c r="B43" s="11" t="s">
        <v>526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527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528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529</v>
      </c>
      <c r="C46" s="20" t="s">
        <v>530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531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532</v>
      </c>
      <c r="B49" s="7" t="s">
        <v>533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534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535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536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537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538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539</v>
      </c>
      <c r="C55" s="21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385</v>
      </c>
      <c r="B56" s="7" t="s">
        <v>540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541</v>
      </c>
      <c r="C58" s="21" t="s">
        <v>542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543</v>
      </c>
      <c r="C59" s="21" t="s">
        <v>544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545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371</v>
      </c>
      <c r="B63" s="6" t="s">
        <v>546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547</v>
      </c>
      <c r="B64" s="11" t="s">
        <v>548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452</v>
      </c>
      <c r="B65" s="11" t="s">
        <v>549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550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411</v>
      </c>
      <c r="B67" s="11" t="s">
        <v>551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408</v>
      </c>
      <c r="B68" s="11" t="s">
        <v>551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458</v>
      </c>
      <c r="B69" s="6" t="s">
        <v>552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450</v>
      </c>
      <c r="B70" s="6" t="s">
        <v>553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554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517</v>
      </c>
      <c r="C72" s="20" t="s">
        <v>555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457</v>
      </c>
      <c r="B73" s="11" t="s">
        <v>556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557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558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559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388</v>
      </c>
      <c r="B80" s="7" t="s">
        <v>560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561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346</v>
      </c>
      <c r="B83" s="7" t="s">
        <v>562</v>
      </c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354</v>
      </c>
      <c r="B84" s="7" t="s">
        <v>563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350</v>
      </c>
      <c r="B85" s="7" t="s">
        <v>564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378</v>
      </c>
      <c r="B86" s="7" t="s">
        <v>565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566</v>
      </c>
      <c r="B87" s="7" t="s">
        <v>567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381</v>
      </c>
      <c r="B88" s="7" t="s">
        <v>568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149</v>
      </c>
      <c r="B89" s="7" t="s">
        <v>569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351</v>
      </c>
      <c r="B90" s="7" t="s">
        <v>570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383</v>
      </c>
      <c r="B91" s="7" t="s">
        <v>571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110</v>
      </c>
      <c r="B92" s="7" t="s">
        <v>572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11" t="s">
        <v>377</v>
      </c>
      <c r="B93" s="11" t="s">
        <v>573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 t="s">
        <v>574</v>
      </c>
      <c r="B95" s="7"/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182</v>
      </c>
      <c r="B97" s="11" t="s">
        <v>575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7"/>
      <c r="B98" s="7"/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 t="s">
        <v>89</v>
      </c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6" t="s">
        <v>345</v>
      </c>
      <c r="B101" s="6" t="s">
        <v>576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6" t="s">
        <v>344</v>
      </c>
      <c r="B102" s="6" t="s">
        <v>577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6" t="s">
        <v>342</v>
      </c>
      <c r="B103" s="6" t="s">
        <v>578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6" t="s">
        <v>467</v>
      </c>
      <c r="B104" s="6" t="s">
        <v>579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</sheetData>
  <conditionalFormatting sqref="B101:B104">
    <cfRule type="cellIs" dxfId="1" priority="1" operator="equal">
      <formula>"N/C"</formula>
    </cfRule>
  </conditionalFormatting>
  <conditionalFormatting sqref="A1:Y1019">
    <cfRule type="cellIs" dxfId="0" priority="2" operator="equal">
      <formula>"N/D"</formula>
    </cfRule>
  </conditionalFormatting>
  <conditionalFormatting sqref="A1:Y1019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580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581</v>
      </c>
      <c r="B2" s="5"/>
      <c r="C2" s="6">
        <v>5.0</v>
      </c>
      <c r="D2" s="6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IFERROR(__xludf.DUMMYFUNCTION("""COMPUTED_VALUE"""),5.0)</f>
        <v>5</v>
      </c>
      <c r="D3" s="5" t="str">
        <f>IFERROR(__xludf.DUMMYFUNCTION("""COMPUTED_VALUE"""),"De-embbeder")</f>
        <v>De-embbeder</v>
      </c>
      <c r="E3" s="5" t="str">
        <f>IFERROR(__xludf.DUMMYFUNCTION("""COMPUTED_VALUE"""),"SDI Out")</f>
        <v>SDI Out</v>
      </c>
      <c r="F3" s="5" t="str">
        <f>IFERROR(__xludf.DUMMYFUNCTION("""COMPUTED_VALUE"""),"T")</f>
        <v>T</v>
      </c>
      <c r="G3" s="5" t="str">
        <f>IFERROR(__xludf.DUMMYFUNCTION("""COMPUTED_VALUE"""),"SDI In")</f>
        <v>SDI In</v>
      </c>
      <c r="H3" s="5" t="str">
        <f>IFERROR(__xludf.DUMMYFUNCTION("""COMPUTED_VALUE"""),"D.13")</f>
        <v>D.13</v>
      </c>
      <c r="I3" s="5" t="str">
        <f>IFERROR(__xludf.DUMMYFUNCTION("""COMPUTED_VALUE"""),"AJA FS2")</f>
        <v>AJA FS2</v>
      </c>
      <c r="J3" s="5"/>
      <c r="K3" s="5"/>
      <c r="L3" s="5" t="str">
        <f>IFERROR(__xludf.DUMMYFUNCTION("""COMPUTED_VALUE"""),"SDI In 1")</f>
        <v>SDI In 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IFERROR(__xludf.DUMMYFUNCTION("""COMPUTED_VALUE"""),5.0)</f>
        <v>5</v>
      </c>
      <c r="D4" s="5" t="str">
        <f>IFERROR(__xludf.DUMMYFUNCTION("""COMPUTED_VALUE"""),"De-embbeder")</f>
        <v>De-embbeder</v>
      </c>
      <c r="E4" s="5" t="str">
        <f>IFERROR(__xludf.DUMMYFUNCTION("""COMPUTED_VALUE"""),"Audio Out 2")</f>
        <v>Audio Out 2</v>
      </c>
      <c r="F4" s="5" t="str">
        <f>IFERROR(__xludf.DUMMYFUNCTION("""COMPUTED_VALUE"""),"T")</f>
        <v>T</v>
      </c>
      <c r="G4" s="5" t="str">
        <f>IFERROR(__xludf.DUMMYFUNCTION("""COMPUTED_VALUE"""),"SDI In")</f>
        <v>SDI In</v>
      </c>
      <c r="H4" s="5" t="str">
        <f>IFERROR(__xludf.DUMMYFUNCTION("""COMPUTED_VALUE"""),"TX.4")</f>
        <v>TX.4</v>
      </c>
      <c r="I4" s="5" t="str">
        <f>IFERROR(__xludf.DUMMYFUNCTION("""COMPUTED_VALUE"""),"Mixer Audio TX")</f>
        <v>Mixer Audio TX</v>
      </c>
      <c r="J4" s="5"/>
      <c r="K4" s="5"/>
      <c r="L4" s="5" t="str">
        <f>IFERROR(__xludf.DUMMYFUNCTION("""COMPUTED_VALUE"""),"Audio In")</f>
        <v>Audio In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DB!$B$2:$B$418</formula1>
    </dataValidation>
  </dataValidations>
  <drawing r:id="rId1"/>
</worksheet>
</file>