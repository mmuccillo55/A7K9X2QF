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<sst xmlns="http://schemas.openxmlformats.org/spreadsheetml/2006/main" count="2212" uniqueCount="654">
  <si>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</si>
  <si>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</si>
  <si>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</si>
  <si>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</si>
  <si>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</si>
  <si>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</si>
  <si>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</si>
  <si>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</si>
  <si>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</si>
  <si>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</si>
  <si>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</si>
  <si>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</si>
  <si>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</si>
  <si>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</si>
  <si>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</si>
  <si>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</si>
  <si>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</si>
  <si>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</si>
  <si>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</si>
  <si>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</si>
  <si>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</si>
  <si>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</si>
  <si>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</si>
  <si>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</si>
  <si>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</si>
  <si>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</si>
  <si>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</si>
  <si>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</si>
  <si>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</si>
  <si>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</si>
  <si>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</si>
  <si>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</si>
  <si>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</si>
  <si>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</si>
  <si>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</si>
  <si>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</si>
  <si>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</si>
  <si>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</si>
  <si>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</si>
  <si>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</si>
  <si>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</si>
  <si>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</si>
  <si>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</si>
  <si>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</si>
  <si>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</si>
  <si>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</si>
  <si>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</si>
  <si>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</si>
  <si>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</si>
  <si>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</si>
  <si>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</si>
  <si>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</si>
  <si>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</si>
  <si>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</si>
  <si>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</si>
  <si>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</si>
  <si>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</si>
  <si>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</si>
  <si>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</si>
  <si>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</si>
  <si>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</si>
  <si>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</si>
  <si>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</si>
  <si>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</si>
  <si>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</si>
  <si>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</si>
  <si>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</si>
  <si>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</si>
  <si>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</si>
  <si>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</si>
  <si>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</si>
  <si>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</si>
  <si>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</si>
  <si>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</si>
  <si>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</si>
  <si>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</si>
  <si>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</si>
  <si>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</si>
  <si>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</si>
  <si>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</si>
  <si>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</si>
  <si>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</si>
  <si>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</si>
  <si>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</si>
  <si>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</si>
  <si>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</si>
  <si>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</si>
  <si>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</si>
  <si>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</si>
  <si>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</si>
  <si>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</si>
  <si>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</si>
  <si>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</si>
  <si>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</si>
  <si>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</si>
  <si>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</si>
  <si>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</si>
  <si>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</si>
  <si>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</si>
  <si>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</si>
  <si>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</si>
  <si>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</si>
  <si>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</si>
  <si>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</si>
  <si>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</si>
  <si>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</si>
  <si>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</si>
  <si>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</si>
  <si>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</si>
  <si>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</si>
  <si>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</si>
  <si>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</si>
  <si>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</si>
  <si>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</si>
  <si>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</si>
  <si>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</si>
  <si>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</si>
  <si>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</si>
  <si>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</si>
  <si>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</si>
  <si>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</si>
  <si>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</si>
  <si>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</si>
  <si>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</si>
  <si>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</si>
  <si>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</si>
  <si>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</si>
  <si>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</si>
  <si>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</si>
  <si>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</si>
  <si>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</si>
  <si>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</si>
  <si>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</si>
  <si>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</si>
  <si>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</si>
  <si>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</si>
  <si>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</si>
  <si>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</si>
  <si>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</si>
  <si>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</si>
  <si>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</si>
  <si>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</si>
  <si>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</si>
  <si>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</si>
  <si>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</si>
  <si>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</si>
  <si>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</si>
  <si>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</si>
  <si>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</si>
  <si>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</si>
  <si>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</si>
  <si>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</si>
  <si>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</si>
  <si>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</si>
  <si>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</si>
  <si>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</si>
  <si>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</si>
  <si>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</si>
  <si>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</si>
  <si>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</si>
  <si>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</si>
  <si>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</si>
  <si>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</si>
  <si>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</si>
  <si>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</si>
  <si>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</si>
  <si>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</si>
  <si>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</si>
  <si>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</si>
  <si>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</si>
  <si>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</si>
  <si>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</si>
  <si>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</si>
  <si>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</si>
  <si>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</si>
  <si>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</si>
  <si>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</si>
  <si>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</si>
  <si>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</si>
  <si>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</si>
  <si>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</si>
  <si>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L.7</t>
  </si>
  <si>
    <t>Optic to SDI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</si>
  <si>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</si>
  <si>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</si>
  <si>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</si>
  <si>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</si>
  <si>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</si>
  <si>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</si>
  <si>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</si>
  <si>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</si>
  <si>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</si>
  <si>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</si>
  <si>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</si>
  <si>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</si>
  <si>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</si>
  <si>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</si>
  <si>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</si>
  <si>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</si>
  <si>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</si>
  <si>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</si>
  <si>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</si>
  <si>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</si>
  <si>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</si>
  <si>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</si>
  <si>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</si>
  <si>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</si>
  <si>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</si>
  <si>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</si>
  <si>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</si>
  <si>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</si>
  <si>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</si>
  <si>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</si>
  <si>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</si>
  <si>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</si>
  <si>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</si>
  <si>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</si>
  <si>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</si>
  <si>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</si>
  <si>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</si>
  <si>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</si>
  <si>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</si>
  <si>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</si>
  <si>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</si>
  <si>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</si>
  <si>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</si>
  <si>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</si>
  <si>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</si>
  <si>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</si>
  <si>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</si>
  <si>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</si>
  <si>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</si>
  <si>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</si>
  <si>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</si>
  <si>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</si>
  <si>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</si>
  <si>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</si>
  <si>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</si>
  <si>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</si>
  <si>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</si>
  <si>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</si>
  <si>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</si>
  <si>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</si>
  <si>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</si>
  <si>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</si>
  <si>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</si>
  <si>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</si>
  <si>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</si>
  <si>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</si>
  <si>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</si>
  <si>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</si>
  <si>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</si>
  <si>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</si>
  <si>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</si>
  <si>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</si>
  <si>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</si>
  <si>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</si>
  <si>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</si>
  <si>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</si>
  <si>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</si>
  <si>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</si>
  <si>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</si>
  <si>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</si>
  <si>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</si>
  <si>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</si>
  <si>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</si>
  <si>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</si>
  <si>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</si>
  <si>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</si>
  <si>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</si>
  <si>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</si>
  <si>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</si>
  <si>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</si>
  <si>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</si>
  <si>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</si>
  <si>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</si>
  <si>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</si>
  <si>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</si>
  <si>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</si>
  <si>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</si>
  <si>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</si>
  <si>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</si>
  <si>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</si>
  <si>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</si>
  <si>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</si>
  <si>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</si>
  <si>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</si>
  <si>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</si>
  <si>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</si>
  <si>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</si>
  <si>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</si>
  <si>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</si>
  <si>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</si>
  <si>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</si>
  <si>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</si>
  <si>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</si>
  <si>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</si>
  <si>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</si>
  <si>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</si>
  <si>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</si>
  <si>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</si>
  <si>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</si>
  <si>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</si>
  <si>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</si>
  <si>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</si>
  <si>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</si>
  <si>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</si>
  <si>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</si>
  <si>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</si>
  <si>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</si>
  <si>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</si>
  <si>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</si>
  <si>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</si>
  <si>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</si>
  <si>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</si>
  <si>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</si>
  <si>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</si>
  <si>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</si>
  <si>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</si>
  <si>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</si>
  <si>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</si>
  <si>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</si>
  <si>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</si>
  <si>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</si>
  <si>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</si>
  <si>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</si>
  <si>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</si>
  <si>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</si>
  <si>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</si>
  <si>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</si>
  <si>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</si>
  <si>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</si>
  <si>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</si>
  <si>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</si>
  <si>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</si>
  <si>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</si>
  <si>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</si>
  <si>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</si>
  <si>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</si>
  <si>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</si>
  <si>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</si>
  <si>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</si>
  <si>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</si>
  <si>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Cable suelto en TX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</si>
  <si>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</si>
  <si>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</si>
  <si>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</si>
  <si>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</si>
  <si>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</si>
  <si>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</si>
  <si>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</si>
  <si>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</si>
  <si>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</si>
  <si>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</si>
  <si>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</si>
  <si>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</si>
  <si>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</si>
  <si>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</si>
  <si>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</si>
  <si>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</si>
  <si>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</si>
  <si>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</si>
  <si>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suelto en Piso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</si>
  <si>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</si>
  <si>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</si>
  <si>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</si>
  <si>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</si>
  <si>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</si>
  <si>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</si>
  <si>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</si>
  <si>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</si>
  <si>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</si>
  <si>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</si>
  <si>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</si>
  <si>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</si>
  <si>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</si>
  <si>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</si>
  <si>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</si>
  <si>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</si>
  <si>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</si>
  <si>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</si>
  <si>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</si>
  <si>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</si>
  <si>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</si>
  <si>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</si>
  <si>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</si>
  <si>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</si>
  <si>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</si>
  <si>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</si>
  <si>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</si>
  <si>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</si>
  <si>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</si>
  <si>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</si>
  <si>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</si>
  <si>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</si>
  <si>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</si>
  <si>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</si>
  <si>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</si>
  <si>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</si>
  <si>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</si>
  <si>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</si>
  <si>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</si>
  <si>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</si>
  <si>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</si>
  <si>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</si>
  <si>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</si>
  <si>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</si>
  <si>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</si>
  <si>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</si>
  <si>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</si>
  <si>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</si>
  <si>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</si>
  <si>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</si>
  <si>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</si>
  <si>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N/D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</si>
  <si>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</si>
  <si>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</si>
  <si>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</si>
  <si>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</si>
  <si>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</si>
  <si>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</si>
  <si>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</si>
  <si>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</si>
  <si>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</si>
  <si>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</si>
  <si>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</si>
  <si>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</si>
  <si>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</si>
  <si>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</si>
  <si>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</si>
  <si>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</si>
  <si>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</si>
  <si>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</si>
  <si>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</si>
  <si>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</si>
  <si>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</si>
  <si>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</si>
  <si>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</si>
  <si>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</si>
  <si>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</si>
  <si>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</si>
  <si>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</si>
  <si>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</si>
  <si>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</si>
  <si>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</si>
  <si>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</si>
  <si>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</si>
  <si>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</si>
  <si>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</si>
  <si>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</si>
  <si>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</si>
  <si>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</si>
  <si>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</si>
  <si>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</si>
  <si>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</si>
  <si>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</si>
  <si>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</si>
  <si>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</si>
  <si>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</si>
  <si>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</si>
  <si>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</si>
  <si>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</si>
  <si>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</si>
  <si>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</si>
  <si>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</si>
  <si>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</si>
  <si>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</si>
  <si>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</si>
  <si>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</si>
  <si>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</si>
  <si>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</si>
  <si>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</si>
  <si>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</si>
  <si>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</si>
  <si>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</si>
  <si>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</si>
  <si>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</si>
  <si>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</si>
  <si>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</si>
  <si>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</si>
  <si>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</si>
  <si>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</si>
  <si>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</si>
  <si>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</si>
  <si>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</si>
  <si>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</si>
  <si>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</si>
  <si>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</si>
  <si>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</si>
  <si>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</si>
  <si>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</si>
  <si>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</si>
  <si>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</si>
  <si>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</si>
  <si>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</si>
  <si>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</si>
  <si>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</si>
  <si>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</si>
  <si>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</si>
  <si>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</si>
  <si>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</si>
  <si>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</si>
  <si>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</si>
  <si>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</si>
  <si>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</si>
  <si>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</si>
  <si>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</si>
  <si>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</si>
  <si>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</si>
  <si>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</si>
  <si>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</si>
  <si>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</si>
  <si>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</si>
  <si>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</si>
  <si>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</si>
  <si>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</si>
  <si>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</si>
  <si>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</si>
  <si>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</si>
  <si>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</si>
  <si>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</si>
  <si>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</si>
  <si>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</si>
  <si>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</si>
  <si>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</si>
  <si>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</si>
  <si>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</si>
  <si>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</si>
  <si>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</si>
  <si>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</si>
  <si>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</si>
  <si>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</si>
  <si>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10.0.0.21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</si>
  <si>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</si>
  <si>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</si>
  <si>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</si>
  <si>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</si>
  <si>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</si>
  <si>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</si>
  <si>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</si>
  <si>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</si>
  <si>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</si>
  <si>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</si>
  <si>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</si>
  <si>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192.168.30.30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</si>
  <si>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</si>
  <si>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</si>
  <si>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</si>
  <si>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</si>
  <si>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</si>
  <si>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</si>
  <si>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</si>
  <si>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</si>
  <si>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</si>
  <si>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</si>
  <si>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</si>
  <si>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</si>
  <si>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</si>
  <si>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</si>
  <si>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</si>
  <si>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192.168.30.28</t>
  </si>
  <si>
    <t>CRD1000D</t>
  </si>
  <si>
    <t>Telairity BE-IRD 5503</t>
  </si>
  <si>
    <t>openGear X</t>
  </si>
  <si>
    <t>192.168.30.12</t>
  </si>
  <si>
    <t>tc electronic Finalizer</t>
  </si>
  <si>
    <t>AJA FS4</t>
  </si>
  <si>
    <t>192.168.30.14</t>
  </si>
  <si>
    <t>AJA FS2</t>
  </si>
  <si>
    <t>192.168.30.18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</si>
  <si>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</si>
  <si>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</si>
  <si>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</si>
  <si>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</si>
  <si>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</si>
  <si>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</si>
  <si>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</si>
  <si>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</si>
  <si>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</si>
  <si>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</si>
  <si>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</si>
  <si>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</si>
  <si>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</si>
  <si>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</si>
  <si>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</si>
  <si>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</si>
  <si>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</si>
  <si>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</si>
  <si>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</si>
  <si>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</si>
  <si>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</si>
  <si>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</si>
  <si>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</si>
  <si>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</si>
  <si>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</si>
  <si>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</si>
  <si>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</si>
  <si>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</si>
  <si>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</si>
  <si>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</si>
  <si>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</si>
  <si>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</si>
  <si>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</si>
  <si>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</si>
  <si>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</si>
  <si>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</si>
  <si>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</si>
  <si>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</si>
  <si>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</si>
  <si>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</si>
  <si>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</si>
  <si>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</si>
  <si>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</si>
  <si>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</si>
  <si>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</si>
  <si>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</si>
  <si>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</si>
  <si>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</si>
  <si>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</si>
  <si>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</si>
  <si>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</si>
  <si>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</si>
  <si>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</si>
  <si>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</si>
  <si>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</si>
  <si>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</si>
  <si>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</si>
  <si>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</si>
  <si>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</si>
  <si>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</si>
  <si>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</si>
  <si>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</si>
  <si>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</si>
  <si>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</si>
  <si>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</si>
  <si>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</si>
  <si>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</si>
  <si>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</si>
  <si>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</si>
  <si>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</si>
  <si>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</si>
  <si>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</si>
  <si>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</si>
  <si>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</si>
  <si>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</si>
  <si>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</si>
  <si>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</si>
  <si>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</si>
  <si>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</si>
  <si>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</si>
  <si>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</si>
  <si>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</si>
  <si>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</si>
  <si>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c.3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</si>
</sst>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1" numFmtId="0" xfId="0" applyFont="1"/>
    <xf borderId="0" fillId="8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7.13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5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openGear X</v>
      </c>
      <c r="J64" s="6">
        <v>6.0</v>
      </c>
      <c r="K64" s="6" t="s">
        <v>182</v>
      </c>
      <c r="L64" s="6" t="s">
        <v>106</v>
      </c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106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199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200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201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202</v>
      </c>
      <c r="F72" s="11" t="s">
        <v>198</v>
      </c>
      <c r="G72" s="11" t="s">
        <v>162</v>
      </c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203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204</v>
      </c>
      <c r="B73" s="9" t="str">
        <f>IF(A73="","",VLOOKUP(A73,DB!A:B,2,0))</f>
        <v>Telairity BE-IRD 5503</v>
      </c>
      <c r="C73" s="9"/>
      <c r="D73" s="9"/>
      <c r="E73" s="9" t="s">
        <v>205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206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181</v>
      </c>
      <c r="B75" s="6" t="str">
        <f>IF(A75="","",VLOOKUP(A75,DB!A:B,2,0))</f>
        <v>openGear X</v>
      </c>
      <c r="C75" s="6">
        <v>2.0</v>
      </c>
      <c r="D75" s="6" t="s">
        <v>182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181</v>
      </c>
      <c r="B76" s="6" t="str">
        <f>IF(A76="","",VLOOKUP(A76,DB!A:B,2,0))</f>
        <v>openGear X</v>
      </c>
      <c r="C76" s="6">
        <v>5.0</v>
      </c>
      <c r="D76" s="6" t="s">
        <v>182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Fiber Converter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181</v>
      </c>
      <c r="B78" s="6" t="str">
        <f>IF(A78="","",VLOOKUP(A78,DB!A:B,2,0))</f>
        <v>openGear X</v>
      </c>
      <c r="C78" s="6">
        <v>6.0</v>
      </c>
      <c r="D78" s="6" t="s">
        <v>182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181</v>
      </c>
      <c r="B79" s="6" t="str">
        <f>IF(A79="","",VLOOKUP(A79,DB!A:B,2,0))</f>
        <v>openGear X</v>
      </c>
      <c r="C79" s="6">
        <v>4.0</v>
      </c>
      <c r="D79" s="6" t="s">
        <v>182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181</v>
      </c>
      <c r="B81" s="6" t="str">
        <f>IF(A81="","",VLOOKUP(A81,DB!A:B,2,0))</f>
        <v>openGear X</v>
      </c>
      <c r="C81" s="6">
        <v>3.0</v>
      </c>
      <c r="D81" s="6" t="s">
        <v>182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202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202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202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202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88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198</v>
      </c>
      <c r="G91" s="6" t="s">
        <v>243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244</v>
      </c>
      <c r="M91" s="6" t="s">
        <v>245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198</v>
      </c>
      <c r="G92" s="6" t="s">
        <v>243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246</v>
      </c>
      <c r="M92" s="6" t="s">
        <v>247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198</v>
      </c>
      <c r="G93" s="6" t="s">
        <v>243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248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249</v>
      </c>
      <c r="M94" s="6" t="s">
        <v>250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251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252</v>
      </c>
      <c r="M95" s="6" t="s">
        <v>253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254</v>
      </c>
      <c r="M96" s="6" t="s">
        <v>255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256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257</v>
      </c>
      <c r="B98" s="6" t="str">
        <f>IF(A98="","",VLOOKUP(A98,DB!A:B,2,0))</f>
        <v>Apple TV</v>
      </c>
      <c r="C98" s="5"/>
      <c r="D98" s="5"/>
      <c r="E98" s="6" t="s">
        <v>258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259</v>
      </c>
      <c r="M98" s="6" t="s">
        <v>260</v>
      </c>
      <c r="N98" s="5"/>
      <c r="O98" s="6" t="s">
        <v>261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262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198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263</v>
      </c>
      <c r="M99" s="6" t="s">
        <v>264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262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198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265</v>
      </c>
      <c r="M100" s="6" t="s">
        <v>266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262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198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267</v>
      </c>
      <c r="M101" s="6" t="s">
        <v>268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262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198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269</v>
      </c>
      <c r="M102" s="6" t="s">
        <v>270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262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198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271</v>
      </c>
      <c r="M103" s="6" t="s">
        <v>272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262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198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273</v>
      </c>
      <c r="M104" s="6" t="s">
        <v>274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262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198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275</v>
      </c>
      <c r="M105" s="6" t="s">
        <v>276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277</v>
      </c>
      <c r="B106" s="6" t="str">
        <f>IF(A106="","",VLOOKUP(A106,DB!A:B,2,0))</f>
        <v>Sony HXCU-100 Cam 1</v>
      </c>
      <c r="C106" s="5"/>
      <c r="D106" s="5"/>
      <c r="E106" s="6" t="s">
        <v>202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278</v>
      </c>
      <c r="M106" s="6" t="s">
        <v>279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280</v>
      </c>
      <c r="B107" s="6" t="str">
        <f>IF(A107="","",VLOOKUP(A107,DB!A:B,2,0))</f>
        <v>Sony HXCU-100 Cam 2</v>
      </c>
      <c r="C107" s="5"/>
      <c r="D107" s="5"/>
      <c r="E107" s="6" t="s">
        <v>202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281</v>
      </c>
      <c r="M107" s="6" t="s">
        <v>282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283</v>
      </c>
      <c r="B108" s="6" t="str">
        <f>IF(A108="","",VLOOKUP(A108,DB!A:B,2,0))</f>
        <v>Sony HXCU-100 Cam 3</v>
      </c>
      <c r="C108" s="5"/>
      <c r="D108" s="5"/>
      <c r="E108" s="6" t="s">
        <v>202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284</v>
      </c>
      <c r="M108" s="6" t="s">
        <v>285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286</v>
      </c>
      <c r="B109" s="6" t="str">
        <f>IF(A109="","",VLOOKUP(A109,DB!A:B,2,0))</f>
        <v>Sony HXCU-100 Cam 4</v>
      </c>
      <c r="C109" s="5"/>
      <c r="D109" s="5"/>
      <c r="E109" s="6" t="s">
        <v>202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287</v>
      </c>
      <c r="M109" s="6" t="s">
        <v>288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289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290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291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292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293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294</v>
      </c>
      <c r="M115" s="6" t="s">
        <v>88</v>
      </c>
      <c r="N115" s="6" t="s">
        <v>295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296</v>
      </c>
      <c r="M116" s="6" t="s">
        <v>88</v>
      </c>
      <c r="N116" s="6" t="s">
        <v>295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297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298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299</v>
      </c>
      <c r="M118" s="6" t="s">
        <v>300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301</v>
      </c>
      <c r="M119" s="6" t="s">
        <v>302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303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304</v>
      </c>
      <c r="M120" s="6" t="s">
        <v>305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306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202</v>
      </c>
      <c r="F122" s="6" t="s">
        <v>198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307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308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309</v>
      </c>
      <c r="F124" s="6" t="s">
        <v>198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310</v>
      </c>
      <c r="M124" s="6" t="s">
        <v>311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312</v>
      </c>
      <c r="F125" s="6" t="s">
        <v>198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313</v>
      </c>
      <c r="M125" s="6" t="s">
        <v>314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315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316</v>
      </c>
      <c r="E127" s="6" t="s">
        <v>317</v>
      </c>
      <c r="F127" s="6" t="s">
        <v>198</v>
      </c>
      <c r="G127" s="6" t="s">
        <v>318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319</v>
      </c>
      <c r="M127" s="6" t="s">
        <v>320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321</v>
      </c>
      <c r="M128" s="6" t="s">
        <v>322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323</v>
      </c>
      <c r="M129" s="6" t="s">
        <v>324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189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189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198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198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325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198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326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198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327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198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328</v>
      </c>
      <c r="L136" s="6" t="s">
        <v>106</v>
      </c>
      <c r="M136" s="6" t="s">
        <v>329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198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328</v>
      </c>
      <c r="L137" s="6" t="s">
        <v>106</v>
      </c>
      <c r="M137" s="6" t="s">
        <v>330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198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328</v>
      </c>
      <c r="L138" s="6" t="s">
        <v>106</v>
      </c>
      <c r="M138" s="6" t="s">
        <v>331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198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328</v>
      </c>
      <c r="L139" s="6" t="s">
        <v>106</v>
      </c>
      <c r="M139" s="6" t="s">
        <v>332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198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333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198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334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198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335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198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336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198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198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337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198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338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198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339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198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340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198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198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198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198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198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198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198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198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198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262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198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262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198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262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198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262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198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262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198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262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198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262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198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262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198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262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198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198</v>
      </c>
      <c r="G168" s="6" t="s">
        <v>18</v>
      </c>
      <c r="H168" s="6" t="s">
        <v>341</v>
      </c>
      <c r="I168" s="5" t="str">
        <f>IF(H168="","",VLOOKUP(H168,DB!A:B,2,0))</f>
        <v>Monitor Pvw TX</v>
      </c>
      <c r="J168" s="5"/>
      <c r="K168" s="6"/>
      <c r="L168" s="6" t="s">
        <v>243</v>
      </c>
      <c r="M168" s="5"/>
      <c r="N168" s="5"/>
      <c r="O168" s="6" t="s">
        <v>342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198</v>
      </c>
      <c r="G169" s="6" t="s">
        <v>21</v>
      </c>
      <c r="H169" s="6" t="s">
        <v>88</v>
      </c>
      <c r="I169" s="5" t="str">
        <f>IF(H169="","",VLOOKUP(H169,DB!A:B,2,0))</f>
        <v/>
      </c>
      <c r="J169" s="5"/>
      <c r="K169" s="5"/>
      <c r="L169" s="5"/>
      <c r="M169" s="5"/>
      <c r="N169" s="6" t="s">
        <v>343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198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243</v>
      </c>
      <c r="M170" s="5"/>
      <c r="N170" s="5"/>
      <c r="O170" s="6" t="s">
        <v>342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198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243</v>
      </c>
      <c r="M171" s="5"/>
      <c r="N171" s="5"/>
      <c r="O171" s="6" t="s">
        <v>342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198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243</v>
      </c>
      <c r="M172" s="5"/>
      <c r="N172" s="5"/>
      <c r="O172" s="6" t="s">
        <v>342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198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198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198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198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198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198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198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198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243</v>
      </c>
      <c r="M180" s="5"/>
      <c r="N180" s="5"/>
      <c r="O180" s="6" t="s">
        <v>342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198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243</v>
      </c>
      <c r="M181" s="5"/>
      <c r="N181" s="5"/>
      <c r="O181" s="6" t="s">
        <v>342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198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243</v>
      </c>
      <c r="M182" s="5"/>
      <c r="N182" s="5"/>
      <c r="O182" s="6" t="s">
        <v>342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198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205</v>
      </c>
      <c r="F184" s="6" t="s">
        <v>198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205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316</v>
      </c>
      <c r="L185" s="6" t="s">
        <v>318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328</v>
      </c>
      <c r="E186" s="6" t="s">
        <v>197</v>
      </c>
      <c r="F186" s="6" t="s">
        <v>198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328</v>
      </c>
      <c r="E187" s="6" t="s">
        <v>353</v>
      </c>
      <c r="F187" s="6" t="s">
        <v>198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328</v>
      </c>
      <c r="E188" s="6" t="s">
        <v>356</v>
      </c>
      <c r="F188" s="6" t="s">
        <v>198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328</v>
      </c>
      <c r="E189" s="6" t="s">
        <v>197</v>
      </c>
      <c r="F189" s="6" t="s">
        <v>198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328</v>
      </c>
      <c r="E190" s="6" t="s">
        <v>353</v>
      </c>
      <c r="F190" s="6" t="s">
        <v>198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328</v>
      </c>
      <c r="E191" s="6" t="s">
        <v>356</v>
      </c>
      <c r="F191" s="6" t="s">
        <v>198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328</v>
      </c>
      <c r="E192" s="6" t="s">
        <v>197</v>
      </c>
      <c r="F192" s="6" t="s">
        <v>198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328</v>
      </c>
      <c r="E193" s="6" t="s">
        <v>353</v>
      </c>
      <c r="F193" s="6" t="s">
        <v>198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328</v>
      </c>
      <c r="E194" s="6" t="s">
        <v>356</v>
      </c>
      <c r="F194" s="6" t="s">
        <v>198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328</v>
      </c>
      <c r="E195" s="6" t="s">
        <v>197</v>
      </c>
      <c r="F195" s="6" t="s">
        <v>198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328</v>
      </c>
      <c r="E196" s="6" t="s">
        <v>353</v>
      </c>
      <c r="F196" s="6" t="s">
        <v>198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328</v>
      </c>
      <c r="E197" s="6" t="s">
        <v>356</v>
      </c>
      <c r="F197" s="6" t="s">
        <v>198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328</v>
      </c>
      <c r="E198" s="6" t="s">
        <v>197</v>
      </c>
      <c r="F198" s="6" t="s">
        <v>198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328</v>
      </c>
      <c r="E199" s="6" t="s">
        <v>353</v>
      </c>
      <c r="F199" s="6" t="s">
        <v>198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328</v>
      </c>
      <c r="E200" s="6" t="s">
        <v>356</v>
      </c>
      <c r="F200" s="6" t="s">
        <v>198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198</v>
      </c>
      <c r="G201" s="6" t="s">
        <v>145</v>
      </c>
      <c r="H201" s="6" t="s">
        <v>88</v>
      </c>
      <c r="I201" s="5" t="str">
        <f>IF(H201="","",VLOOKUP(H201,DB!A:B,2,0))</f>
        <v/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198</v>
      </c>
      <c r="G202" s="6" t="s">
        <v>145</v>
      </c>
      <c r="H202" s="6" t="s">
        <v>88</v>
      </c>
      <c r="I202" s="5" t="str">
        <f>IF(H202="","",VLOOKUP(H202,DB!A:B,2,0))</f>
        <v/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198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198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317</v>
      </c>
      <c r="F205" s="6" t="s">
        <v>198</v>
      </c>
      <c r="G205" s="6" t="s">
        <v>318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198</v>
      </c>
      <c r="G206" s="6" t="s">
        <v>318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198</v>
      </c>
      <c r="G207" s="6" t="s">
        <v>318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198</v>
      </c>
      <c r="G208" s="6" t="s">
        <v>318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328</v>
      </c>
      <c r="E210" s="6" t="s">
        <v>197</v>
      </c>
      <c r="F210" s="6" t="s">
        <v>198</v>
      </c>
      <c r="G210" s="6" t="s">
        <v>106</v>
      </c>
      <c r="H210" s="6" t="s">
        <v>224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316</v>
      </c>
      <c r="E211" s="6" t="s">
        <v>366</v>
      </c>
      <c r="F211" s="6" t="s">
        <v>198</v>
      </c>
      <c r="G211" s="6" t="s">
        <v>318</v>
      </c>
      <c r="H211" s="6" t="s">
        <v>181</v>
      </c>
      <c r="I211" s="5" t="str">
        <f>IF(H211="","",VLOOKUP(H211,DB!A:B,2,0))</f>
        <v>openGear X</v>
      </c>
      <c r="J211" s="6">
        <v>1.0</v>
      </c>
      <c r="K211" s="6" t="s">
        <v>316</v>
      </c>
      <c r="L211" s="6" t="s">
        <v>318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316</v>
      </c>
      <c r="E212" s="6" t="s">
        <v>371</v>
      </c>
      <c r="F212" s="6" t="s">
        <v>198</v>
      </c>
      <c r="G212" s="6" t="s">
        <v>318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316</v>
      </c>
      <c r="E213" s="6" t="s">
        <v>361</v>
      </c>
      <c r="F213" s="6" t="s">
        <v>198</v>
      </c>
      <c r="G213" s="6" t="s">
        <v>318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316</v>
      </c>
      <c r="E214" s="6" t="s">
        <v>363</v>
      </c>
      <c r="F214" s="6" t="s">
        <v>198</v>
      </c>
      <c r="G214" s="6" t="s">
        <v>318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316</v>
      </c>
      <c r="E215" s="6" t="s">
        <v>367</v>
      </c>
      <c r="F215" s="6" t="s">
        <v>198</v>
      </c>
      <c r="G215" s="6" t="s">
        <v>318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316</v>
      </c>
      <c r="E216" s="6" t="s">
        <v>364</v>
      </c>
      <c r="F216" s="6" t="s">
        <v>198</v>
      </c>
      <c r="G216" s="6" t="s">
        <v>318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316</v>
      </c>
      <c r="E217" s="6" t="s">
        <v>368</v>
      </c>
      <c r="F217" s="6" t="s">
        <v>198</v>
      </c>
      <c r="G217" s="6" t="s">
        <v>318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316</v>
      </c>
      <c r="E218" s="6" t="s">
        <v>365</v>
      </c>
      <c r="F218" s="6" t="s">
        <v>198</v>
      </c>
      <c r="G218" s="6" t="s">
        <v>318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258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242</v>
      </c>
      <c r="L219" s="6" t="s">
        <v>243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258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242</v>
      </c>
      <c r="L220" s="6" t="s">
        <v>243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258</v>
      </c>
      <c r="F221" s="5"/>
      <c r="G221" s="5"/>
      <c r="H221" s="6" t="s">
        <v>262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261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262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277</v>
      </c>
      <c r="B223" s="6" t="str">
        <f>IF(A223="","",VLOOKUP(A223,DB!A:B,2,0))</f>
        <v>Sony HXCU-100 Cam 1</v>
      </c>
      <c r="C223" s="5"/>
      <c r="D223" s="5"/>
      <c r="E223" s="6" t="s">
        <v>205</v>
      </c>
      <c r="F223" s="5"/>
      <c r="G223" s="5"/>
      <c r="H223" s="6" t="s">
        <v>251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277</v>
      </c>
      <c r="B224" s="6" t="str">
        <f>IF(A224="","",VLOOKUP(A224,DB!A:B,2,0))</f>
        <v>Sony HXCU-100 Cam 1</v>
      </c>
      <c r="C224" s="5"/>
      <c r="D224" s="5"/>
      <c r="E224" s="6" t="s">
        <v>309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280</v>
      </c>
      <c r="B225" s="6" t="str">
        <f>IF(A225="","",VLOOKUP(A225,DB!A:B,2,0))</f>
        <v>Sony HXCU-100 Cam 2</v>
      </c>
      <c r="C225" s="5"/>
      <c r="D225" s="5"/>
      <c r="E225" s="6" t="s">
        <v>205</v>
      </c>
      <c r="F225" s="5"/>
      <c r="G225" s="5"/>
      <c r="H225" s="6" t="s">
        <v>251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280</v>
      </c>
      <c r="B226" s="6" t="str">
        <f>IF(A226="","",VLOOKUP(A226,DB!A:B,2,0))</f>
        <v>Sony HXCU-100 Cam 2</v>
      </c>
      <c r="C226" s="5"/>
      <c r="D226" s="5"/>
      <c r="E226" s="6" t="s">
        <v>309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283</v>
      </c>
      <c r="B227" s="6" t="str">
        <f>IF(A227="","",VLOOKUP(A227,DB!A:B,2,0))</f>
        <v>Sony HXCU-100 Cam 3</v>
      </c>
      <c r="C227" s="5"/>
      <c r="D227" s="5"/>
      <c r="E227" s="6" t="s">
        <v>205</v>
      </c>
      <c r="F227" s="5"/>
      <c r="G227" s="5"/>
      <c r="H227" s="6" t="s">
        <v>251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283</v>
      </c>
      <c r="B228" s="6" t="str">
        <f>IF(A228="","",VLOOKUP(A228,DB!A:B,2,0))</f>
        <v>Sony HXCU-100 Cam 3</v>
      </c>
      <c r="C228" s="5"/>
      <c r="D228" s="5"/>
      <c r="E228" s="6" t="s">
        <v>309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286</v>
      </c>
      <c r="B229" s="6" t="str">
        <f>IF(A229="","",VLOOKUP(A229,DB!A:B,2,0))</f>
        <v>Sony HXCU-100 Cam 4</v>
      </c>
      <c r="C229" s="5"/>
      <c r="D229" s="5"/>
      <c r="E229" s="6" t="s">
        <v>205</v>
      </c>
      <c r="F229" s="5"/>
      <c r="G229" s="5"/>
      <c r="H229" s="6" t="s">
        <v>251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286</v>
      </c>
      <c r="B230" s="6" t="str">
        <f>IF(A230="","",VLOOKUP(A230,DB!A:B,2,0))</f>
        <v>Sony HXCU-100 Cam 4</v>
      </c>
      <c r="C230" s="5"/>
      <c r="D230" s="5"/>
      <c r="E230" s="6" t="s">
        <v>309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243</v>
      </c>
      <c r="M231" s="5"/>
      <c r="N231" s="5"/>
      <c r="O231" s="6" t="s">
        <v>342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243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202</v>
      </c>
      <c r="F234" s="6" t="s">
        <v>198</v>
      </c>
      <c r="G234" s="6" t="s">
        <v>106</v>
      </c>
      <c r="H234" s="6" t="s">
        <v>277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205</v>
      </c>
      <c r="F235" s="6" t="s">
        <v>198</v>
      </c>
      <c r="G235" s="6" t="s">
        <v>106</v>
      </c>
      <c r="H235" s="6" t="s">
        <v>280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309</v>
      </c>
      <c r="F236" s="6" t="s">
        <v>198</v>
      </c>
      <c r="G236" s="6" t="s">
        <v>106</v>
      </c>
      <c r="H236" s="6" t="s">
        <v>283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312</v>
      </c>
      <c r="F237" s="6" t="s">
        <v>198</v>
      </c>
      <c r="G237" s="6" t="s">
        <v>106</v>
      </c>
      <c r="H237" s="6" t="s">
        <v>286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262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262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262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262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262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262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262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262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262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262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262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262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262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262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242</v>
      </c>
      <c r="L254" s="6" t="s">
        <v>243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224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224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240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240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198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198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198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198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198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198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198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198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181</v>
      </c>
      <c r="B269" s="6" t="str">
        <f>IF(A269="","",VLOOKUP(A269,DB!A:B,2,0))</f>
        <v>openGear X</v>
      </c>
      <c r="C269" s="6">
        <v>1.0</v>
      </c>
      <c r="D269" s="6" t="s">
        <v>316</v>
      </c>
      <c r="E269" s="6" t="s">
        <v>404</v>
      </c>
      <c r="F269" s="6" t="s">
        <v>198</v>
      </c>
      <c r="G269" s="6" t="s">
        <v>318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181</v>
      </c>
      <c r="B270" s="6" t="str">
        <f>IF(A270="","",VLOOKUP(A270,DB!A:B,2,0))</f>
        <v>openGear X</v>
      </c>
      <c r="C270" s="6">
        <v>1.0</v>
      </c>
      <c r="D270" s="6" t="s">
        <v>316</v>
      </c>
      <c r="E270" s="6" t="s">
        <v>405</v>
      </c>
      <c r="F270" s="6" t="s">
        <v>198</v>
      </c>
      <c r="G270" s="6" t="s">
        <v>318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181</v>
      </c>
      <c r="B271" s="6" t="str">
        <f>IF(A271="","",VLOOKUP(A271,DB!A:B,2,0))</f>
        <v>openGear X</v>
      </c>
      <c r="C271" s="6">
        <v>1.0</v>
      </c>
      <c r="D271" s="6" t="s">
        <v>316</v>
      </c>
      <c r="E271" s="6" t="s">
        <v>408</v>
      </c>
      <c r="F271" s="6" t="s">
        <v>198</v>
      </c>
      <c r="G271" s="6" t="s">
        <v>318</v>
      </c>
      <c r="H271" s="6" t="s">
        <v>209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181</v>
      </c>
      <c r="B272" s="6" t="str">
        <f>IF(A272="","",VLOOKUP(A272,DB!A:B,2,0))</f>
        <v>openGear X</v>
      </c>
      <c r="C272" s="6">
        <v>1.0</v>
      </c>
      <c r="D272" s="6" t="s">
        <v>316</v>
      </c>
      <c r="E272" s="6" t="s">
        <v>410</v>
      </c>
      <c r="F272" s="6" t="s">
        <v>198</v>
      </c>
      <c r="G272" s="6" t="s">
        <v>318</v>
      </c>
      <c r="H272" s="6" t="s">
        <v>181</v>
      </c>
      <c r="I272" s="5" t="str">
        <f>IF(H272="","",VLOOKUP(H272,DB!A:B,2,0))</f>
        <v>openGear X</v>
      </c>
      <c r="J272" s="6">
        <v>3.0</v>
      </c>
      <c r="K272" s="13" t="s">
        <v>182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181</v>
      </c>
      <c r="B273" s="6" t="str">
        <f>IF(A273="","",VLOOKUP(A273,DB!A:B,2,0))</f>
        <v>openGear X</v>
      </c>
      <c r="C273" s="6">
        <v>1.0</v>
      </c>
      <c r="D273" s="6" t="s">
        <v>316</v>
      </c>
      <c r="E273" s="6" t="s">
        <v>411</v>
      </c>
      <c r="F273" s="6" t="s">
        <v>198</v>
      </c>
      <c r="G273" s="6" t="s">
        <v>318</v>
      </c>
      <c r="H273" s="6" t="s">
        <v>181</v>
      </c>
      <c r="I273" s="5" t="str">
        <f>IF(H273="","",VLOOKUP(H273,DB!A:B,2,0))</f>
        <v>openGear X</v>
      </c>
      <c r="J273" s="6">
        <v>2.0</v>
      </c>
      <c r="K273" s="13" t="s">
        <v>182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181</v>
      </c>
      <c r="B274" s="6" t="str">
        <f>IF(A274="","",VLOOKUP(A274,DB!A:B,2,0))</f>
        <v>openGear X</v>
      </c>
      <c r="C274" s="6">
        <v>1.0</v>
      </c>
      <c r="D274" s="6" t="s">
        <v>316</v>
      </c>
      <c r="E274" s="6" t="s">
        <v>412</v>
      </c>
      <c r="F274" s="6" t="s">
        <v>198</v>
      </c>
      <c r="G274" s="6" t="s">
        <v>318</v>
      </c>
      <c r="H274" s="6" t="s">
        <v>181</v>
      </c>
      <c r="I274" s="5" t="str">
        <f>IF(H274="","",VLOOKUP(H274,DB!A:B,2,0))</f>
        <v>openGear X</v>
      </c>
      <c r="J274" s="6">
        <v>5.0</v>
      </c>
      <c r="K274" s="13" t="s">
        <v>182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181</v>
      </c>
      <c r="B275" s="6" t="str">
        <f>IF(A275="","",VLOOKUP(A275,DB!A:B,2,0))</f>
        <v>openGear X</v>
      </c>
      <c r="C275" s="6">
        <v>1.0</v>
      </c>
      <c r="D275" s="6" t="s">
        <v>316</v>
      </c>
      <c r="E275" s="6" t="s">
        <v>413</v>
      </c>
      <c r="F275" s="6" t="s">
        <v>198</v>
      </c>
      <c r="G275" s="6" t="s">
        <v>318</v>
      </c>
      <c r="H275" s="6" t="s">
        <v>414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415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181</v>
      </c>
      <c r="B276" s="6" t="str">
        <f>IF(A276="","",VLOOKUP(A276,DB!A:B,2,0))</f>
        <v>openGear X</v>
      </c>
      <c r="C276" s="6">
        <v>1.0</v>
      </c>
      <c r="D276" s="6" t="s">
        <v>316</v>
      </c>
      <c r="E276" s="6" t="s">
        <v>416</v>
      </c>
      <c r="F276" s="6" t="s">
        <v>198</v>
      </c>
      <c r="G276" s="6" t="s">
        <v>318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181</v>
      </c>
      <c r="B277" s="6" t="str">
        <f>IF(A277="","",VLOOKUP(A277,DB!A:B,2,0))</f>
        <v>openGear X</v>
      </c>
      <c r="C277" s="6">
        <v>1.0</v>
      </c>
      <c r="D277" s="6" t="s">
        <v>316</v>
      </c>
      <c r="E277" s="6" t="s">
        <v>417</v>
      </c>
      <c r="F277" s="6" t="s">
        <v>198</v>
      </c>
      <c r="G277" s="6" t="s">
        <v>318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213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418</v>
      </c>
      <c r="B278" s="6" t="str">
        <f>IF(A278="","",VLOOKUP(A278,DB!A:B,2,0))</f>
        <v>Leader Sync Generator</v>
      </c>
      <c r="C278" s="5"/>
      <c r="D278" s="6"/>
      <c r="E278" s="6" t="s">
        <v>419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420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418</v>
      </c>
      <c r="B279" s="6" t="str">
        <f>IF(A279="","",VLOOKUP(A279,DB!A:B,2,0))</f>
        <v>Leader Sync Generator</v>
      </c>
      <c r="C279" s="5"/>
      <c r="D279" s="6"/>
      <c r="E279" s="6" t="s">
        <v>421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418</v>
      </c>
      <c r="B280" s="6" t="str">
        <f>IF(A280="","",VLOOKUP(A280,DB!A:B,2,0))</f>
        <v>Leader Sync Generator</v>
      </c>
      <c r="C280" s="5"/>
      <c r="D280" s="6"/>
      <c r="E280" s="6" t="s">
        <v>422</v>
      </c>
      <c r="F280" s="5"/>
      <c r="G280" s="5"/>
      <c r="H280" s="6" t="s">
        <v>423</v>
      </c>
      <c r="I280" s="5" t="str">
        <f>IF(H280="","",VLOOKUP(H280,DB!A:B,2,0))</f>
        <v>Miranda Densite3</v>
      </c>
      <c r="J280" s="6">
        <v>7.0</v>
      </c>
      <c r="K280" s="6" t="s">
        <v>424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418</v>
      </c>
      <c r="B281" s="6" t="str">
        <f>IF(A281="","",VLOOKUP(A281,DB!A:B,2,0))</f>
        <v>Leader Sync Generator</v>
      </c>
      <c r="C281" s="5"/>
      <c r="D281" s="6"/>
      <c r="E281" s="6" t="s">
        <v>425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418</v>
      </c>
      <c r="B282" s="6" t="str">
        <f>IF(A282="","",VLOOKUP(A282,DB!A:B,2,0))</f>
        <v>Leader Sync Generator</v>
      </c>
      <c r="C282" s="5"/>
      <c r="D282" s="6"/>
      <c r="E282" s="6" t="s">
        <v>426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418</v>
      </c>
      <c r="B283" s="6" t="str">
        <f>IF(A283="","",VLOOKUP(A283,DB!A:B,2,0))</f>
        <v>Leader Sync Generator</v>
      </c>
      <c r="C283" s="5"/>
      <c r="D283" s="6"/>
      <c r="E283" s="6" t="s">
        <v>427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423</v>
      </c>
      <c r="B284" s="6" t="str">
        <f>IF(A284="","",VLOOKUP(A284,DB!A:B,2,0))</f>
        <v>Miranda Densite3</v>
      </c>
      <c r="C284" s="6">
        <v>7.0</v>
      </c>
      <c r="D284" s="6" t="s">
        <v>424</v>
      </c>
      <c r="E284" s="6" t="s">
        <v>428</v>
      </c>
      <c r="F284" s="6" t="s">
        <v>198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423</v>
      </c>
      <c r="B285" s="6" t="str">
        <f>IF(A285="","",VLOOKUP(A285,DB!A:B,2,0))</f>
        <v>Miranda Densite3</v>
      </c>
      <c r="C285" s="6">
        <v>7.0</v>
      </c>
      <c r="D285" s="6" t="s">
        <v>424</v>
      </c>
      <c r="E285" s="6" t="s">
        <v>429</v>
      </c>
      <c r="F285" s="6" t="s">
        <v>198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423</v>
      </c>
      <c r="B286" s="6" t="str">
        <f>IF(A286="","",VLOOKUP(A286,DB!A:B,2,0))</f>
        <v>Miranda Densite3</v>
      </c>
      <c r="C286" s="6">
        <v>7.0</v>
      </c>
      <c r="D286" s="6" t="s">
        <v>424</v>
      </c>
      <c r="E286" s="6" t="s">
        <v>430</v>
      </c>
      <c r="F286" s="6" t="s">
        <v>198</v>
      </c>
      <c r="G286" s="6" t="s">
        <v>393</v>
      </c>
      <c r="H286" s="6" t="s">
        <v>277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423</v>
      </c>
      <c r="B287" s="6" t="str">
        <f>IF(A287="","",VLOOKUP(A287,DB!A:B,2,0))</f>
        <v>Miranda Densite3</v>
      </c>
      <c r="C287" s="6">
        <v>7.0</v>
      </c>
      <c r="D287" s="6" t="s">
        <v>424</v>
      </c>
      <c r="E287" s="6" t="s">
        <v>431</v>
      </c>
      <c r="F287" s="6" t="s">
        <v>198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423</v>
      </c>
      <c r="B288" s="6" t="str">
        <f>IF(A288="","",VLOOKUP(A288,DB!A:B,2,0))</f>
        <v>Miranda Densite3</v>
      </c>
      <c r="C288" s="6">
        <v>7.0</v>
      </c>
      <c r="D288" s="6" t="s">
        <v>424</v>
      </c>
      <c r="E288" s="6" t="s">
        <v>432</v>
      </c>
      <c r="F288" s="6" t="s">
        <v>198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423</v>
      </c>
      <c r="B289" s="6" t="str">
        <f>IF(A289="","",VLOOKUP(A289,DB!A:B,2,0))</f>
        <v>Miranda Densite3</v>
      </c>
      <c r="C289" s="6">
        <v>7.0</v>
      </c>
      <c r="D289" s="6" t="s">
        <v>424</v>
      </c>
      <c r="E289" s="6" t="s">
        <v>433</v>
      </c>
      <c r="F289" s="6" t="s">
        <v>198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423</v>
      </c>
      <c r="B290" s="6" t="str">
        <f>IF(A290="","",VLOOKUP(A290,DB!A:B,2,0))</f>
        <v>Miranda Densite3</v>
      </c>
      <c r="C290" s="6">
        <v>7.0</v>
      </c>
      <c r="D290" s="6" t="s">
        <v>424</v>
      </c>
      <c r="E290" s="6" t="s">
        <v>434</v>
      </c>
      <c r="F290" s="6" t="s">
        <v>198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423</v>
      </c>
      <c r="B291" s="6" t="str">
        <f>IF(A291="","",VLOOKUP(A291,DB!A:B,2,0))</f>
        <v>Miranda Densite3</v>
      </c>
      <c r="C291" s="6">
        <v>7.0</v>
      </c>
      <c r="D291" s="6" t="s">
        <v>424</v>
      </c>
      <c r="E291" s="6" t="s">
        <v>435</v>
      </c>
      <c r="F291" s="6" t="s">
        <v>198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423</v>
      </c>
      <c r="B292" s="6" t="str">
        <f>IF(A292="","",VLOOKUP(A292,DB!A:B,2,0))</f>
        <v>Miranda Densite3</v>
      </c>
      <c r="C292" s="6">
        <v>7.0</v>
      </c>
      <c r="D292" s="6" t="s">
        <v>424</v>
      </c>
      <c r="E292" s="6" t="s">
        <v>436</v>
      </c>
      <c r="F292" s="6" t="s">
        <v>198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437</v>
      </c>
      <c r="F293" s="6" t="s">
        <v>198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277</v>
      </c>
      <c r="B294" s="6" t="str">
        <f>IF(A294="","",VLOOKUP(A294,DB!A:B,2,0))</f>
        <v>Sony HXCU-100 Cam 1</v>
      </c>
      <c r="C294" s="5"/>
      <c r="D294" s="6"/>
      <c r="E294" s="6" t="s">
        <v>437</v>
      </c>
      <c r="F294" s="6" t="s">
        <v>198</v>
      </c>
      <c r="G294" s="6" t="s">
        <v>400</v>
      </c>
      <c r="H294" s="6" t="s">
        <v>280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280</v>
      </c>
      <c r="B295" s="6" t="str">
        <f>IF(A295="","",VLOOKUP(A295,DB!A:B,2,0))</f>
        <v>Sony HXCU-100 Cam 2</v>
      </c>
      <c r="C295" s="5"/>
      <c r="D295" s="6"/>
      <c r="E295" s="6" t="s">
        <v>437</v>
      </c>
      <c r="F295" s="6" t="s">
        <v>198</v>
      </c>
      <c r="G295" s="6" t="s">
        <v>400</v>
      </c>
      <c r="H295" s="6" t="s">
        <v>283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283</v>
      </c>
      <c r="B296" s="6" t="str">
        <f>IF(A296="","",VLOOKUP(A296,DB!A:B,2,0))</f>
        <v>Sony HXCU-100 Cam 3</v>
      </c>
      <c r="C296" s="5"/>
      <c r="D296" s="6"/>
      <c r="E296" s="6" t="s">
        <v>437</v>
      </c>
      <c r="F296" s="6" t="s">
        <v>198</v>
      </c>
      <c r="G296" s="6" t="s">
        <v>400</v>
      </c>
      <c r="H296" s="6" t="s">
        <v>286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286</v>
      </c>
      <c r="B297" s="6" t="str">
        <f>IF(A297="","",VLOOKUP(A297,DB!A:B,2,0))</f>
        <v>Sony HXCU-100 Cam 4</v>
      </c>
      <c r="C297" s="5"/>
      <c r="D297" s="6"/>
      <c r="E297" s="6" t="s">
        <v>437</v>
      </c>
      <c r="F297" s="6" t="s">
        <v>198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328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420</v>
      </c>
      <c r="E299" s="6" t="s">
        <v>437</v>
      </c>
      <c r="F299" s="6" t="s">
        <v>198</v>
      </c>
      <c r="G299" s="6" t="s">
        <v>400</v>
      </c>
      <c r="H299" s="6" t="s">
        <v>185</v>
      </c>
      <c r="I299" s="5" t="str">
        <f>IF(H299="","",VLOOKUP(H299,DB!A:B,2,0))</f>
        <v>openGear X</v>
      </c>
      <c r="J299" s="6">
        <v>0.0</v>
      </c>
      <c r="K299" s="6" t="s">
        <v>420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185</v>
      </c>
      <c r="B300" s="6" t="str">
        <f>IF(A300="","",VLOOKUP(A300,DB!A:B,2,0))</f>
        <v>openGear X</v>
      </c>
      <c r="C300" s="6">
        <v>0.0</v>
      </c>
      <c r="D300" s="6" t="s">
        <v>420</v>
      </c>
      <c r="E300" s="6" t="s">
        <v>437</v>
      </c>
      <c r="F300" s="6" t="s">
        <v>198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437</v>
      </c>
      <c r="F301" s="6" t="s">
        <v>198</v>
      </c>
      <c r="G301" s="6" t="s">
        <v>400</v>
      </c>
      <c r="H301" s="6" t="s">
        <v>224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438</v>
      </c>
      <c r="F302" s="6" t="s">
        <v>198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439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318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224</v>
      </c>
      <c r="B304" s="6" t="str">
        <f>IF(A304="","",VLOOKUP(A304,DB!A:B,2,0))</f>
        <v>AJA FS2</v>
      </c>
      <c r="C304" s="5"/>
      <c r="D304" s="6"/>
      <c r="E304" s="6" t="s">
        <v>437</v>
      </c>
      <c r="F304" s="6" t="s">
        <v>198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185</v>
      </c>
      <c r="I305" s="5" t="str">
        <f>IF(H305="","",VLOOKUP(H305,DB!A:B,2,0))</f>
        <v>openGear X</v>
      </c>
      <c r="J305" s="6">
        <v>1.0</v>
      </c>
      <c r="K305" s="11" t="s">
        <v>196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185</v>
      </c>
      <c r="I306" s="5" t="str">
        <f>IF(H306="","",VLOOKUP(H306,DB!A:B,2,0))</f>
        <v>openGear X</v>
      </c>
      <c r="J306" s="6">
        <v>2.0</v>
      </c>
      <c r="K306" s="11" t="s">
        <v>196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440</v>
      </c>
      <c r="F307" s="5"/>
      <c r="G307" s="5"/>
      <c r="H307" s="6" t="s">
        <v>441</v>
      </c>
      <c r="I307" s="5" t="str">
        <f>IF(H307="","",VLOOKUP(H307,DB!A:B,2,0))</f>
        <v>Split 1</v>
      </c>
      <c r="J307" s="5"/>
      <c r="K307" s="5"/>
      <c r="L307" s="6" t="s">
        <v>442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441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198</v>
      </c>
      <c r="G308" s="6" t="s">
        <v>442</v>
      </c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441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198</v>
      </c>
      <c r="G309" s="6" t="s">
        <v>442</v>
      </c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444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441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198</v>
      </c>
      <c r="G310" s="6" t="s">
        <v>442</v>
      </c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441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198</v>
      </c>
      <c r="G311" s="6" t="s">
        <v>442</v>
      </c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444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445</v>
      </c>
      <c r="B312" s="6" t="str">
        <f>IF(A312="","",VLOOKUP(A312,DB!A:B,2,0))</f>
        <v>VIDEOTRON</v>
      </c>
      <c r="C312" s="6">
        <v>3.0</v>
      </c>
      <c r="D312" s="6" t="s">
        <v>446</v>
      </c>
      <c r="E312" s="6" t="s">
        <v>16</v>
      </c>
      <c r="F312" s="6" t="s">
        <v>198</v>
      </c>
      <c r="G312" s="6" t="s">
        <v>447</v>
      </c>
      <c r="H312" s="6" t="s">
        <v>448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445</v>
      </c>
      <c r="B313" s="6" t="str">
        <f>IF(A313="","",VLOOKUP(A313,DB!A:B,2,0))</f>
        <v>VIDEOTRON</v>
      </c>
      <c r="C313" s="6">
        <v>4.0</v>
      </c>
      <c r="D313" s="6" t="s">
        <v>449</v>
      </c>
      <c r="E313" s="6" t="s">
        <v>29</v>
      </c>
      <c r="F313" s="6" t="s">
        <v>198</v>
      </c>
      <c r="G313" s="6" t="s">
        <v>447</v>
      </c>
      <c r="H313" s="6" t="s">
        <v>448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445</v>
      </c>
      <c r="B314" s="6" t="str">
        <f>IF(A314="","",VLOOKUP(A314,DB!A:B,2,0))</f>
        <v>VIDEOTRON</v>
      </c>
      <c r="C314" s="6">
        <v>4.0</v>
      </c>
      <c r="D314" s="6" t="s">
        <v>449</v>
      </c>
      <c r="E314" s="6" t="s">
        <v>32</v>
      </c>
      <c r="F314" s="6" t="s">
        <v>198</v>
      </c>
      <c r="G314" s="6" t="s">
        <v>447</v>
      </c>
      <c r="H314" s="6" t="s">
        <v>450</v>
      </c>
      <c r="I314" s="5" t="str">
        <f>IF(H314="","",VLOOKUP(H314,DB!A:B,2,0))</f>
        <v>VIDEObit V2A-FIBER-5T</v>
      </c>
      <c r="J314" s="6"/>
      <c r="K314" s="6"/>
      <c r="L314" s="6" t="s">
        <v>451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452</v>
      </c>
      <c r="F315" s="6" t="s">
        <v>198</v>
      </c>
      <c r="G315" s="6" t="s">
        <v>453</v>
      </c>
      <c r="H315" s="6" t="s">
        <v>445</v>
      </c>
      <c r="I315" s="5" t="str">
        <f>IF(H315="","",VLOOKUP(H315,DB!A:B,2,0))</f>
        <v>VIDEOTRON</v>
      </c>
      <c r="J315" s="6">
        <v>3.0</v>
      </c>
      <c r="K315" s="6" t="s">
        <v>446</v>
      </c>
      <c r="L315" s="6" t="s">
        <v>447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454</v>
      </c>
      <c r="F316" s="6" t="s">
        <v>198</v>
      </c>
      <c r="G316" s="6" t="s">
        <v>393</v>
      </c>
      <c r="H316" s="6" t="s">
        <v>445</v>
      </c>
      <c r="I316" s="5" t="str">
        <f>IF(H316="","",VLOOKUP(H316,DB!A:B,2,0))</f>
        <v>VIDEOTRON</v>
      </c>
      <c r="J316" s="6">
        <v>4.0</v>
      </c>
      <c r="K316" s="6" t="s">
        <v>449</v>
      </c>
      <c r="L316" s="6" t="s">
        <v>447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202</v>
      </c>
      <c r="F317" s="6" t="s">
        <v>198</v>
      </c>
      <c r="G317" s="6" t="s">
        <v>162</v>
      </c>
      <c r="H317" s="6" t="s">
        <v>455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205</v>
      </c>
      <c r="F318" s="6" t="s">
        <v>198</v>
      </c>
      <c r="G318" s="6" t="s">
        <v>68</v>
      </c>
      <c r="H318" s="6" t="s">
        <v>456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457</v>
      </c>
      <c r="F319" s="5"/>
      <c r="G319" s="5"/>
      <c r="H319" s="6" t="s">
        <v>224</v>
      </c>
      <c r="I319" s="5" t="str">
        <f>IF(H319="","",VLOOKUP(H319,DB!A:B,2,0))</f>
        <v>AJA FS2</v>
      </c>
      <c r="J319" s="6"/>
      <c r="K319" s="6"/>
      <c r="L319" s="6" t="s">
        <v>458</v>
      </c>
      <c r="M319" s="5"/>
      <c r="N319" s="14" t="s">
        <v>459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460</v>
      </c>
      <c r="F320" s="5"/>
      <c r="G320" s="5"/>
      <c r="H320" s="6" t="s">
        <v>224</v>
      </c>
      <c r="I320" s="5" t="str">
        <f>IF(H320="","",VLOOKUP(H320,DB!A:B,2,0))</f>
        <v>AJA FS2</v>
      </c>
      <c r="J320" s="6"/>
      <c r="K320" s="6"/>
      <c r="L320" s="6" t="s">
        <v>461</v>
      </c>
      <c r="M320" s="5"/>
      <c r="N320" s="14" t="s">
        <v>459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462</v>
      </c>
      <c r="B321" s="6" t="str">
        <f>IF(A321="","",VLOOKUP(A321,DB!A:B,2,0))</f>
        <v>DiTel Demodulador</v>
      </c>
      <c r="C321" s="5"/>
      <c r="D321" s="6"/>
      <c r="E321" s="6" t="s">
        <v>457</v>
      </c>
      <c r="F321" s="5"/>
      <c r="G321" s="5"/>
      <c r="H321" s="6" t="s">
        <v>224</v>
      </c>
      <c r="I321" s="5" t="str">
        <f>IF(H321="","",VLOOKUP(H321,DB!A:B,2,0))</f>
        <v>AJA FS2</v>
      </c>
      <c r="J321" s="6"/>
      <c r="K321" s="6"/>
      <c r="L321" s="6" t="s">
        <v>463</v>
      </c>
      <c r="M321" s="5"/>
      <c r="N321" s="14" t="s">
        <v>459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462</v>
      </c>
      <c r="B322" s="6" t="str">
        <f>IF(A322="","",VLOOKUP(A322,DB!A:B,2,0))</f>
        <v>DiTel Demodulador</v>
      </c>
      <c r="C322" s="5"/>
      <c r="D322" s="6"/>
      <c r="E322" s="6" t="s">
        <v>460</v>
      </c>
      <c r="F322" s="5"/>
      <c r="G322" s="5"/>
      <c r="H322" s="6" t="s">
        <v>224</v>
      </c>
      <c r="I322" s="5" t="str">
        <f>IF(H322="","",VLOOKUP(H322,DB!A:B,2,0))</f>
        <v>AJA FS2</v>
      </c>
      <c r="J322" s="6"/>
      <c r="K322" s="6"/>
      <c r="L322" s="6" t="s">
        <v>464</v>
      </c>
      <c r="M322" s="5"/>
      <c r="N322" s="14" t="s">
        <v>459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465</v>
      </c>
      <c r="B323" s="6" t="str">
        <f>IF(A323="","",VLOOKUP(A323,DB!A:B,2,0))</f>
        <v>Mixer Audio TX</v>
      </c>
      <c r="C323" s="5"/>
      <c r="D323" s="6"/>
      <c r="E323" s="6" t="s">
        <v>466</v>
      </c>
      <c r="F323" s="6" t="s">
        <v>198</v>
      </c>
      <c r="G323" s="6" t="s">
        <v>467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468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465</v>
      </c>
      <c r="B324" s="6" t="str">
        <f>IF(A324="","",VLOOKUP(A324,DB!A:B,2,0))</f>
        <v>Mixer Audio TX</v>
      </c>
      <c r="C324" s="5"/>
      <c r="D324" s="6"/>
      <c r="E324" s="6" t="s">
        <v>469</v>
      </c>
      <c r="F324" s="6" t="s">
        <v>198</v>
      </c>
      <c r="G324" s="6" t="s">
        <v>467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470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185</v>
      </c>
      <c r="B325" s="6" t="str">
        <f>IF(A325="","",VLOOKUP(A325,DB!A:B,2,0))</f>
        <v>openGear X</v>
      </c>
      <c r="C325" s="6">
        <v>5.0</v>
      </c>
      <c r="D325" s="6" t="s">
        <v>328</v>
      </c>
      <c r="E325" s="6" t="s">
        <v>471</v>
      </c>
      <c r="F325" s="6" t="s">
        <v>198</v>
      </c>
      <c r="G325" s="6" t="s">
        <v>106</v>
      </c>
      <c r="H325" s="6" t="s">
        <v>465</v>
      </c>
      <c r="I325" s="5" t="str">
        <f>IF(H325="","",VLOOKUP(H325,DB!A:B,2,0))</f>
        <v>Mixer Audio TX</v>
      </c>
      <c r="J325" s="6"/>
      <c r="K325" s="6"/>
      <c r="L325" s="6" t="s">
        <v>467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185</v>
      </c>
      <c r="B326" s="6" t="str">
        <f>IF(A326="","",VLOOKUP(A326,DB!A:B,2,0))</f>
        <v>openGear X</v>
      </c>
      <c r="C326" s="6">
        <v>2.0</v>
      </c>
      <c r="D326" s="6" t="s">
        <v>196</v>
      </c>
      <c r="E326" s="6" t="s">
        <v>197</v>
      </c>
      <c r="F326" s="6" t="s">
        <v>198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472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277</v>
      </c>
      <c r="B331" s="6" t="str">
        <f>IF(A331="","",VLOOKUP(A331,DB!A:B,2,0))</f>
        <v>Sony HXCU-100 Cam 1</v>
      </c>
      <c r="C331" s="5"/>
      <c r="D331" s="6"/>
      <c r="E331" s="6" t="s">
        <v>473</v>
      </c>
      <c r="F331" s="5"/>
      <c r="G331" s="5"/>
      <c r="H331" s="6" t="s">
        <v>474</v>
      </c>
      <c r="I331" s="5" t="str">
        <f>IF(H331="","",VLOOKUP(H331,DB!A:B,2,0))</f>
        <v>RTS Zeus III</v>
      </c>
      <c r="J331" s="6"/>
      <c r="K331" s="6"/>
      <c r="L331" s="6" t="s">
        <v>475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280</v>
      </c>
      <c r="B332" s="6" t="str">
        <f>IF(A332="","",VLOOKUP(A332,DB!A:B,2,0))</f>
        <v>Sony HXCU-100 Cam 2</v>
      </c>
      <c r="C332" s="5"/>
      <c r="D332" s="6"/>
      <c r="E332" s="6" t="s">
        <v>473</v>
      </c>
      <c r="F332" s="5"/>
      <c r="G332" s="5"/>
      <c r="H332" s="6" t="s">
        <v>474</v>
      </c>
      <c r="I332" s="5" t="str">
        <f>IF(H332="","",VLOOKUP(H332,DB!A:B,2,0))</f>
        <v>RTS Zeus III</v>
      </c>
      <c r="J332" s="6"/>
      <c r="K332" s="6"/>
      <c r="L332" s="6" t="s">
        <v>476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283</v>
      </c>
      <c r="B333" s="6" t="str">
        <f>IF(A333="","",VLOOKUP(A333,DB!A:B,2,0))</f>
        <v>Sony HXCU-100 Cam 3</v>
      </c>
      <c r="C333" s="5"/>
      <c r="D333" s="6"/>
      <c r="E333" s="6" t="s">
        <v>473</v>
      </c>
      <c r="F333" s="5"/>
      <c r="G333" s="5"/>
      <c r="H333" s="6" t="s">
        <v>474</v>
      </c>
      <c r="I333" s="5" t="str">
        <f>IF(H333="","",VLOOKUP(H333,DB!A:B,2,0))</f>
        <v>RTS Zeus III</v>
      </c>
      <c r="J333" s="6"/>
      <c r="K333" s="6"/>
      <c r="L333" s="6" t="s">
        <v>477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286</v>
      </c>
      <c r="B334" s="6" t="str">
        <f>IF(A334="","",VLOOKUP(A334,DB!A:B,2,0))</f>
        <v>Sony HXCU-100 Cam 4</v>
      </c>
      <c r="C334" s="5"/>
      <c r="D334" s="6"/>
      <c r="E334" s="6" t="s">
        <v>473</v>
      </c>
      <c r="F334" s="5"/>
      <c r="G334" s="5"/>
      <c r="H334" s="6" t="s">
        <v>474</v>
      </c>
      <c r="I334" s="5" t="str">
        <f>IF(H334="","",VLOOKUP(H334,DB!A:B,2,0))</f>
        <v>RTS Zeus III</v>
      </c>
      <c r="J334" s="6"/>
      <c r="K334" s="6"/>
      <c r="L334" s="6" t="s">
        <v>478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474</v>
      </c>
      <c r="B335" s="6" t="str">
        <f>IF(A335="","",VLOOKUP(A335,DB!A:B,2,0))</f>
        <v>RTS Zeus III</v>
      </c>
      <c r="C335" s="5"/>
      <c r="D335" s="6"/>
      <c r="E335" s="6" t="s">
        <v>479</v>
      </c>
      <c r="F335" s="6" t="s">
        <v>198</v>
      </c>
      <c r="G335" s="6" t="s">
        <v>475</v>
      </c>
      <c r="H335" s="6" t="s">
        <v>277</v>
      </c>
      <c r="I335" s="5" t="str">
        <f>IF(H335="","",VLOOKUP(H335,DB!A:B,2,0))</f>
        <v>Sony HXCU-100 Cam 1</v>
      </c>
      <c r="J335" s="6"/>
      <c r="K335" s="6"/>
      <c r="L335" s="6" t="s">
        <v>480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474</v>
      </c>
      <c r="B336" s="6" t="str">
        <f>IF(A336="","",VLOOKUP(A336,DB!A:B,2,0))</f>
        <v>RTS Zeus III</v>
      </c>
      <c r="C336" s="5"/>
      <c r="D336" s="6"/>
      <c r="E336" s="6" t="s">
        <v>481</v>
      </c>
      <c r="F336" s="6" t="s">
        <v>198</v>
      </c>
      <c r="G336" s="6" t="s">
        <v>476</v>
      </c>
      <c r="H336" s="6" t="s">
        <v>280</v>
      </c>
      <c r="I336" s="5" t="str">
        <f>IF(H336="","",VLOOKUP(H336,DB!A:B,2,0))</f>
        <v>Sony HXCU-100 Cam 2</v>
      </c>
      <c r="J336" s="6"/>
      <c r="K336" s="6"/>
      <c r="L336" s="6" t="s">
        <v>480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474</v>
      </c>
      <c r="B337" s="6" t="str">
        <f>IF(A337="","",VLOOKUP(A337,DB!A:B,2,0))</f>
        <v>RTS Zeus III</v>
      </c>
      <c r="C337" s="5"/>
      <c r="D337" s="6"/>
      <c r="E337" s="6" t="s">
        <v>482</v>
      </c>
      <c r="F337" s="6" t="s">
        <v>198</v>
      </c>
      <c r="G337" s="6" t="s">
        <v>477</v>
      </c>
      <c r="H337" s="6" t="s">
        <v>283</v>
      </c>
      <c r="I337" s="5" t="str">
        <f>IF(H337="","",VLOOKUP(H337,DB!A:B,2,0))</f>
        <v>Sony HXCU-100 Cam 3</v>
      </c>
      <c r="J337" s="6"/>
      <c r="K337" s="6"/>
      <c r="L337" s="6" t="s">
        <v>480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474</v>
      </c>
      <c r="B338" s="6" t="str">
        <f>IF(A338="","",VLOOKUP(A338,DB!A:B,2,0))</f>
        <v>RTS Zeus III</v>
      </c>
      <c r="C338" s="5"/>
      <c r="D338" s="6"/>
      <c r="E338" s="6" t="s">
        <v>483</v>
      </c>
      <c r="F338" s="6" t="s">
        <v>198</v>
      </c>
      <c r="G338" s="6" t="s">
        <v>478</v>
      </c>
      <c r="H338" s="6" t="s">
        <v>286</v>
      </c>
      <c r="I338" s="5" t="str">
        <f>IF(H338="","",VLOOKUP(H338,DB!A:B,2,0))</f>
        <v>Sony HXCU-100 Cam 4</v>
      </c>
      <c r="J338" s="6"/>
      <c r="K338" s="6"/>
      <c r="L338" s="6" t="s">
        <v>480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484</v>
      </c>
      <c r="B339" s="6" t="str">
        <f>IF(A339="","",VLOOKUP(A339,DB!A:B,2,0))</f>
        <v>KP 3016 Asistente</v>
      </c>
      <c r="C339" s="5"/>
      <c r="D339" s="6"/>
      <c r="E339" s="6" t="s">
        <v>485</v>
      </c>
      <c r="F339" s="5"/>
      <c r="G339" s="5"/>
      <c r="H339" s="6" t="s">
        <v>474</v>
      </c>
      <c r="I339" s="5" t="str">
        <f>IF(H339="","",VLOOKUP(H339,DB!A:B,2,0))</f>
        <v>RTS Zeus III</v>
      </c>
      <c r="J339" s="6"/>
      <c r="K339" s="6"/>
      <c r="L339" s="6" t="s">
        <v>486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474</v>
      </c>
      <c r="B340" s="6" t="str">
        <f>IF(A340="","",VLOOKUP(A340,DB!A:B,2,0))</f>
        <v>RTS Zeus III</v>
      </c>
      <c r="C340" s="5"/>
      <c r="D340" s="6"/>
      <c r="E340" s="6" t="s">
        <v>487</v>
      </c>
      <c r="F340" s="6" t="s">
        <v>198</v>
      </c>
      <c r="G340" s="6" t="s">
        <v>486</v>
      </c>
      <c r="H340" s="6" t="s">
        <v>484</v>
      </c>
      <c r="I340" s="5" t="str">
        <f>IF(H340="","",VLOOKUP(H340,DB!A:B,2,0))</f>
        <v>KP 3016 Asistente</v>
      </c>
      <c r="J340" s="6"/>
      <c r="K340" s="6"/>
      <c r="L340" s="6" t="s">
        <v>488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474</v>
      </c>
      <c r="B341" s="6" t="str">
        <f>IF(A341="","",VLOOKUP(A341,DB!A:B,2,0))</f>
        <v>RTS Zeus III</v>
      </c>
      <c r="C341" s="5"/>
      <c r="D341" s="6"/>
      <c r="E341" s="6" t="s">
        <v>489</v>
      </c>
      <c r="F341" s="6" t="s">
        <v>198</v>
      </c>
      <c r="G341" s="6" t="s">
        <v>490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491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474</v>
      </c>
      <c r="I342" s="5" t="str">
        <f>IF(H342="","",VLOOKUP(H342,DB!A:B,2,0))</f>
        <v>RTS Zeus III</v>
      </c>
      <c r="J342" s="6"/>
      <c r="K342" s="6"/>
      <c r="L342" s="6" t="s">
        <v>492</v>
      </c>
      <c r="M342" s="5"/>
      <c r="N342" s="6" t="s">
        <v>491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474</v>
      </c>
      <c r="B343" s="6" t="str">
        <f>IF(A343="","",VLOOKUP(A343,DB!A:B,2,0))</f>
        <v>RTS Zeus III</v>
      </c>
      <c r="C343" s="5"/>
      <c r="D343" s="6"/>
      <c r="E343" s="6" t="s">
        <v>493</v>
      </c>
      <c r="F343" s="6" t="s">
        <v>198</v>
      </c>
      <c r="G343" s="6" t="s">
        <v>492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474</v>
      </c>
      <c r="I344" s="5" t="str">
        <f>IF(H344="","",VLOOKUP(H344,DB!A:B,2,0))</f>
        <v>RTS Zeus III</v>
      </c>
      <c r="J344" s="6"/>
      <c r="K344" s="6"/>
      <c r="L344" s="6" t="s">
        <v>490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474</v>
      </c>
      <c r="B345" s="6" t="str">
        <f>IF(A345="","",VLOOKUP(A345,DB!A:B,2,0))</f>
        <v>RTS Zeus III</v>
      </c>
      <c r="C345" s="5"/>
      <c r="D345" s="6"/>
      <c r="E345" s="6" t="s">
        <v>494</v>
      </c>
      <c r="F345" s="6" t="s">
        <v>198</v>
      </c>
      <c r="G345" s="6" t="s">
        <v>495</v>
      </c>
      <c r="H345" s="6" t="s">
        <v>496</v>
      </c>
      <c r="I345" s="5" t="str">
        <f>IF(H345="","",VLOOKUP(H345,DB!A:B,2,0))</f>
        <v>KP 3016 Sonidista</v>
      </c>
      <c r="J345" s="6"/>
      <c r="K345" s="6"/>
      <c r="L345" s="6" t="s">
        <v>488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474</v>
      </c>
      <c r="B346" s="6" t="str">
        <f>IF(A346="","",VLOOKUP(A346,DB!A:B,2,0))</f>
        <v>RTS Zeus III</v>
      </c>
      <c r="C346" s="5"/>
      <c r="D346" s="6"/>
      <c r="E346" s="6" t="s">
        <v>497</v>
      </c>
      <c r="F346" s="6" t="s">
        <v>198</v>
      </c>
      <c r="G346" s="6" t="s">
        <v>498</v>
      </c>
      <c r="H346" s="6" t="s">
        <v>499</v>
      </c>
      <c r="I346" s="5" t="str">
        <f>IF(H346="","",VLOOKUP(H346,DB!A:B,2,0))</f>
        <v>KP 3016 Titulador</v>
      </c>
      <c r="J346" s="6"/>
      <c r="K346" s="6"/>
      <c r="L346" s="6" t="s">
        <v>488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474</v>
      </c>
      <c r="B347" s="6" t="str">
        <f>IF(A347="","",VLOOKUP(A347,DB!A:B,2,0))</f>
        <v>RTS Zeus III</v>
      </c>
      <c r="C347" s="5"/>
      <c r="D347" s="6"/>
      <c r="E347" s="6" t="s">
        <v>500</v>
      </c>
      <c r="F347" s="6" t="s">
        <v>198</v>
      </c>
      <c r="G347" s="6" t="s">
        <v>501</v>
      </c>
      <c r="H347" s="6" t="s">
        <v>502</v>
      </c>
      <c r="I347" s="5" t="str">
        <f>IF(H347="","",VLOOKUP(H347,DB!A:B,2,0))</f>
        <v>KP 3016 Director</v>
      </c>
      <c r="J347" s="6"/>
      <c r="K347" s="6"/>
      <c r="L347" s="6" t="s">
        <v>488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474</v>
      </c>
      <c r="B348" s="6" t="str">
        <f>IF(A348="","",VLOOKUP(A348,DB!A:B,2,0))</f>
        <v>RTS Zeus III</v>
      </c>
      <c r="C348" s="5"/>
      <c r="D348" s="6"/>
      <c r="E348" s="6" t="s">
        <v>503</v>
      </c>
      <c r="F348" s="6" t="s">
        <v>198</v>
      </c>
      <c r="G348" s="6" t="s">
        <v>504</v>
      </c>
      <c r="H348" s="6" t="s">
        <v>505</v>
      </c>
      <c r="I348" s="5" t="str">
        <f>IF(H348="","",VLOOKUP(H348,DB!A:B,2,0))</f>
        <v>KP 3016 Productor</v>
      </c>
      <c r="J348" s="6"/>
      <c r="K348" s="6"/>
      <c r="L348" s="6" t="s">
        <v>488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496</v>
      </c>
      <c r="B349" s="6" t="str">
        <f>IF(A349="","",VLOOKUP(A349,DB!A:B,2,0))</f>
        <v>KP 3016 Sonidista</v>
      </c>
      <c r="C349" s="5"/>
      <c r="D349" s="6"/>
      <c r="E349" s="6" t="s">
        <v>485</v>
      </c>
      <c r="F349" s="5"/>
      <c r="G349" s="5"/>
      <c r="H349" s="6" t="s">
        <v>474</v>
      </c>
      <c r="I349" s="5" t="str">
        <f>IF(H349="","",VLOOKUP(H349,DB!A:B,2,0))</f>
        <v>RTS Zeus III</v>
      </c>
      <c r="J349" s="6"/>
      <c r="K349" s="6"/>
      <c r="L349" s="6" t="s">
        <v>495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499</v>
      </c>
      <c r="B350" s="6" t="str">
        <f>IF(A350="","",VLOOKUP(A350,DB!A:B,2,0))</f>
        <v>KP 3016 Titulador</v>
      </c>
      <c r="C350" s="5"/>
      <c r="D350" s="6"/>
      <c r="E350" s="6" t="s">
        <v>485</v>
      </c>
      <c r="F350" s="5"/>
      <c r="G350" s="5"/>
      <c r="H350" s="6" t="s">
        <v>474</v>
      </c>
      <c r="I350" s="5" t="str">
        <f>IF(H350="","",VLOOKUP(H350,DB!A:B,2,0))</f>
        <v>RTS Zeus III</v>
      </c>
      <c r="J350" s="6"/>
      <c r="K350" s="6"/>
      <c r="L350" s="6" t="s">
        <v>498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502</v>
      </c>
      <c r="B351" s="6" t="str">
        <f>IF(A351="","",VLOOKUP(A351,DB!A:B,2,0))</f>
        <v>KP 3016 Director</v>
      </c>
      <c r="C351" s="5"/>
      <c r="D351" s="6"/>
      <c r="E351" s="6" t="s">
        <v>485</v>
      </c>
      <c r="F351" s="5"/>
      <c r="G351" s="5"/>
      <c r="H351" s="6" t="s">
        <v>474</v>
      </c>
      <c r="I351" s="5" t="str">
        <f>IF(H351="","",VLOOKUP(H351,DB!A:B,2,0))</f>
        <v>RTS Zeus III</v>
      </c>
      <c r="J351" s="6"/>
      <c r="K351" s="6"/>
      <c r="L351" s="6" t="s">
        <v>501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505</v>
      </c>
      <c r="B352" s="6" t="str">
        <f>IF(A352="","",VLOOKUP(A352,DB!A:B,2,0))</f>
        <v>KP 3016 Productor</v>
      </c>
      <c r="C352" s="5"/>
      <c r="D352" s="6"/>
      <c r="E352" s="6" t="s">
        <v>485</v>
      </c>
      <c r="F352" s="5"/>
      <c r="G352" s="5"/>
      <c r="H352" s="6" t="s">
        <v>474</v>
      </c>
      <c r="I352" s="5" t="str">
        <f>IF(H352="","",VLOOKUP(H352,DB!A:B,2,0))</f>
        <v>RTS Zeus III</v>
      </c>
      <c r="J352" s="6"/>
      <c r="K352" s="6"/>
      <c r="L352" s="6" t="s">
        <v>504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474</v>
      </c>
      <c r="B353" s="6" t="str">
        <f>IF(A353="","",VLOOKUP(A353,DB!A:B,2,0))</f>
        <v>RTS Zeus III</v>
      </c>
      <c r="C353" s="5"/>
      <c r="D353" s="6"/>
      <c r="E353" s="6" t="s">
        <v>506</v>
      </c>
      <c r="F353" s="6" t="s">
        <v>198</v>
      </c>
      <c r="G353" s="6" t="s">
        <v>507</v>
      </c>
      <c r="H353" s="6" t="s">
        <v>508</v>
      </c>
      <c r="I353" s="5" t="str">
        <f>IF(H353="","",VLOOKUP(H353,DB!A:B,2,0))</f>
        <v>KP 3016 Transmision</v>
      </c>
      <c r="J353" s="6"/>
      <c r="K353" s="6"/>
      <c r="L353" s="6" t="s">
        <v>488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508</v>
      </c>
      <c r="B354" s="6" t="str">
        <f>IF(A354="","",VLOOKUP(A354,DB!A:B,2,0))</f>
        <v>KP 3016 Transmision</v>
      </c>
      <c r="C354" s="5"/>
      <c r="D354" s="6"/>
      <c r="E354" s="6" t="s">
        <v>485</v>
      </c>
      <c r="F354" s="5"/>
      <c r="G354" s="5"/>
      <c r="H354" s="6" t="s">
        <v>474</v>
      </c>
      <c r="I354" s="5" t="str">
        <f>IF(H354="","",VLOOKUP(H354,DB!A:B,2,0))</f>
        <v>RTS Zeus III</v>
      </c>
      <c r="J354" s="6"/>
      <c r="K354" s="6"/>
      <c r="L354" s="6" t="s">
        <v>507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474</v>
      </c>
      <c r="B355" s="6" t="str">
        <f>IF(A355="","",VLOOKUP(A355,DB!A:B,2,0))</f>
        <v>RTS Zeus III</v>
      </c>
      <c r="C355" s="5"/>
      <c r="D355" s="6"/>
      <c r="E355" s="6" t="s">
        <v>509</v>
      </c>
      <c r="F355" s="6" t="s">
        <v>198</v>
      </c>
      <c r="G355" s="6" t="s">
        <v>510</v>
      </c>
      <c r="H355" s="6" t="s">
        <v>511</v>
      </c>
      <c r="I355" s="5" t="str">
        <f>IF(H355="","",VLOOKUP(H355,DB!A:B,2,0))</f>
        <v>Servidor</v>
      </c>
      <c r="J355" s="6">
        <v>0.0</v>
      </c>
      <c r="K355" s="6" t="s">
        <v>512</v>
      </c>
      <c r="L355" s="6" t="s">
        <v>513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511</v>
      </c>
      <c r="B356" s="6" t="str">
        <f>IF(A356="","",VLOOKUP(A356,DB!A:B,2,0))</f>
        <v>Servidor</v>
      </c>
      <c r="C356" s="6">
        <v>0.0</v>
      </c>
      <c r="D356" s="6" t="s">
        <v>512</v>
      </c>
      <c r="E356" s="6" t="s">
        <v>514</v>
      </c>
      <c r="F356" s="5"/>
      <c r="G356" s="5"/>
      <c r="H356" s="6" t="s">
        <v>474</v>
      </c>
      <c r="I356" s="5" t="str">
        <f>IF(H356="","",VLOOKUP(H356,DB!A:B,2,0))</f>
        <v>RTS Zeus III</v>
      </c>
      <c r="J356" s="6"/>
      <c r="K356" s="6"/>
      <c r="L356" s="6" t="s">
        <v>510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224</v>
      </c>
      <c r="B357" s="6" t="str">
        <f>IF(A357="","",VLOOKUP(A357,DB!A:B,2,0))</f>
        <v>AJA FS2</v>
      </c>
      <c r="C357" s="5"/>
      <c r="D357" s="6"/>
      <c r="E357" s="6" t="s">
        <v>515</v>
      </c>
      <c r="F357" s="6" t="s">
        <v>198</v>
      </c>
      <c r="G357" s="15" t="s">
        <v>396</v>
      </c>
      <c r="H357" s="6" t="s">
        <v>474</v>
      </c>
      <c r="I357" s="5" t="str">
        <f>IF(H357="","",VLOOKUP(H357,DB!A:B,2,0))</f>
        <v>RTS Zeus III</v>
      </c>
      <c r="J357" s="6"/>
      <c r="K357" s="6"/>
      <c r="L357" s="6" t="s">
        <v>516</v>
      </c>
      <c r="M357" s="5"/>
      <c r="N357" s="6" t="s">
        <v>187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474</v>
      </c>
      <c r="B358" s="6" t="str">
        <f>IF(A358="","",VLOOKUP(A358,DB!A:B,2,0))</f>
        <v>RTS Zeus III</v>
      </c>
      <c r="C358" s="5"/>
      <c r="D358" s="6"/>
      <c r="E358" s="6" t="s">
        <v>517</v>
      </c>
      <c r="F358" s="6" t="s">
        <v>198</v>
      </c>
      <c r="G358" s="6" t="s">
        <v>516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 t="s">
        <v>151</v>
      </c>
      <c r="B359" s="6" t="str">
        <f>IF(A359="","",VLOOKUP(A359,DB!A:B,2,0))</f>
        <v>AJA FS2</v>
      </c>
      <c r="C359" s="5"/>
      <c r="D359" s="6"/>
      <c r="E359" s="6" t="s">
        <v>205</v>
      </c>
      <c r="F359" s="6" t="s">
        <v>198</v>
      </c>
      <c r="G359" s="6" t="s">
        <v>68</v>
      </c>
      <c r="H359" s="6" t="s">
        <v>181</v>
      </c>
      <c r="I359" s="5" t="str">
        <f>IF(H359="","",VLOOKUP(H359,DB!A:B,2,0))</f>
        <v>openGear X</v>
      </c>
      <c r="J359" s="6">
        <v>4.0</v>
      </c>
      <c r="K359" s="6" t="s">
        <v>182</v>
      </c>
      <c r="L359" s="6" t="s">
        <v>106</v>
      </c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 t="s">
        <v>88</v>
      </c>
      <c r="B360" s="6" t="str">
        <f>IF(A360="","",VLOOKUP(A360,DB!A:B,2,0))</f>
        <v/>
      </c>
      <c r="C360" s="5"/>
      <c r="D360" s="6"/>
      <c r="E360" s="6"/>
      <c r="F360" s="5"/>
      <c r="G360" s="5"/>
      <c r="H360" s="6" t="s">
        <v>151</v>
      </c>
      <c r="I360" s="5" t="str">
        <f>IF(H360="","",VLOOKUP(H360,DB!A:B,2,0))</f>
        <v>AJA FS2</v>
      </c>
      <c r="J360" s="6"/>
      <c r="K360" s="6"/>
      <c r="L360" s="6" t="s">
        <v>162</v>
      </c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5"/>
      <c r="B361" s="6" t="str">
        <f>IF(A361="","",VLOOKUP(A361,DB!A:B,2,0))</f>
        <v/>
      </c>
      <c r="C361" s="5"/>
      <c r="D361" s="6"/>
      <c r="E361" s="5"/>
      <c r="F361" s="5"/>
      <c r="G361" s="5"/>
      <c r="H361" s="5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5"/>
      <c r="B362" s="6" t="str">
        <f>IF(A362="","",VLOOKUP(A362,DB!A:B,2,0))</f>
        <v/>
      </c>
      <c r="C362" s="5"/>
      <c r="D362" s="6"/>
      <c r="E362" s="5"/>
      <c r="F362" s="5"/>
      <c r="G362" s="5"/>
      <c r="H362" s="5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 L361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518</v>
      </c>
      <c r="B1" s="17" t="s">
        <v>519</v>
      </c>
      <c r="C1" s="18" t="s">
        <v>520</v>
      </c>
      <c r="D1" s="19" t="s">
        <v>521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522</v>
      </c>
      <c r="B2" s="7" t="s">
        <v>523</v>
      </c>
      <c r="C2" s="20" t="s">
        <v>524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525</v>
      </c>
      <c r="C3" s="20" t="s">
        <v>526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527</v>
      </c>
      <c r="C4" s="20" t="s">
        <v>528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529</v>
      </c>
      <c r="C5" s="20" t="s">
        <v>530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531</v>
      </c>
      <c r="C6" s="21" t="s">
        <v>532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533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534</v>
      </c>
      <c r="B9" s="7" t="s">
        <v>535</v>
      </c>
      <c r="C9" s="20" t="s">
        <v>536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537</v>
      </c>
      <c r="C10" s="20" t="s">
        <v>538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539</v>
      </c>
      <c r="C11" s="20" t="s">
        <v>540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541</v>
      </c>
      <c r="C12" s="20" t="s">
        <v>542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418</v>
      </c>
      <c r="B14" s="11" t="s">
        <v>543</v>
      </c>
      <c r="C14" s="21" t="s">
        <v>544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423</v>
      </c>
      <c r="B15" s="7" t="s">
        <v>545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546</v>
      </c>
      <c r="C16" s="20" t="s">
        <v>547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548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549</v>
      </c>
      <c r="C18" s="21" t="s">
        <v>414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262</v>
      </c>
      <c r="B19" s="7" t="s">
        <v>550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550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551</v>
      </c>
      <c r="C22" s="21" t="s">
        <v>552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553</v>
      </c>
      <c r="C23" s="21" t="s">
        <v>554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555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556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557</v>
      </c>
      <c r="B27" s="7" t="s">
        <v>558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559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559</v>
      </c>
      <c r="C29" s="21" t="s">
        <v>560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561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204</v>
      </c>
      <c r="B31" s="7" t="s">
        <v>562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563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558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563</v>
      </c>
      <c r="C34" s="20" t="s">
        <v>564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565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566</v>
      </c>
      <c r="C36" s="21" t="s">
        <v>567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568</v>
      </c>
      <c r="C37" s="21" t="s">
        <v>569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568</v>
      </c>
      <c r="C38" s="20" t="s">
        <v>570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571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572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573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462</v>
      </c>
      <c r="B43" s="11" t="s">
        <v>574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575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576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577</v>
      </c>
      <c r="C46" s="20" t="s">
        <v>578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579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580</v>
      </c>
      <c r="B49" s="7" t="s">
        <v>581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277</v>
      </c>
      <c r="B50" s="11" t="s">
        <v>582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280</v>
      </c>
      <c r="B51" s="11" t="s">
        <v>583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283</v>
      </c>
      <c r="B52" s="11" t="s">
        <v>584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286</v>
      </c>
      <c r="B53" s="11" t="s">
        <v>585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251</v>
      </c>
      <c r="B54" s="7" t="s">
        <v>586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587</v>
      </c>
      <c r="C55" s="21" t="s">
        <v>414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588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589</v>
      </c>
      <c r="C58" s="21" t="s">
        <v>590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591</v>
      </c>
      <c r="C59" s="21" t="s">
        <v>592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593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445</v>
      </c>
      <c r="B63" s="6" t="s">
        <v>594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595</v>
      </c>
      <c r="B64" s="11" t="s">
        <v>596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450</v>
      </c>
      <c r="B65" s="11" t="s">
        <v>597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598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11" t="s">
        <v>599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599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456</v>
      </c>
      <c r="B69" s="6" t="s">
        <v>600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448</v>
      </c>
      <c r="B70" s="6" t="s">
        <v>601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602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181</v>
      </c>
      <c r="B72" s="7" t="s">
        <v>563</v>
      </c>
      <c r="C72" s="20" t="s">
        <v>603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455</v>
      </c>
      <c r="B73" s="11" t="s">
        <v>604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605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606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257</v>
      </c>
      <c r="B79" s="7" t="s">
        <v>607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608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609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484</v>
      </c>
      <c r="B82" s="11" t="s">
        <v>610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611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612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613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614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615</v>
      </c>
      <c r="B88" s="7" t="s">
        <v>616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617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618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619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620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621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622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496</v>
      </c>
      <c r="B95" s="11" t="s">
        <v>623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499</v>
      </c>
      <c r="B96" s="11" t="s">
        <v>624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502</v>
      </c>
      <c r="B97" s="11" t="s">
        <v>625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505</v>
      </c>
      <c r="B98" s="11" t="s">
        <v>626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627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414</v>
      </c>
      <c r="B102" s="11" t="s">
        <v>628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629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630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341</v>
      </c>
      <c r="B108" s="6" t="s">
        <v>631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465</v>
      </c>
      <c r="B109" s="6" t="s">
        <v>632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508</v>
      </c>
      <c r="B110" s="6" t="s">
        <v>633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441</v>
      </c>
      <c r="B112" s="6" t="s">
        <v>634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635</v>
      </c>
      <c r="B113" s="6" t="s">
        <v>636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637</v>
      </c>
      <c r="B114" s="6" t="s">
        <v>638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639</v>
      </c>
      <c r="B115" s="6" t="s">
        <v>640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641</v>
      </c>
      <c r="B117" s="6" t="s">
        <v>642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643</v>
      </c>
      <c r="B118" s="6" t="s">
        <v>644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645</v>
      </c>
      <c r="B119" s="6" t="s">
        <v>646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647</v>
      </c>
      <c r="B120" s="6" t="s">
        <v>648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474</v>
      </c>
      <c r="B122" s="6" t="s">
        <v>649</v>
      </c>
      <c r="C122" s="6" t="s">
        <v>650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511</v>
      </c>
      <c r="B123" s="6" t="s">
        <v>651</v>
      </c>
      <c r="C123" s="6" t="s">
        <v>414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652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653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1")</f>
        <v>Out 1</v>
      </c>
      <c r="F3" s="5"/>
      <c r="G3" s="5"/>
      <c r="H3" s="5" t="str">
        <f>IFERROR(__xludf.DUMMYFUNCTION("""COMPUTED_VALUE"""),"C.5")</f>
        <v>C.5</v>
      </c>
      <c r="I3" s="5" t="str">
        <f>IFERROR(__xludf.DUMMYFUNCTION("""COMPUTED_VALUE"""),"Blackmagic 12 x 12")</f>
        <v>Blackmagic 12 x 12</v>
      </c>
      <c r="J3" s="5"/>
      <c r="K3" s="5"/>
      <c r="L3" s="5" t="str">
        <f>IFERROR(__xludf.DUMMYFUNCTION("""COMPUTED_VALUE"""),"In 1")</f>
        <v>In 1</v>
      </c>
      <c r="M3" s="5" t="str">
        <f>IFERROR(__xludf.DUMMYFUNCTION("""COMPUTED_VALUE"""),"MATRIZ 1")</f>
        <v>MATRIZ 1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IFERROR(__xludf.DUMMYFUNCTION("""COMPUTED_VALUE"""),"C.3")</f>
        <v>C.3</v>
      </c>
      <c r="B4" s="5" t="str">
        <f>IFERROR(__xludf.DUMMYFUNCTION("""COMPUTED_VALUE"""),"AJA KUMO 6464")</f>
        <v>AJA KUMO 6464</v>
      </c>
      <c r="C4" s="5"/>
      <c r="D4" s="5"/>
      <c r="E4" s="5" t="str">
        <f>IFERROR(__xludf.DUMMYFUNCTION("""COMPUTED_VALUE"""),"Out 2")</f>
        <v>Out 2</v>
      </c>
      <c r="F4" s="5"/>
      <c r="G4" s="5"/>
      <c r="H4" s="5" t="str">
        <f>IFERROR(__xludf.DUMMYFUNCTION("""COMPUTED_VALUE"""),"C.5")</f>
        <v>C.5</v>
      </c>
      <c r="I4" s="5" t="str">
        <f>IFERROR(__xludf.DUMMYFUNCTION("""COMPUTED_VALUE"""),"Blackmagic 12 x 12")</f>
        <v>Blackmagic 12 x 12</v>
      </c>
      <c r="J4" s="5"/>
      <c r="K4" s="5"/>
      <c r="L4" s="5" t="str">
        <f>IFERROR(__xludf.DUMMYFUNCTION("""COMPUTED_VALUE"""),"In 2")</f>
        <v>In 2</v>
      </c>
      <c r="M4" s="5" t="str">
        <f>IFERROR(__xludf.DUMMYFUNCTION("""COMPUTED_VALUE"""),"MATRIZ 2")</f>
        <v>MATRIZ 2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IFERROR(__xludf.DUMMYFUNCTION("""COMPUTED_VALUE"""),"C.3")</f>
        <v>C.3</v>
      </c>
      <c r="B5" s="5" t="str">
        <f>IFERROR(__xludf.DUMMYFUNCTION("""COMPUTED_VALUE"""),"AJA KUMO 6464")</f>
        <v>AJA KUMO 6464</v>
      </c>
      <c r="C5" s="5"/>
      <c r="D5" s="5"/>
      <c r="E5" s="5" t="str">
        <f>IFERROR(__xludf.DUMMYFUNCTION("""COMPUTED_VALUE"""),"Out 3")</f>
        <v>Out 3</v>
      </c>
      <c r="F5" s="5"/>
      <c r="G5" s="5"/>
      <c r="H5" s="5" t="str">
        <f>IFERROR(__xludf.DUMMYFUNCTION("""COMPUTED_VALUE"""),"C.5")</f>
        <v>C.5</v>
      </c>
      <c r="I5" s="5" t="str">
        <f>IFERROR(__xludf.DUMMYFUNCTION("""COMPUTED_VALUE"""),"Blackmagic 12 x 12")</f>
        <v>Blackmagic 12 x 12</v>
      </c>
      <c r="J5" s="5"/>
      <c r="K5" s="5"/>
      <c r="L5" s="5" t="str">
        <f>IFERROR(__xludf.DUMMYFUNCTION("""COMPUTED_VALUE"""),"In 3")</f>
        <v>In 3</v>
      </c>
      <c r="M5" s="5" t="str">
        <f>IFERROR(__xludf.DUMMYFUNCTION("""COMPUTED_VALUE"""),"MATRIZ 3")</f>
        <v>MATRIZ 3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IFERROR(__xludf.DUMMYFUNCTION("""COMPUTED_VALUE"""),"C.3")</f>
        <v>C.3</v>
      </c>
      <c r="B6" s="5" t="str">
        <f>IFERROR(__xludf.DUMMYFUNCTION("""COMPUTED_VALUE"""),"AJA KUMO 6464")</f>
        <v>AJA KUMO 6464</v>
      </c>
      <c r="C6" s="5"/>
      <c r="D6" s="5"/>
      <c r="E6" s="5" t="str">
        <f>IFERROR(__xludf.DUMMYFUNCTION("""COMPUTED_VALUE"""),"Out 4")</f>
        <v>Out 4</v>
      </c>
      <c r="F6" s="5"/>
      <c r="G6" s="5"/>
      <c r="H6" s="5" t="str">
        <f>IFERROR(__xludf.DUMMYFUNCTION("""COMPUTED_VALUE"""),"C.5")</f>
        <v>C.5</v>
      </c>
      <c r="I6" s="5" t="str">
        <f>IFERROR(__xludf.DUMMYFUNCTION("""COMPUTED_VALUE"""),"Blackmagic 12 x 12")</f>
        <v>Blackmagic 12 x 12</v>
      </c>
      <c r="J6" s="5"/>
      <c r="K6" s="5"/>
      <c r="L6" s="5" t="str">
        <f>IFERROR(__xludf.DUMMYFUNCTION("""COMPUTED_VALUE"""),"In 4")</f>
        <v>In 4</v>
      </c>
      <c r="M6" s="5" t="str">
        <f>IFERROR(__xludf.DUMMYFUNCTION("""COMPUTED_VALUE"""),"MATRIZ 4")</f>
        <v>MATRIZ 4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IFERROR(__xludf.DUMMYFUNCTION("""COMPUTED_VALUE"""),"C.3")</f>
        <v>C.3</v>
      </c>
      <c r="B7" s="5" t="str">
        <f>IFERROR(__xludf.DUMMYFUNCTION("""COMPUTED_VALUE"""),"AJA KUMO 6464")</f>
        <v>AJA KUMO 6464</v>
      </c>
      <c r="C7" s="5"/>
      <c r="D7" s="5"/>
      <c r="E7" s="5" t="str">
        <f>IFERROR(__xludf.DUMMYFUNCTION("""COMPUTED_VALUE"""),"Out 5")</f>
        <v>Out 5</v>
      </c>
      <c r="F7" s="5"/>
      <c r="G7" s="5"/>
      <c r="H7" s="5" t="str">
        <f>IFERROR(__xludf.DUMMYFUNCTION("""COMPUTED_VALUE"""),"C.5")</f>
        <v>C.5</v>
      </c>
      <c r="I7" s="5" t="str">
        <f>IFERROR(__xludf.DUMMYFUNCTION("""COMPUTED_VALUE"""),"Blackmagic 12 x 12")</f>
        <v>Blackmagic 12 x 12</v>
      </c>
      <c r="J7" s="5"/>
      <c r="K7" s="5"/>
      <c r="L7" s="5" t="str">
        <f>IFERROR(__xludf.DUMMYFUNCTION("""COMPUTED_VALUE"""),"In 5")</f>
        <v>In 5</v>
      </c>
      <c r="M7" s="5" t="str">
        <f>IFERROR(__xludf.DUMMYFUNCTION("""COMPUTED_VALUE"""),"MATRIZ 5")</f>
        <v>MATRIZ 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IFERROR(__xludf.DUMMYFUNCTION("""COMPUTED_VALUE"""),"C.3")</f>
        <v>C.3</v>
      </c>
      <c r="B8" s="5" t="str">
        <f>IFERROR(__xludf.DUMMYFUNCTION("""COMPUTED_VALUE"""),"AJA KUMO 6464")</f>
        <v>AJA KUMO 6464</v>
      </c>
      <c r="C8" s="5"/>
      <c r="D8" s="5"/>
      <c r="E8" s="5" t="str">
        <f>IFERROR(__xludf.DUMMYFUNCTION("""COMPUTED_VALUE"""),"Out 6")</f>
        <v>Out 6</v>
      </c>
      <c r="F8" s="5"/>
      <c r="G8" s="5"/>
      <c r="H8" s="5" t="str">
        <f>IFERROR(__xludf.DUMMYFUNCTION("""COMPUTED_VALUE"""),"C.5")</f>
        <v>C.5</v>
      </c>
      <c r="I8" s="5" t="str">
        <f>IFERROR(__xludf.DUMMYFUNCTION("""COMPUTED_VALUE"""),"Blackmagic 12 x 12")</f>
        <v>Blackmagic 12 x 12</v>
      </c>
      <c r="J8" s="5"/>
      <c r="K8" s="5"/>
      <c r="L8" s="5" t="str">
        <f>IFERROR(__xludf.DUMMYFUNCTION("""COMPUTED_VALUE"""),"In 6")</f>
        <v>In 6</v>
      </c>
      <c r="M8" s="5" t="str">
        <f>IFERROR(__xludf.DUMMYFUNCTION("""COMPUTED_VALUE"""),"MATRIZ 6")</f>
        <v>MATRIZ 6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IFERROR(__xludf.DUMMYFUNCTION("""COMPUTED_VALUE"""),"C.3")</f>
        <v>C.3</v>
      </c>
      <c r="B9" s="5" t="str">
        <f>IFERROR(__xludf.DUMMYFUNCTION("""COMPUTED_VALUE"""),"AJA KUMO 6464")</f>
        <v>AJA KUMO 6464</v>
      </c>
      <c r="C9" s="5"/>
      <c r="D9" s="5"/>
      <c r="E9" s="5" t="str">
        <f>IFERROR(__xludf.DUMMYFUNCTION("""COMPUTED_VALUE"""),"Out 7")</f>
        <v>Out 7</v>
      </c>
      <c r="F9" s="5"/>
      <c r="G9" s="5"/>
      <c r="H9" s="5" t="str">
        <f>IFERROR(__xludf.DUMMYFUNCTION("""COMPUTED_VALUE"""),"C.5")</f>
        <v>C.5</v>
      </c>
      <c r="I9" s="5" t="str">
        <f>IFERROR(__xludf.DUMMYFUNCTION("""COMPUTED_VALUE"""),"Blackmagic 12 x 12")</f>
        <v>Blackmagic 12 x 12</v>
      </c>
      <c r="J9" s="5"/>
      <c r="K9" s="5"/>
      <c r="L9" s="5" t="str">
        <f>IFERROR(__xludf.DUMMYFUNCTION("""COMPUTED_VALUE"""),"In 7")</f>
        <v>In 7</v>
      </c>
      <c r="M9" s="5" t="str">
        <f>IFERROR(__xludf.DUMMYFUNCTION("""COMPUTED_VALUE"""),"MATRIZ 7")</f>
        <v>MATRIZ 7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IFERROR(__xludf.DUMMYFUNCTION("""COMPUTED_VALUE"""),"C.3")</f>
        <v>C.3</v>
      </c>
      <c r="B10" s="5" t="str">
        <f>IFERROR(__xludf.DUMMYFUNCTION("""COMPUTED_VALUE"""),"AJA KUMO 6464")</f>
        <v>AJA KUMO 6464</v>
      </c>
      <c r="C10" s="5"/>
      <c r="D10" s="5"/>
      <c r="E10" s="5" t="str">
        <f>IFERROR(__xludf.DUMMYFUNCTION("""COMPUTED_VALUE"""),"Out 8")</f>
        <v>Out 8</v>
      </c>
      <c r="F10" s="5"/>
      <c r="G10" s="5"/>
      <c r="H10" s="5" t="str">
        <f>IFERROR(__xludf.DUMMYFUNCTION("""COMPUTED_VALUE"""),"C.5")</f>
        <v>C.5</v>
      </c>
      <c r="I10" s="5" t="str">
        <f>IFERROR(__xludf.DUMMYFUNCTION("""COMPUTED_VALUE"""),"Blackmagic 12 x 12")</f>
        <v>Blackmagic 12 x 12</v>
      </c>
      <c r="J10" s="5"/>
      <c r="K10" s="5"/>
      <c r="L10" s="5" t="str">
        <f>IFERROR(__xludf.DUMMYFUNCTION("""COMPUTED_VALUE"""),"In 8")</f>
        <v>In 8</v>
      </c>
      <c r="M10" s="5" t="str">
        <f>IFERROR(__xludf.DUMMYFUNCTION("""COMPUTED_VALUE"""),"MATRIZ 8")</f>
        <v>MATRIZ 8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IFERROR(__xludf.DUMMYFUNCTION("""COMPUTED_VALUE"""),"C.3")</f>
        <v>C.3</v>
      </c>
      <c r="B11" s="5" t="str">
        <f>IFERROR(__xludf.DUMMYFUNCTION("""COMPUTED_VALUE"""),"AJA KUMO 6464")</f>
        <v>AJA KUMO 6464</v>
      </c>
      <c r="C11" s="5"/>
      <c r="D11" s="5"/>
      <c r="E11" s="5" t="str">
        <f>IFERROR(__xludf.DUMMYFUNCTION("""COMPUTED_VALUE"""),"Out 9")</f>
        <v>Out 9</v>
      </c>
      <c r="F11" s="5"/>
      <c r="G11" s="5"/>
      <c r="H11" s="5" t="str">
        <f>IFERROR(__xludf.DUMMYFUNCTION("""COMPUTED_VALUE"""),"C.5")</f>
        <v>C.5</v>
      </c>
      <c r="I11" s="5" t="str">
        <f>IFERROR(__xludf.DUMMYFUNCTION("""COMPUTED_VALUE"""),"Blackmagic 12 x 12")</f>
        <v>Blackmagic 12 x 12</v>
      </c>
      <c r="J11" s="5"/>
      <c r="K11" s="5"/>
      <c r="L11" s="5" t="str">
        <f>IFERROR(__xludf.DUMMYFUNCTION("""COMPUTED_VALUE"""),"In 9")</f>
        <v>In 9</v>
      </c>
      <c r="M11" s="5" t="str">
        <f>IFERROR(__xludf.DUMMYFUNCTION("""COMPUTED_VALUE"""),"MATRIZ 9")</f>
        <v>MATRIZ 9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IFERROR(__xludf.DUMMYFUNCTION("""COMPUTED_VALUE"""),"C.3")</f>
        <v>C.3</v>
      </c>
      <c r="B12" s="5" t="str">
        <f>IFERROR(__xludf.DUMMYFUNCTION("""COMPUTED_VALUE"""),"AJA KUMO 6464")</f>
        <v>AJA KUMO 6464</v>
      </c>
      <c r="C12" s="5"/>
      <c r="D12" s="5"/>
      <c r="E12" s="5" t="str">
        <f>IFERROR(__xludf.DUMMYFUNCTION("""COMPUTED_VALUE"""),"Out 10")</f>
        <v>Out 10</v>
      </c>
      <c r="F12" s="5"/>
      <c r="G12" s="5"/>
      <c r="H12" s="5" t="str">
        <f>IFERROR(__xludf.DUMMYFUNCTION("""COMPUTED_VALUE"""),"C.5")</f>
        <v>C.5</v>
      </c>
      <c r="I12" s="5" t="str">
        <f>IFERROR(__xludf.DUMMYFUNCTION("""COMPUTED_VALUE"""),"Blackmagic 12 x 12")</f>
        <v>Blackmagic 12 x 12</v>
      </c>
      <c r="J12" s="5"/>
      <c r="K12" s="5"/>
      <c r="L12" s="5" t="str">
        <f>IFERROR(__xludf.DUMMYFUNCTION("""COMPUTED_VALUE"""),"In 10")</f>
        <v>In 10</v>
      </c>
      <c r="M12" s="5" t="str">
        <f>IFERROR(__xludf.DUMMYFUNCTION("""COMPUTED_VALUE"""),"MATRIZ 10")</f>
        <v>MATRIZ 10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IFERROR(__xludf.DUMMYFUNCTION("""COMPUTED_VALUE"""),"C.3")</f>
        <v>C.3</v>
      </c>
      <c r="B13" s="5" t="str">
        <f>IFERROR(__xludf.DUMMYFUNCTION("""COMPUTED_VALUE"""),"AJA KUMO 6464")</f>
        <v>AJA KUMO 6464</v>
      </c>
      <c r="C13" s="5"/>
      <c r="D13" s="5"/>
      <c r="E13" s="5" t="str">
        <f>IFERROR(__xludf.DUMMYFUNCTION("""COMPUTED_VALUE"""),"Out 11")</f>
        <v>Out 11</v>
      </c>
      <c r="F13" s="5"/>
      <c r="G13" s="5"/>
      <c r="H13" s="5" t="str">
        <f>IFERROR(__xludf.DUMMYFUNCTION("""COMPUTED_VALUE"""),"C.4")</f>
        <v>C.4</v>
      </c>
      <c r="I13" s="5" t="str">
        <f>IFERROR(__xludf.DUMMYFUNCTION("""COMPUTED_VALUE"""),"Blackmagic Multiview 16")</f>
        <v>Blackmagic Multiview 16</v>
      </c>
      <c r="J13" s="5"/>
      <c r="K13" s="5"/>
      <c r="L13" s="5" t="str">
        <f>IFERROR(__xludf.DUMMYFUNCTION("""COMPUTED_VALUE"""),"In 11")</f>
        <v>In 11</v>
      </c>
      <c r="M13" s="5" t="str">
        <f>IFERROR(__xludf.DUMMYFUNCTION("""COMPUTED_VALUE"""),"MATRIZ 11")</f>
        <v>MATRIZ 11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IFERROR(__xludf.DUMMYFUNCTION("""COMPUTED_VALUE"""),"C.3")</f>
        <v>C.3</v>
      </c>
      <c r="B14" s="5" t="str">
        <f>IFERROR(__xludf.DUMMYFUNCTION("""COMPUTED_VALUE"""),"AJA KUMO 6464")</f>
        <v>AJA KUMO 6464</v>
      </c>
      <c r="C14" s="5"/>
      <c r="D14" s="5"/>
      <c r="E14" s="5" t="str">
        <f>IFERROR(__xludf.DUMMYFUNCTION("""COMPUTED_VALUE"""),"Out 12")</f>
        <v>Out 12</v>
      </c>
      <c r="F14" s="5"/>
      <c r="G14" s="5"/>
      <c r="H14" s="5" t="str">
        <f>IFERROR(__xludf.DUMMYFUNCTION("""COMPUTED_VALUE"""),"C.4")</f>
        <v>C.4</v>
      </c>
      <c r="I14" s="5" t="str">
        <f>IFERROR(__xludf.DUMMYFUNCTION("""COMPUTED_VALUE"""),"Blackmagic Multiview 16")</f>
        <v>Blackmagic Multiview 16</v>
      </c>
      <c r="J14" s="5"/>
      <c r="K14" s="5"/>
      <c r="L14" s="5" t="str">
        <f>IFERROR(__xludf.DUMMYFUNCTION("""COMPUTED_VALUE"""),"In 12")</f>
        <v>In 12</v>
      </c>
      <c r="M14" s="5" t="str">
        <f>IFERROR(__xludf.DUMMYFUNCTION("""COMPUTED_VALUE"""),"MATRIZ 12")</f>
        <v>MATRIZ 12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IFERROR(__xludf.DUMMYFUNCTION("""COMPUTED_VALUE"""),"C.3")</f>
        <v>C.3</v>
      </c>
      <c r="B15" s="5" t="str">
        <f>IFERROR(__xludf.DUMMYFUNCTION("""COMPUTED_VALUE"""),"AJA KUMO 6464")</f>
        <v>AJA KUMO 6464</v>
      </c>
      <c r="C15" s="5"/>
      <c r="D15" s="5"/>
      <c r="E15" s="5" t="str">
        <f>IFERROR(__xludf.DUMMYFUNCTION("""COMPUTED_VALUE"""),"Out 13")</f>
        <v>Out 13</v>
      </c>
      <c r="F15" s="5"/>
      <c r="G15" s="5"/>
      <c r="H15" s="5" t="str">
        <f>IFERROR(__xludf.DUMMYFUNCTION("""COMPUTED_VALUE"""),"C.4")</f>
        <v>C.4</v>
      </c>
      <c r="I15" s="5" t="str">
        <f>IFERROR(__xludf.DUMMYFUNCTION("""COMPUTED_VALUE"""),"Blackmagic Multiview 16")</f>
        <v>Blackmagic Multiview 16</v>
      </c>
      <c r="J15" s="5"/>
      <c r="K15" s="5"/>
      <c r="L15" s="5" t="str">
        <f>IFERROR(__xludf.DUMMYFUNCTION("""COMPUTED_VALUE"""),"In 13")</f>
        <v>In 13</v>
      </c>
      <c r="M15" s="5" t="str">
        <f>IFERROR(__xludf.DUMMYFUNCTION("""COMPUTED_VALUE"""),"MX 13 AUDIO")</f>
        <v>MX 13 AUDIO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IFERROR(__xludf.DUMMYFUNCTION("""COMPUTED_VALUE"""),"C.3")</f>
        <v>C.3</v>
      </c>
      <c r="B16" s="5" t="str">
        <f>IFERROR(__xludf.DUMMYFUNCTION("""COMPUTED_VALUE"""),"AJA KUMO 6464")</f>
        <v>AJA KUMO 6464</v>
      </c>
      <c r="C16" s="5"/>
      <c r="D16" s="5"/>
      <c r="E16" s="5" t="str">
        <f>IFERROR(__xludf.DUMMYFUNCTION("""COMPUTED_VALUE"""),"Out 14")</f>
        <v>Out 14</v>
      </c>
      <c r="F16" s="5"/>
      <c r="G16" s="5"/>
      <c r="H16" s="5" t="str">
        <f>IFERROR(__xludf.DUMMYFUNCTION("""COMPUTED_VALUE"""),"C.4")</f>
        <v>C.4</v>
      </c>
      <c r="I16" s="5" t="str">
        <f>IFERROR(__xludf.DUMMYFUNCTION("""COMPUTED_VALUE"""),"Blackmagic Multiview 16")</f>
        <v>Blackmagic Multiview 16</v>
      </c>
      <c r="J16" s="5"/>
      <c r="K16" s="5"/>
      <c r="L16" s="5" t="str">
        <f>IFERROR(__xludf.DUMMYFUNCTION("""COMPUTED_VALUE"""),"In 14")</f>
        <v>In 14</v>
      </c>
      <c r="M16" s="5" t="str">
        <f>IFERROR(__xludf.DUMMYFUNCTION("""COMPUTED_VALUE"""),"MX 14 AUDIO")</f>
        <v>MX 14 AUDIO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 t="str">
        <f>IFERROR(__xludf.DUMMYFUNCTION("""COMPUTED_VALUE"""),"C.3")</f>
        <v>C.3</v>
      </c>
      <c r="B17" s="5" t="str">
        <f>IFERROR(__xludf.DUMMYFUNCTION("""COMPUTED_VALUE"""),"AJA KUMO 6464")</f>
        <v>AJA KUMO 6464</v>
      </c>
      <c r="C17" s="5"/>
      <c r="D17" s="5"/>
      <c r="E17" s="5" t="str">
        <f>IFERROR(__xludf.DUMMYFUNCTION("""COMPUTED_VALUE"""),"Out 15")</f>
        <v>Out 15</v>
      </c>
      <c r="F17" s="5"/>
      <c r="G17" s="5"/>
      <c r="H17" s="5" t="str">
        <f>IFERROR(__xludf.DUMMYFUNCTION("""COMPUTED_VALUE"""),"C.4")</f>
        <v>C.4</v>
      </c>
      <c r="I17" s="5" t="str">
        <f>IFERROR(__xludf.DUMMYFUNCTION("""COMPUTED_VALUE"""),"Blackmagic Multiview 16")</f>
        <v>Blackmagic Multiview 16</v>
      </c>
      <c r="J17" s="5"/>
      <c r="K17" s="5"/>
      <c r="L17" s="5" t="str">
        <f>IFERROR(__xludf.DUMMYFUNCTION("""COMPUTED_VALUE"""),"In 15")</f>
        <v>In 15</v>
      </c>
      <c r="M17" s="5" t="str">
        <f>IFERROR(__xludf.DUMMYFUNCTION("""COMPUTED_VALUE"""),"MX 15 AUDIO")</f>
        <v>MX 15 AUDIO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 t="str">
        <f>IFERROR(__xludf.DUMMYFUNCTION("""COMPUTED_VALUE"""),"C.3")</f>
        <v>C.3</v>
      </c>
      <c r="B18" s="5" t="str">
        <f>IFERROR(__xludf.DUMMYFUNCTION("""COMPUTED_VALUE"""),"AJA KUMO 6464")</f>
        <v>AJA KUMO 6464</v>
      </c>
      <c r="C18" s="5"/>
      <c r="D18" s="5"/>
      <c r="E18" s="5" t="str">
        <f>IFERROR(__xludf.DUMMYFUNCTION("""COMPUTED_VALUE"""),"Out 16")</f>
        <v>Out 16</v>
      </c>
      <c r="F18" s="5"/>
      <c r="G18" s="5"/>
      <c r="H18" s="5" t="str">
        <f>IFERROR(__xludf.DUMMYFUNCTION("""COMPUTED_VALUE"""),"C.4")</f>
        <v>C.4</v>
      </c>
      <c r="I18" s="5" t="str">
        <f>IFERROR(__xludf.DUMMYFUNCTION("""COMPUTED_VALUE"""),"Blackmagic Multiview 16")</f>
        <v>Blackmagic Multiview 16</v>
      </c>
      <c r="J18" s="5"/>
      <c r="K18" s="5"/>
      <c r="L18" s="5" t="str">
        <f>IFERROR(__xludf.DUMMYFUNCTION("""COMPUTED_VALUE"""),"In 16")</f>
        <v>In 16</v>
      </c>
      <c r="M18" s="5" t="str">
        <f>IFERROR(__xludf.DUMMYFUNCTION("""COMPUTED_VALUE"""),"MX 16 AUDIO")</f>
        <v>MX 16 AUDIO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 t="str">
        <f>IFERROR(__xludf.DUMMYFUNCTION("""COMPUTED_VALUE"""),"C.3")</f>
        <v>C.3</v>
      </c>
      <c r="B19" s="5" t="str">
        <f>IFERROR(__xludf.DUMMYFUNCTION("""COMPUTED_VALUE"""),"AJA KUMO 6464")</f>
        <v>AJA KUMO 6464</v>
      </c>
      <c r="C19" s="5"/>
      <c r="D19" s="5"/>
      <c r="E19" s="5" t="str">
        <f>IFERROR(__xludf.DUMMYFUNCTION("""COMPUTED_VALUE"""),"Out 17")</f>
        <v>Out 17</v>
      </c>
      <c r="F19" s="5"/>
      <c r="G19" s="5"/>
      <c r="H19" s="5" t="str">
        <f>IFERROR(__xludf.DUMMYFUNCTION("""COMPUTED_VALUE"""),"D.11")</f>
        <v>D.11</v>
      </c>
      <c r="I19" s="5" t="str">
        <f>IFERROR(__xludf.DUMMYFUNCTION("""COMPUTED_VALUE"""),"AJA FS4")</f>
        <v>AJA FS4</v>
      </c>
      <c r="J19" s="5"/>
      <c r="K19" s="5"/>
      <c r="L19" s="5" t="str">
        <f>IFERROR(__xludf.DUMMYFUNCTION("""COMPUTED_VALUE"""),"SDI In 2")</f>
        <v>SDI In 2</v>
      </c>
      <c r="M19" s="5" t="str">
        <f>IFERROR(__xludf.DUMMYFUNCTION("""COMPUTED_VALUE"""),"LOOP A.1")</f>
        <v>LOOP A.1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 t="str">
        <f>IFERROR(__xludf.DUMMYFUNCTION("""COMPUTED_VALUE"""),"C.3")</f>
        <v>C.3</v>
      </c>
      <c r="B20" s="5" t="str">
        <f>IFERROR(__xludf.DUMMYFUNCTION("""COMPUTED_VALUE"""),"AJA KUMO 6464")</f>
        <v>AJA KUMO 6464</v>
      </c>
      <c r="C20" s="5"/>
      <c r="D20" s="5"/>
      <c r="E20" s="5" t="str">
        <f>IFERROR(__xludf.DUMMYFUNCTION("""COMPUTED_VALUE"""),"Out 18")</f>
        <v>Out 18</v>
      </c>
      <c r="F20" s="5"/>
      <c r="G20" s="5"/>
      <c r="H20" s="5" t="str">
        <f>IFERROR(__xludf.DUMMYFUNCTION("""COMPUTED_VALUE"""),"B.2")</f>
        <v>B.2</v>
      </c>
      <c r="I20" s="5" t="str">
        <f>IFERROR(__xludf.DUMMYFUNCTION("""COMPUTED_VALUE"""),"Loop A")</f>
        <v>Loop A</v>
      </c>
      <c r="J20" s="5">
        <f>IFERROR(__xludf.DUMMYFUNCTION("""COMPUTED_VALUE"""),2.0)</f>
        <v>2</v>
      </c>
      <c r="K20" s="5" t="str">
        <f>IFERROR(__xludf.DUMMYFUNCTION("""COMPUTED_VALUE"""),"DeckLink")</f>
        <v>DeckLink</v>
      </c>
      <c r="L20" s="5" t="str">
        <f>IFERROR(__xludf.DUMMYFUNCTION("""COMPUTED_VALUE"""),"In P1")</f>
        <v>In P1</v>
      </c>
      <c r="M20" s="5" t="str">
        <f>IFERROR(__xludf.DUMMYFUNCTION("""COMPUTED_VALUE"""),"LOOP A.2")</f>
        <v>LOOP A.2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 t="str">
        <f>IFERROR(__xludf.DUMMYFUNCTION("""COMPUTED_VALUE"""),"C.3")</f>
        <v>C.3</v>
      </c>
      <c r="B21" s="5" t="str">
        <f>IFERROR(__xludf.DUMMYFUNCTION("""COMPUTED_VALUE"""),"AJA KUMO 6464")</f>
        <v>AJA KUMO 6464</v>
      </c>
      <c r="C21" s="5"/>
      <c r="D21" s="5"/>
      <c r="E21" s="5" t="str">
        <f>IFERROR(__xludf.DUMMYFUNCTION("""COMPUTED_VALUE"""),"Out 19")</f>
        <v>Out 19</v>
      </c>
      <c r="F21" s="5"/>
      <c r="G21" s="5"/>
      <c r="H21" s="5" t="str">
        <f>IFERROR(__xludf.DUMMYFUNCTION("""COMPUTED_VALUE"""),"B.3")</f>
        <v>B.3</v>
      </c>
      <c r="I21" s="5" t="str">
        <f>IFERROR(__xludf.DUMMYFUNCTION("""COMPUTED_VALUE"""),"Loop B")</f>
        <v>Loop B</v>
      </c>
      <c r="J21" s="5">
        <f>IFERROR(__xludf.DUMMYFUNCTION("""COMPUTED_VALUE"""),1.0)</f>
        <v>1</v>
      </c>
      <c r="K21" s="5" t="str">
        <f>IFERROR(__xludf.DUMMYFUNCTION("""COMPUTED_VALUE"""),"DeckLink")</f>
        <v>DeckLink</v>
      </c>
      <c r="L21" s="5" t="str">
        <f>IFERROR(__xludf.DUMMYFUNCTION("""COMPUTED_VALUE"""),"In P1")</f>
        <v>In P1</v>
      </c>
      <c r="M21" s="5" t="str">
        <f>IFERROR(__xludf.DUMMYFUNCTION("""COMPUTED_VALUE"""),"LOOP B.1")</f>
        <v>LOOP B.1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 t="str">
        <f>IFERROR(__xludf.DUMMYFUNCTION("""COMPUTED_VALUE"""),"C.3")</f>
        <v>C.3</v>
      </c>
      <c r="B22" s="5" t="str">
        <f>IFERROR(__xludf.DUMMYFUNCTION("""COMPUTED_VALUE"""),"AJA KUMO 6464")</f>
        <v>AJA KUMO 6464</v>
      </c>
      <c r="C22" s="5"/>
      <c r="D22" s="5"/>
      <c r="E22" s="5" t="str">
        <f>IFERROR(__xludf.DUMMYFUNCTION("""COMPUTED_VALUE"""),"Out 20")</f>
        <v>Out 20</v>
      </c>
      <c r="F22" s="5"/>
      <c r="G22" s="5"/>
      <c r="H22" s="5" t="str">
        <f>IFERROR(__xludf.DUMMYFUNCTION("""COMPUTED_VALUE"""),"B.3")</f>
        <v>B.3</v>
      </c>
      <c r="I22" s="5" t="str">
        <f>IFERROR(__xludf.DUMMYFUNCTION("""COMPUTED_VALUE"""),"Loop B")</f>
        <v>Loop B</v>
      </c>
      <c r="J22" s="5">
        <f>IFERROR(__xludf.DUMMYFUNCTION("""COMPUTED_VALUE"""),2.0)</f>
        <v>2</v>
      </c>
      <c r="K22" s="5" t="str">
        <f>IFERROR(__xludf.DUMMYFUNCTION("""COMPUTED_VALUE"""),"DeckLink")</f>
        <v>DeckLink</v>
      </c>
      <c r="L22" s="5" t="str">
        <f>IFERROR(__xludf.DUMMYFUNCTION("""COMPUTED_VALUE"""),"In P1")</f>
        <v>In P1</v>
      </c>
      <c r="M22" s="5" t="str">
        <f>IFERROR(__xludf.DUMMYFUNCTION("""COMPUTED_VALUE"""),"LOOP B.2")</f>
        <v>LOOP B.2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 t="str">
        <f>IFERROR(__xludf.DUMMYFUNCTION("""COMPUTED_VALUE"""),"C.3")</f>
        <v>C.3</v>
      </c>
      <c r="B23" s="5" t="str">
        <f>IFERROR(__xludf.DUMMYFUNCTION("""COMPUTED_VALUE"""),"AJA KUMO 6464")</f>
        <v>AJA KUMO 6464</v>
      </c>
      <c r="C23" s="5"/>
      <c r="D23" s="5"/>
      <c r="E23" s="5" t="str">
        <f>IFERROR(__xludf.DUMMYFUNCTION("""COMPUTED_VALUE"""),"Out 21")</f>
        <v>Out 21</v>
      </c>
      <c r="F23" s="5"/>
      <c r="G23" s="5"/>
      <c r="H23" s="5" t="str">
        <f>IFERROR(__xludf.DUMMYFUNCTION("""COMPUTED_VALUE"""),"B.4")</f>
        <v>B.4</v>
      </c>
      <c r="I23" s="5" t="str">
        <f>IFERROR(__xludf.DUMMYFUNCTION("""COMPUTED_VALUE"""),"Loop C")</f>
        <v>Loop C</v>
      </c>
      <c r="J23" s="5">
        <f>IFERROR(__xludf.DUMMYFUNCTION("""COMPUTED_VALUE"""),1.0)</f>
        <v>1</v>
      </c>
      <c r="K23" s="5" t="str">
        <f>IFERROR(__xludf.DUMMYFUNCTION("""COMPUTED_VALUE"""),"DeckLink")</f>
        <v>DeckLink</v>
      </c>
      <c r="L23" s="5" t="str">
        <f>IFERROR(__xludf.DUMMYFUNCTION("""COMPUTED_VALUE"""),"In P1")</f>
        <v>In P1</v>
      </c>
      <c r="M23" s="5" t="str">
        <f>IFERROR(__xludf.DUMMYFUNCTION("""COMPUTED_VALUE"""),"LOOP C.1")</f>
        <v>LOOP C.1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 t="str">
        <f>IFERROR(__xludf.DUMMYFUNCTION("""COMPUTED_VALUE"""),"C.3")</f>
        <v>C.3</v>
      </c>
      <c r="B24" s="5" t="str">
        <f>IFERROR(__xludf.DUMMYFUNCTION("""COMPUTED_VALUE"""),"AJA KUMO 6464")</f>
        <v>AJA KUMO 6464</v>
      </c>
      <c r="C24" s="5"/>
      <c r="D24" s="5"/>
      <c r="E24" s="5" t="str">
        <f>IFERROR(__xludf.DUMMYFUNCTION("""COMPUTED_VALUE"""),"Out 22")</f>
        <v>Out 22</v>
      </c>
      <c r="F24" s="5"/>
      <c r="G24" s="5"/>
      <c r="H24" s="5" t="str">
        <f>IFERROR(__xludf.DUMMYFUNCTION("""COMPUTED_VALUE"""),"B.4")</f>
        <v>B.4</v>
      </c>
      <c r="I24" s="5" t="str">
        <f>IFERROR(__xludf.DUMMYFUNCTION("""COMPUTED_VALUE"""),"Loop C")</f>
        <v>Loop C</v>
      </c>
      <c r="J24" s="5">
        <f>IFERROR(__xludf.DUMMYFUNCTION("""COMPUTED_VALUE"""),2.0)</f>
        <v>2</v>
      </c>
      <c r="K24" s="5" t="str">
        <f>IFERROR(__xludf.DUMMYFUNCTION("""COMPUTED_VALUE"""),"DeckLink")</f>
        <v>DeckLink</v>
      </c>
      <c r="L24" s="5" t="str">
        <f>IFERROR(__xludf.DUMMYFUNCTION("""COMPUTED_VALUE"""),"In P1")</f>
        <v>In P1</v>
      </c>
      <c r="M24" s="5" t="str">
        <f>IFERROR(__xludf.DUMMYFUNCTION("""COMPUTED_VALUE"""),"LOOP C.2")</f>
        <v>LOOP C.2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 t="str">
        <f>IFERROR(__xludf.DUMMYFUNCTION("""COMPUTED_VALUE"""),"C.3")</f>
        <v>C.3</v>
      </c>
      <c r="B25" s="5" t="str">
        <f>IFERROR(__xludf.DUMMYFUNCTION("""COMPUTED_VALUE"""),"AJA KUMO 6464")</f>
        <v>AJA KUMO 6464</v>
      </c>
      <c r="C25" s="5"/>
      <c r="D25" s="5"/>
      <c r="E25" s="5" t="str">
        <f>IFERROR(__xludf.DUMMYFUNCTION("""COMPUTED_VALUE"""),"Out 23")</f>
        <v>Out 23</v>
      </c>
      <c r="F25" s="5"/>
      <c r="G25" s="5"/>
      <c r="H25" s="5" t="str">
        <f>IFERROR(__xludf.DUMMYFUNCTION("""COMPUTED_VALUE"""),"C.4")</f>
        <v>C.4</v>
      </c>
      <c r="I25" s="5" t="str">
        <f>IFERROR(__xludf.DUMMYFUNCTION("""COMPUTED_VALUE"""),"Blackmagic Multiview 16")</f>
        <v>Blackmagic Multiview 16</v>
      </c>
      <c r="J25" s="5"/>
      <c r="K25" s="5"/>
      <c r="L25" s="5" t="str">
        <f>IFERROR(__xludf.DUMMYFUNCTION("""COMPUTED_VALUE"""),"In 1")</f>
        <v>In 1</v>
      </c>
      <c r="M25" s="5" t="str">
        <f>IFERROR(__xludf.DUMMYFUNCTION("""COMPUTED_VALUE"""),"1 MV TX")</f>
        <v>1 MV TX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 t="str">
        <f>IFERROR(__xludf.DUMMYFUNCTION("""COMPUTED_VALUE"""),"C.3")</f>
        <v>C.3</v>
      </c>
      <c r="B26" s="5" t="str">
        <f>IFERROR(__xludf.DUMMYFUNCTION("""COMPUTED_VALUE"""),"AJA KUMO 6464")</f>
        <v>AJA KUMO 6464</v>
      </c>
      <c r="C26" s="5"/>
      <c r="D26" s="5"/>
      <c r="E26" s="5" t="str">
        <f>IFERROR(__xludf.DUMMYFUNCTION("""COMPUTED_VALUE"""),"Out 24")</f>
        <v>Out 24</v>
      </c>
      <c r="F26" s="5"/>
      <c r="G26" s="5"/>
      <c r="H26" s="5" t="str">
        <f>IFERROR(__xludf.DUMMYFUNCTION("""COMPUTED_VALUE"""),"N/C")</f>
        <v>N/C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 t="str">
        <f>IFERROR(__xludf.DUMMYFUNCTION("""COMPUTED_VALUE"""),"C.3")</f>
        <v>C.3</v>
      </c>
      <c r="B27" s="5" t="str">
        <f>IFERROR(__xludf.DUMMYFUNCTION("""COMPUTED_VALUE"""),"AJA KUMO 6464")</f>
        <v>AJA KUMO 6464</v>
      </c>
      <c r="C27" s="5"/>
      <c r="D27" s="5"/>
      <c r="E27" s="5" t="str">
        <f>IFERROR(__xludf.DUMMYFUNCTION("""COMPUTED_VALUE"""),"Out 25")</f>
        <v>Out 25</v>
      </c>
      <c r="F27" s="5"/>
      <c r="G27" s="5"/>
      <c r="H27" s="5" t="str">
        <f>IFERROR(__xludf.DUMMYFUNCTION("""COMPUTED_VALUE"""),"F.7")</f>
        <v>F.7</v>
      </c>
      <c r="I27" s="5" t="str">
        <f>IFERROR(__xludf.DUMMYFUNCTION("""COMPUTED_VALUE"""),"FOR A HVS-390HS")</f>
        <v>FOR A HVS-390HS</v>
      </c>
      <c r="J27" s="5"/>
      <c r="K27" s="5"/>
      <c r="L27" s="5" t="str">
        <f>IFERROR(__xludf.DUMMYFUNCTION("""COMPUTED_VALUE"""),"In 11")</f>
        <v>In 11</v>
      </c>
      <c r="M27" s="5" t="str">
        <f>IFERROR(__xludf.DUMMYFUNCTION("""COMPUTED_VALUE"""),"MX 25")</f>
        <v>MX 25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 t="str">
        <f>IFERROR(__xludf.DUMMYFUNCTION("""COMPUTED_VALUE"""),"C.3")</f>
        <v>C.3</v>
      </c>
      <c r="B28" s="5" t="str">
        <f>IFERROR(__xludf.DUMMYFUNCTION("""COMPUTED_VALUE"""),"AJA KUMO 6464")</f>
        <v>AJA KUMO 6464</v>
      </c>
      <c r="C28" s="5"/>
      <c r="D28" s="5"/>
      <c r="E28" s="5" t="str">
        <f>IFERROR(__xludf.DUMMYFUNCTION("""COMPUTED_VALUE"""),"Out 26")</f>
        <v>Out 26</v>
      </c>
      <c r="F28" s="5"/>
      <c r="G28" s="5"/>
      <c r="H28" s="5" t="str">
        <f>IFERROR(__xludf.DUMMYFUNCTION("""COMPUTED_VALUE"""),"F.7")</f>
        <v>F.7</v>
      </c>
      <c r="I28" s="5" t="str">
        <f>IFERROR(__xludf.DUMMYFUNCTION("""COMPUTED_VALUE"""),"FOR A HVS-390HS")</f>
        <v>FOR A HVS-390HS</v>
      </c>
      <c r="J28" s="5"/>
      <c r="K28" s="5"/>
      <c r="L28" s="5" t="str">
        <f>IFERROR(__xludf.DUMMYFUNCTION("""COMPUTED_VALUE"""),"In 12")</f>
        <v>In 12</v>
      </c>
      <c r="M28" s="5" t="str">
        <f>IFERROR(__xludf.DUMMYFUNCTION("""COMPUTED_VALUE"""),"MX 26")</f>
        <v>MX 26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 t="str">
        <f>IFERROR(__xludf.DUMMYFUNCTION("""COMPUTED_VALUE"""),"C.3")</f>
        <v>C.3</v>
      </c>
      <c r="B29" s="5" t="str">
        <f>IFERROR(__xludf.DUMMYFUNCTION("""COMPUTED_VALUE"""),"AJA KUMO 6464")</f>
        <v>AJA KUMO 6464</v>
      </c>
      <c r="C29" s="5"/>
      <c r="D29" s="5"/>
      <c r="E29" s="5" t="str">
        <f>IFERROR(__xludf.DUMMYFUNCTION("""COMPUTED_VALUE"""),"Out 27")</f>
        <v>Out 27</v>
      </c>
      <c r="F29" s="5"/>
      <c r="G29" s="5"/>
      <c r="H29" s="5" t="str">
        <f>IFERROR(__xludf.DUMMYFUNCTION("""COMPUTED_VALUE"""),"F.7")</f>
        <v>F.7</v>
      </c>
      <c r="I29" s="5" t="str">
        <f>IFERROR(__xludf.DUMMYFUNCTION("""COMPUTED_VALUE"""),"FOR A HVS-390HS")</f>
        <v>FOR A HVS-390HS</v>
      </c>
      <c r="J29" s="5"/>
      <c r="K29" s="5"/>
      <c r="L29" s="5" t="str">
        <f>IFERROR(__xludf.DUMMYFUNCTION("""COMPUTED_VALUE"""),"In 13")</f>
        <v>In 13</v>
      </c>
      <c r="M29" s="5" t="str">
        <f>IFERROR(__xludf.DUMMYFUNCTION("""COMPUTED_VALUE"""),"MX 27")</f>
        <v>MX 27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 t="str">
        <f>IFERROR(__xludf.DUMMYFUNCTION("""COMPUTED_VALUE"""),"C.3")</f>
        <v>C.3</v>
      </c>
      <c r="B30" s="5" t="str">
        <f>IFERROR(__xludf.DUMMYFUNCTION("""COMPUTED_VALUE"""),"AJA KUMO 6464")</f>
        <v>AJA KUMO 6464</v>
      </c>
      <c r="C30" s="5"/>
      <c r="D30" s="5"/>
      <c r="E30" s="5" t="str">
        <f>IFERROR(__xludf.DUMMYFUNCTION("""COMPUTED_VALUE"""),"Out 28")</f>
        <v>Out 28</v>
      </c>
      <c r="F30" s="5"/>
      <c r="G30" s="5"/>
      <c r="H30" s="5" t="str">
        <f>IFERROR(__xludf.DUMMYFUNCTION("""COMPUTED_VALUE"""),"F.7")</f>
        <v>F.7</v>
      </c>
      <c r="I30" s="5" t="str">
        <f>IFERROR(__xludf.DUMMYFUNCTION("""COMPUTED_VALUE"""),"FOR A HVS-390HS")</f>
        <v>FOR A HVS-390HS</v>
      </c>
      <c r="J30" s="5"/>
      <c r="K30" s="5"/>
      <c r="L30" s="5" t="str">
        <f>IFERROR(__xludf.DUMMYFUNCTION("""COMPUTED_VALUE"""),"In 14")</f>
        <v>In 14</v>
      </c>
      <c r="M30" s="5" t="str">
        <f>IFERROR(__xludf.DUMMYFUNCTION("""COMPUTED_VALUE"""),"MX 28")</f>
        <v>MX 28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 t="str">
        <f>IFERROR(__xludf.DUMMYFUNCTION("""COMPUTED_VALUE"""),"C.3")</f>
        <v>C.3</v>
      </c>
      <c r="B31" s="5" t="str">
        <f>IFERROR(__xludf.DUMMYFUNCTION("""COMPUTED_VALUE"""),"AJA KUMO 6464")</f>
        <v>AJA KUMO 6464</v>
      </c>
      <c r="C31" s="5"/>
      <c r="D31" s="5"/>
      <c r="E31" s="5" t="str">
        <f>IFERROR(__xludf.DUMMYFUNCTION("""COMPUTED_VALUE"""),"Out 29")</f>
        <v>Out 29</v>
      </c>
      <c r="F31" s="5"/>
      <c r="G31" s="5"/>
      <c r="H31" s="5" t="str">
        <f>IFERROR(__xludf.DUMMYFUNCTION("""COMPUTED_VALUE"""),"N/C")</f>
        <v>N/C</v>
      </c>
      <c r="I31" s="5"/>
      <c r="J31" s="5"/>
      <c r="K31" s="5"/>
      <c r="L31" s="5"/>
      <c r="M31" s="5"/>
      <c r="N31" s="5" t="str">
        <f>IFERROR(__xludf.DUMMYFUNCTION("""COMPUTED_VALUE"""),"Cable suelto en Rack E")</f>
        <v>Cable suelto en Rack E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 t="str">
        <f>IFERROR(__xludf.DUMMYFUNCTION("""COMPUTED_VALUE"""),"C.3")</f>
        <v>C.3</v>
      </c>
      <c r="B32" s="5" t="str">
        <f>IFERROR(__xludf.DUMMYFUNCTION("""COMPUTED_VALUE"""),"AJA KUMO 6464")</f>
        <v>AJA KUMO 6464</v>
      </c>
      <c r="C32" s="5"/>
      <c r="D32" s="5"/>
      <c r="E32" s="5" t="str">
        <f>IFERROR(__xludf.DUMMYFUNCTION("""COMPUTED_VALUE"""),"Out 30")</f>
        <v>Out 30</v>
      </c>
      <c r="F32" s="5"/>
      <c r="G32" s="5"/>
      <c r="H32" s="5" t="str">
        <f>IFERROR(__xludf.DUMMYFUNCTION("""COMPUTED_VALUE"""),"E.4")</f>
        <v>E.4</v>
      </c>
      <c r="I32" s="5" t="str">
        <f>IFERROR(__xludf.DUMMYFUNCTION("""COMPUTED_VALUE"""),"PC Rack")</f>
        <v>PC Rack</v>
      </c>
      <c r="J32" s="5">
        <f>IFERROR(__xludf.DUMMYFUNCTION("""COMPUTED_VALUE"""),1.0)</f>
        <v>1</v>
      </c>
      <c r="K32" s="5" t="str">
        <f>IFERROR(__xludf.DUMMYFUNCTION("""COMPUTED_VALUE"""),"DeckLink")</f>
        <v>DeckLink</v>
      </c>
      <c r="L32" s="5" t="str">
        <f>IFERROR(__xludf.DUMMYFUNCTION("""COMPUTED_VALUE"""),"In P3")</f>
        <v>In P3</v>
      </c>
      <c r="M32" s="5" t="str">
        <f>IFERROR(__xludf.DUMMYFUNCTION("""COMPUTED_VALUE"""),"D.L.1 Streaming")</f>
        <v>D.L.1 Streaming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 t="str">
        <f>IFERROR(__xludf.DUMMYFUNCTION("""COMPUTED_VALUE"""),"C.3")</f>
        <v>C.3</v>
      </c>
      <c r="B33" s="5" t="str">
        <f>IFERROR(__xludf.DUMMYFUNCTION("""COMPUTED_VALUE"""),"AJA KUMO 6464")</f>
        <v>AJA KUMO 6464</v>
      </c>
      <c r="C33" s="5"/>
      <c r="D33" s="5"/>
      <c r="E33" s="5" t="str">
        <f>IFERROR(__xludf.DUMMYFUNCTION("""COMPUTED_VALUE"""),"Out 31")</f>
        <v>Out 31</v>
      </c>
      <c r="F33" s="5"/>
      <c r="G33" s="5"/>
      <c r="H33" s="5" t="str">
        <f>IFERROR(__xludf.DUMMYFUNCTION("""COMPUTED_VALUE"""),"E.5")</f>
        <v>E.5</v>
      </c>
      <c r="I33" s="5" t="str">
        <f>IFERROR(__xludf.DUMMYFUNCTION("""COMPUTED_VALUE"""),"Datavideo TC-200")</f>
        <v>Datavideo TC-200</v>
      </c>
      <c r="J33" s="5"/>
      <c r="K33" s="5"/>
      <c r="L33" s="5" t="str">
        <f>IFERROR(__xludf.DUMMYFUNCTION("""COMPUTED_VALUE"""),"SDI In")</f>
        <v>SDI In</v>
      </c>
      <c r="M33" s="5" t="str">
        <f>IFERROR(__xludf.DUMMYFUNCTION("""COMPUTED_VALUE"""),"CG")</f>
        <v>CG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 t="str">
        <f>IFERROR(__xludf.DUMMYFUNCTION("""COMPUTED_VALUE"""),"C.3")</f>
        <v>C.3</v>
      </c>
      <c r="B34" s="5" t="str">
        <f>IFERROR(__xludf.DUMMYFUNCTION("""COMPUTED_VALUE"""),"AJA KUMO 6464")</f>
        <v>AJA KUMO 6464</v>
      </c>
      <c r="C34" s="5"/>
      <c r="D34" s="5"/>
      <c r="E34" s="5" t="str">
        <f>IFERROR(__xludf.DUMMYFUNCTION("""COMPUTED_VALUE"""),"Out 32")</f>
        <v>Out 32</v>
      </c>
      <c r="F34" s="5"/>
      <c r="G34" s="5"/>
      <c r="H34" s="5" t="str">
        <f>IFERROR(__xludf.DUMMYFUNCTION("""COMPUTED_VALUE"""),"DC.10")</f>
        <v>DC.10</v>
      </c>
      <c r="I34" s="5" t="str">
        <f>IFERROR(__xludf.DUMMYFUNCTION("""COMPUTED_VALUE"""),"Escalador Pantalla")</f>
        <v>Escalador Pantalla</v>
      </c>
      <c r="J34" s="5"/>
      <c r="K34" s="5"/>
      <c r="L34" s="5"/>
      <c r="M34" s="5" t="str">
        <f>IFERROR(__xludf.DUMMYFUNCTION("""COMPUTED_VALUE"""),"Esc pantalla")</f>
        <v>Esc pantalla</v>
      </c>
      <c r="N34" s="5" t="str">
        <f>IFERROR(__xludf.DUMMYFUNCTION("""COMPUTED_VALUE"""),"Aparentemente en bandeja arriba de iluminador")</f>
        <v>Aparentemente en bandeja arriba de iluminador</v>
      </c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 t="str">
        <f>IFERROR(__xludf.DUMMYFUNCTION("""COMPUTED_VALUE"""),"C.3")</f>
        <v>C.3</v>
      </c>
      <c r="B35" s="5" t="str">
        <f>IFERROR(__xludf.DUMMYFUNCTION("""COMPUTED_VALUE"""),"AJA KUMO 6464")</f>
        <v>AJA KUMO 6464</v>
      </c>
      <c r="C35" s="5"/>
      <c r="D35" s="5"/>
      <c r="E35" s="5" t="str">
        <f>IFERROR(__xludf.DUMMYFUNCTION("""COMPUTED_VALUE"""),"Out 33")</f>
        <v>Out 33</v>
      </c>
      <c r="F35" s="5"/>
      <c r="G35" s="5"/>
      <c r="H35" s="5" t="str">
        <f>IFERROR(__xludf.DUMMYFUNCTION("""COMPUTED_VALUE"""),"C.7")</f>
        <v>C.7</v>
      </c>
      <c r="I35" s="5" t="str">
        <f>IFERROR(__xludf.DUMMYFUNCTION("""COMPUTED_VALUE"""),"Patch Panel")</f>
        <v>Patch Panel</v>
      </c>
      <c r="J35" s="5"/>
      <c r="K35" s="5"/>
      <c r="L35" s="5" t="str">
        <f>IFERROR(__xludf.DUMMYFUNCTION("""COMPUTED_VALUE"""),"In 16")</f>
        <v>In 16</v>
      </c>
      <c r="M35" s="5" t="str">
        <f>IFERROR(__xludf.DUMMYFUNCTION("""COMPUTED_VALUE"""),"out out")</f>
        <v>out out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 t="str">
        <f>IFERROR(__xludf.DUMMYFUNCTION("""COMPUTED_VALUE"""),"C.3")</f>
        <v>C.3</v>
      </c>
      <c r="B36" s="5" t="str">
        <f>IFERROR(__xludf.DUMMYFUNCTION("""COMPUTED_VALUE"""),"AJA KUMO 6464")</f>
        <v>AJA KUMO 6464</v>
      </c>
      <c r="C36" s="5"/>
      <c r="D36" s="5"/>
      <c r="E36" s="5" t="str">
        <f>IFERROR(__xludf.DUMMYFUNCTION("""COMPUTED_VALUE"""),"Out 34")</f>
        <v>Out 34</v>
      </c>
      <c r="F36" s="5"/>
      <c r="G36" s="5"/>
      <c r="H36" s="5" t="str">
        <f>IFERROR(__xludf.DUMMYFUNCTION("""COMPUTED_VALUE"""),"C.7")</f>
        <v>C.7</v>
      </c>
      <c r="I36" s="5" t="str">
        <f>IFERROR(__xludf.DUMMYFUNCTION("""COMPUTED_VALUE"""),"Patch Panel")</f>
        <v>Patch Panel</v>
      </c>
      <c r="J36" s="5"/>
      <c r="K36" s="5"/>
      <c r="L36" s="5" t="str">
        <f>IFERROR(__xludf.DUMMYFUNCTION("""COMPUTED_VALUE"""),"In 15")</f>
        <v>In 15</v>
      </c>
      <c r="M36" s="5" t="str">
        <f>IFERROR(__xludf.DUMMYFUNCTION("""COMPUTED_VALUE"""),"MON PISO")</f>
        <v>MON PISO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 t="str">
        <f>IFERROR(__xludf.DUMMYFUNCTION("""COMPUTED_VALUE"""),"C.3")</f>
        <v>C.3</v>
      </c>
      <c r="B37" s="5" t="str">
        <f>IFERROR(__xludf.DUMMYFUNCTION("""COMPUTED_VALUE"""),"AJA KUMO 6464")</f>
        <v>AJA KUMO 6464</v>
      </c>
      <c r="C37" s="5"/>
      <c r="D37" s="5"/>
      <c r="E37" s="5" t="str">
        <f>IFERROR(__xludf.DUMMYFUNCTION("""COMPUTED_VALUE"""),"Out 35")</f>
        <v>Out 35</v>
      </c>
      <c r="F37" s="5"/>
      <c r="G37" s="5"/>
      <c r="H37" s="5" t="str">
        <f>IFERROR(__xludf.DUMMYFUNCTION("""COMPUTED_VALUE"""),"C.7")</f>
        <v>C.7</v>
      </c>
      <c r="I37" s="5" t="str">
        <f>IFERROR(__xludf.DUMMYFUNCTION("""COMPUTED_VALUE"""),"Patch Panel")</f>
        <v>Patch Panel</v>
      </c>
      <c r="J37" s="5"/>
      <c r="K37" s="5"/>
      <c r="L37" s="5" t="str">
        <f>IFERROR(__xludf.DUMMYFUNCTION("""COMPUTED_VALUE"""),"In 14")</f>
        <v>In 14</v>
      </c>
      <c r="M37" s="5" t="str">
        <f>IFERROR(__xludf.DUMMYFUNCTION("""COMPUTED_VALUE"""),"MON ILUMINA")</f>
        <v>MON ILUMINA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 t="str">
        <f>IFERROR(__xludf.DUMMYFUNCTION("""COMPUTED_VALUE"""),"C.3")</f>
        <v>C.3</v>
      </c>
      <c r="B38" s="5" t="str">
        <f>IFERROR(__xludf.DUMMYFUNCTION("""COMPUTED_VALUE"""),"AJA KUMO 6464")</f>
        <v>AJA KUMO 6464</v>
      </c>
      <c r="C38" s="5"/>
      <c r="D38" s="5"/>
      <c r="E38" s="5" t="str">
        <f>IFERROR(__xludf.DUMMYFUNCTION("""COMPUTED_VALUE"""),"Out 36")</f>
        <v>Out 36</v>
      </c>
      <c r="F38" s="5"/>
      <c r="G38" s="5"/>
      <c r="H38" s="5" t="str">
        <f>IFERROR(__xludf.DUMMYFUNCTION("""COMPUTED_VALUE"""),"C.7")</f>
        <v>C.7</v>
      </c>
      <c r="I38" s="5" t="str">
        <f>IFERROR(__xludf.DUMMYFUNCTION("""COMPUTED_VALUE"""),"Patch Panel")</f>
        <v>Patch Panel</v>
      </c>
      <c r="J38" s="5"/>
      <c r="K38" s="5"/>
      <c r="L38" s="5" t="str">
        <f>IFERROR(__xludf.DUMMYFUNCTION("""COMPUTED_VALUE"""),"In 13")</f>
        <v>In 13</v>
      </c>
      <c r="M38" s="5" t="str">
        <f>IFERROR(__xludf.DUMMYFUNCTION("""COMPUTED_VALUE"""),"MON TITULOS")</f>
        <v>MON TITULOS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 t="str">
        <f>IFERROR(__xludf.DUMMYFUNCTION("""COMPUTED_VALUE"""),"C.3")</f>
        <v>C.3</v>
      </c>
      <c r="B39" s="5" t="str">
        <f>IFERROR(__xludf.DUMMYFUNCTION("""COMPUTED_VALUE"""),"AJA KUMO 6464")</f>
        <v>AJA KUMO 6464</v>
      </c>
      <c r="C39" s="5"/>
      <c r="D39" s="5"/>
      <c r="E39" s="5" t="str">
        <f>IFERROR(__xludf.DUMMYFUNCTION("""COMPUTED_VALUE"""),"Out 37")</f>
        <v>Out 37</v>
      </c>
      <c r="F39" s="5"/>
      <c r="G39" s="5"/>
      <c r="H39" s="5" t="str">
        <f>IFERROR(__xludf.DUMMYFUNCTION("""COMPUTED_VALUE"""),"C.7")</f>
        <v>C.7</v>
      </c>
      <c r="I39" s="5" t="str">
        <f>IFERROR(__xludf.DUMMYFUNCTION("""COMPUTED_VALUE"""),"Patch Panel")</f>
        <v>Patch Panel</v>
      </c>
      <c r="J39" s="5"/>
      <c r="K39" s="5"/>
      <c r="L39" s="5" t="str">
        <f>IFERROR(__xludf.DUMMYFUNCTION("""COMPUTED_VALUE"""),"In 12")</f>
        <v>In 12</v>
      </c>
      <c r="M39" s="5" t="str">
        <f>IFERROR(__xludf.DUMMYFUNCTION("""COMPUTED_VALUE"""),"xxx xxx")</f>
        <v>xxx xxx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 t="str">
        <f>IFERROR(__xludf.DUMMYFUNCTION("""COMPUTED_VALUE"""),"C.3")</f>
        <v>C.3</v>
      </c>
      <c r="B40" s="5" t="str">
        <f>IFERROR(__xludf.DUMMYFUNCTION("""COMPUTED_VALUE"""),"AJA KUMO 6464")</f>
        <v>AJA KUMO 6464</v>
      </c>
      <c r="C40" s="5"/>
      <c r="D40" s="5"/>
      <c r="E40" s="5" t="str">
        <f>IFERROR(__xludf.DUMMYFUNCTION("""COMPUTED_VALUE"""),"Out 38")</f>
        <v>Out 38</v>
      </c>
      <c r="F40" s="5"/>
      <c r="G40" s="5"/>
      <c r="H40" s="5" t="str">
        <f>IFERROR(__xludf.DUMMYFUNCTION("""COMPUTED_VALUE"""),"C.7")</f>
        <v>C.7</v>
      </c>
      <c r="I40" s="5" t="str">
        <f>IFERROR(__xludf.DUMMYFUNCTION("""COMPUTED_VALUE"""),"Patch Panel")</f>
        <v>Patch Panel</v>
      </c>
      <c r="J40" s="5"/>
      <c r="K40" s="5"/>
      <c r="L40" s="5" t="str">
        <f>IFERROR(__xludf.DUMMYFUNCTION("""COMPUTED_VALUE"""),"In 11")</f>
        <v>In 11</v>
      </c>
      <c r="M40" s="5" t="str">
        <f>IFERROR(__xludf.DUMMYFUNCTION("""COMPUTED_VALUE"""),"Fibra TDA 1 S")</f>
        <v>Fibra TDA 1 S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 t="str">
        <f>IFERROR(__xludf.DUMMYFUNCTION("""COMPUTED_VALUE"""),"C.3")</f>
        <v>C.3</v>
      </c>
      <c r="B41" s="5" t="str">
        <f>IFERROR(__xludf.DUMMYFUNCTION("""COMPUTED_VALUE"""),"AJA KUMO 6464")</f>
        <v>AJA KUMO 6464</v>
      </c>
      <c r="C41" s="5"/>
      <c r="D41" s="5"/>
      <c r="E41" s="5" t="str">
        <f>IFERROR(__xludf.DUMMYFUNCTION("""COMPUTED_VALUE"""),"Out 39")</f>
        <v>Out 39</v>
      </c>
      <c r="F41" s="5"/>
      <c r="G41" s="5"/>
      <c r="H41" s="5" t="str">
        <f>IFERROR(__xludf.DUMMYFUNCTION("""COMPUTED_VALUE"""),"C.7")</f>
        <v>C.7</v>
      </c>
      <c r="I41" s="5" t="str">
        <f>IFERROR(__xludf.DUMMYFUNCTION("""COMPUTED_VALUE"""),"Patch Panel")</f>
        <v>Patch Panel</v>
      </c>
      <c r="J41" s="5"/>
      <c r="K41" s="5"/>
      <c r="L41" s="5" t="str">
        <f>IFERROR(__xludf.DUMMYFUNCTION("""COMPUTED_VALUE"""),"In 10")</f>
        <v>In 10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 t="str">
        <f>IFERROR(__xludf.DUMMYFUNCTION("""COMPUTED_VALUE"""),"C.3")</f>
        <v>C.3</v>
      </c>
      <c r="B42" s="5" t="str">
        <f>IFERROR(__xludf.DUMMYFUNCTION("""COMPUTED_VALUE"""),"AJA KUMO 6464")</f>
        <v>AJA KUMO 6464</v>
      </c>
      <c r="C42" s="5"/>
      <c r="D42" s="5"/>
      <c r="E42" s="5" t="str">
        <f>IFERROR(__xludf.DUMMYFUNCTION("""COMPUTED_VALUE"""),"Out 40")</f>
        <v>Out 40</v>
      </c>
      <c r="F42" s="5"/>
      <c r="G42" s="5"/>
      <c r="H42" s="5" t="str">
        <f>IFERROR(__xludf.DUMMYFUNCTION("""COMPUTED_VALUE"""),"C.7")</f>
        <v>C.7</v>
      </c>
      <c r="I42" s="5" t="str">
        <f>IFERROR(__xludf.DUMMYFUNCTION("""COMPUTED_VALUE"""),"Patch Panel")</f>
        <v>Patch Panel</v>
      </c>
      <c r="J42" s="5"/>
      <c r="K42" s="5"/>
      <c r="L42" s="5" t="str">
        <f>IFERROR(__xludf.DUMMYFUNCTION("""COMPUTED_VALUE"""),"In 9")</f>
        <v>In 9</v>
      </c>
      <c r="M42" s="5" t="str">
        <f>IFERROR(__xludf.DUMMYFUNCTION("""COMPUTED_VALUE"""),"out out")</f>
        <v>out out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 t="str">
        <f>IFERROR(__xludf.DUMMYFUNCTION("""COMPUTED_VALUE"""),"C.3")</f>
        <v>C.3</v>
      </c>
      <c r="B43" s="5" t="str">
        <f>IFERROR(__xludf.DUMMYFUNCTION("""COMPUTED_VALUE"""),"AJA KUMO 6464")</f>
        <v>AJA KUMO 6464</v>
      </c>
      <c r="C43" s="5"/>
      <c r="D43" s="5"/>
      <c r="E43" s="5" t="str">
        <f>IFERROR(__xludf.DUMMYFUNCTION("""COMPUTED_VALUE"""),"Out 41")</f>
        <v>Out 41</v>
      </c>
      <c r="F43" s="5"/>
      <c r="G43" s="5"/>
      <c r="H43" s="5" t="str">
        <f>IFERROR(__xludf.DUMMYFUNCTION("""COMPUTED_VALUE"""),"C.7")</f>
        <v>C.7</v>
      </c>
      <c r="I43" s="5" t="str">
        <f>IFERROR(__xludf.DUMMYFUNCTION("""COMPUTED_VALUE"""),"Patch Panel")</f>
        <v>Patch Panel</v>
      </c>
      <c r="J43" s="5"/>
      <c r="K43" s="5"/>
      <c r="L43" s="5" t="str">
        <f>IFERROR(__xludf.DUMMYFUNCTION("""COMPUTED_VALUE"""),"In 8")</f>
        <v>In 8</v>
      </c>
      <c r="M43" s="5" t="str">
        <f>IFERROR(__xludf.DUMMYFUNCTION("""COMPUTED_VALUE"""),"TO MOVIo")</f>
        <v>TO MOVIo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 t="str">
        <f>IFERROR(__xludf.DUMMYFUNCTION("""COMPUTED_VALUE"""),"C.3")</f>
        <v>C.3</v>
      </c>
      <c r="B44" s="5" t="str">
        <f>IFERROR(__xludf.DUMMYFUNCTION("""COMPUTED_VALUE"""),"AJA KUMO 6464")</f>
        <v>AJA KUMO 6464</v>
      </c>
      <c r="C44" s="5"/>
      <c r="D44" s="5"/>
      <c r="E44" s="5" t="str">
        <f>IFERROR(__xludf.DUMMYFUNCTION("""COMPUTED_VALUE"""),"Out 42")</f>
        <v>Out 42</v>
      </c>
      <c r="F44" s="5"/>
      <c r="G44" s="5"/>
      <c r="H44" s="5" t="str">
        <f>IFERROR(__xludf.DUMMYFUNCTION("""COMPUTED_VALUE"""),"C.7")</f>
        <v>C.7</v>
      </c>
      <c r="I44" s="5" t="str">
        <f>IFERROR(__xludf.DUMMYFUNCTION("""COMPUTED_VALUE"""),"Patch Panel")</f>
        <v>Patch Panel</v>
      </c>
      <c r="J44" s="5"/>
      <c r="K44" s="5"/>
      <c r="L44" s="5" t="str">
        <f>IFERROR(__xludf.DUMMYFUNCTION("""COMPUTED_VALUE"""),"In 7")</f>
        <v>In 7</v>
      </c>
      <c r="M44" s="5" t="str">
        <f>IFERROR(__xludf.DUMMYFUNCTION("""COMPUTED_VALUE"""),"to cv hd")</f>
        <v>to cv hd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 t="str">
        <f>IFERROR(__xludf.DUMMYFUNCTION("""COMPUTED_VALUE"""),"C.3")</f>
        <v>C.3</v>
      </c>
      <c r="B45" s="5" t="str">
        <f>IFERROR(__xludf.DUMMYFUNCTION("""COMPUTED_VALUE"""),"AJA KUMO 6464")</f>
        <v>AJA KUMO 6464</v>
      </c>
      <c r="C45" s="5"/>
      <c r="D45" s="5"/>
      <c r="E45" s="5" t="str">
        <f>IFERROR(__xludf.DUMMYFUNCTION("""COMPUTED_VALUE"""),"Out 43")</f>
        <v>Out 43</v>
      </c>
      <c r="F45" s="5"/>
      <c r="G45" s="5"/>
      <c r="H45" s="5" t="str">
        <f>IFERROR(__xludf.DUMMYFUNCTION("""COMPUTED_VALUE"""),"C.7")</f>
        <v>C.7</v>
      </c>
      <c r="I45" s="5" t="str">
        <f>IFERROR(__xludf.DUMMYFUNCTION("""COMPUTED_VALUE"""),"Patch Panel")</f>
        <v>Patch Panel</v>
      </c>
      <c r="J45" s="5"/>
      <c r="K45" s="5"/>
      <c r="L45" s="5" t="str">
        <f>IFERROR(__xludf.DUMMYFUNCTION("""COMPUTED_VALUE"""),"In 6")</f>
        <v>In 6</v>
      </c>
      <c r="M45" s="5" t="str">
        <f>IFERROR(__xludf.DUMMYFUNCTION("""COMPUTED_VALUE"""),"Radio desem")</f>
        <v>Radio desem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 t="str">
        <f>IFERROR(__xludf.DUMMYFUNCTION("""COMPUTED_VALUE"""),"C.3")</f>
        <v>C.3</v>
      </c>
      <c r="B46" s="5" t="str">
        <f>IFERROR(__xludf.DUMMYFUNCTION("""COMPUTED_VALUE"""),"AJA KUMO 6464")</f>
        <v>AJA KUMO 6464</v>
      </c>
      <c r="C46" s="5"/>
      <c r="D46" s="5"/>
      <c r="E46" s="5" t="str">
        <f>IFERROR(__xludf.DUMMYFUNCTION("""COMPUTED_VALUE"""),"Out 44")</f>
        <v>Out 44</v>
      </c>
      <c r="F46" s="5"/>
      <c r="G46" s="5"/>
      <c r="H46" s="5" t="str">
        <f>IFERROR(__xludf.DUMMYFUNCTION("""COMPUTED_VALUE"""),"C.7")</f>
        <v>C.7</v>
      </c>
      <c r="I46" s="5" t="str">
        <f>IFERROR(__xludf.DUMMYFUNCTION("""COMPUTED_VALUE"""),"Patch Panel")</f>
        <v>Patch Panel</v>
      </c>
      <c r="J46" s="5"/>
      <c r="K46" s="5"/>
      <c r="L46" s="5" t="str">
        <f>IFERROR(__xludf.DUMMYFUNCTION("""COMPUTED_VALUE"""),"In 5")</f>
        <v>In 5</v>
      </c>
      <c r="M46" s="5" t="str">
        <f>IFERROR(__xludf.DUMMYFUNCTION("""COMPUTED_VALUE"""),"MON SONIDI")</f>
        <v>MON SONIDI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 t="str">
        <f>IFERROR(__xludf.DUMMYFUNCTION("""COMPUTED_VALUE"""),"C.3")</f>
        <v>C.3</v>
      </c>
      <c r="B47" s="5" t="str">
        <f>IFERROR(__xludf.DUMMYFUNCTION("""COMPUTED_VALUE"""),"AJA KUMO 6464")</f>
        <v>AJA KUMO 6464</v>
      </c>
      <c r="C47" s="5"/>
      <c r="D47" s="5"/>
      <c r="E47" s="5" t="str">
        <f>IFERROR(__xludf.DUMMYFUNCTION("""COMPUTED_VALUE"""),"Out 45")</f>
        <v>Out 45</v>
      </c>
      <c r="F47" s="5"/>
      <c r="G47" s="5"/>
      <c r="H47" s="5" t="str">
        <f>IFERROR(__xludf.DUMMYFUNCTION("""COMPUTED_VALUE"""),"C.7")</f>
        <v>C.7</v>
      </c>
      <c r="I47" s="5" t="str">
        <f>IFERROR(__xludf.DUMMYFUNCTION("""COMPUTED_VALUE"""),"Patch Panel")</f>
        <v>Patch Panel</v>
      </c>
      <c r="J47" s="5"/>
      <c r="K47" s="5"/>
      <c r="L47" s="5" t="str">
        <f>IFERROR(__xludf.DUMMYFUNCTION("""COMPUTED_VALUE"""),"In 4")</f>
        <v>In 4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 t="str">
        <f>IFERROR(__xludf.DUMMYFUNCTION("""COMPUTED_VALUE"""),"C.3")</f>
        <v>C.3</v>
      </c>
      <c r="B48" s="5" t="str">
        <f>IFERROR(__xludf.DUMMYFUNCTION("""COMPUTED_VALUE"""),"AJA KUMO 6464")</f>
        <v>AJA KUMO 6464</v>
      </c>
      <c r="C48" s="5"/>
      <c r="D48" s="5"/>
      <c r="E48" s="5" t="str">
        <f>IFERROR(__xludf.DUMMYFUNCTION("""COMPUTED_VALUE"""),"Out 46")</f>
        <v>Out 46</v>
      </c>
      <c r="F48" s="5"/>
      <c r="G48" s="5"/>
      <c r="H48" s="5" t="str">
        <f>IFERROR(__xludf.DUMMYFUNCTION("""COMPUTED_VALUE"""),"C.7")</f>
        <v>C.7</v>
      </c>
      <c r="I48" s="5" t="str">
        <f>IFERROR(__xludf.DUMMYFUNCTION("""COMPUTED_VALUE"""),"Patch Panel")</f>
        <v>Patch Panel</v>
      </c>
      <c r="J48" s="5"/>
      <c r="K48" s="5"/>
      <c r="L48" s="5" t="str">
        <f>IFERROR(__xludf.DUMMYFUNCTION("""COMPUTED_VALUE"""),"In 3")</f>
        <v>In 3</v>
      </c>
      <c r="M48" s="5" t="str">
        <f>IFERROR(__xludf.DUMMYFUNCTION("""COMPUTED_VALUE"""),"MONI LINEA")</f>
        <v>MONI LINEA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 t="str">
        <f>IFERROR(__xludf.DUMMYFUNCTION("""COMPUTED_VALUE"""),"C.3")</f>
        <v>C.3</v>
      </c>
      <c r="B49" s="5" t="str">
        <f>IFERROR(__xludf.DUMMYFUNCTION("""COMPUTED_VALUE"""),"AJA KUMO 6464")</f>
        <v>AJA KUMO 6464</v>
      </c>
      <c r="C49" s="5"/>
      <c r="D49" s="5"/>
      <c r="E49" s="5" t="str">
        <f>IFERROR(__xludf.DUMMYFUNCTION("""COMPUTED_VALUE"""),"Out 47")</f>
        <v>Out 47</v>
      </c>
      <c r="F49" s="5"/>
      <c r="G49" s="5"/>
      <c r="H49" s="5" t="str">
        <f>IFERROR(__xludf.DUMMYFUNCTION("""COMPUTED_VALUE"""),"C.7")</f>
        <v>C.7</v>
      </c>
      <c r="I49" s="5" t="str">
        <f>IFERROR(__xludf.DUMMYFUNCTION("""COMPUTED_VALUE"""),"Patch Panel")</f>
        <v>Patch Panel</v>
      </c>
      <c r="J49" s="5"/>
      <c r="K49" s="5"/>
      <c r="L49" s="5" t="str">
        <f>IFERROR(__xludf.DUMMYFUNCTION("""COMPUTED_VALUE"""),"In 2")</f>
        <v>In 2</v>
      </c>
      <c r="M49" s="5" t="str">
        <f>IFERROR(__xludf.DUMMYFUNCTION("""COMPUTED_VALUE"""),"Dest 47")</f>
        <v>Dest 47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 t="str">
        <f>IFERROR(__xludf.DUMMYFUNCTION("""COMPUTED_VALUE"""),"C.3")</f>
        <v>C.3</v>
      </c>
      <c r="B50" s="5" t="str">
        <f>IFERROR(__xludf.DUMMYFUNCTION("""COMPUTED_VALUE"""),"AJA KUMO 6464")</f>
        <v>AJA KUMO 6464</v>
      </c>
      <c r="C50" s="5"/>
      <c r="D50" s="5"/>
      <c r="E50" s="5" t="str">
        <f>IFERROR(__xludf.DUMMYFUNCTION("""COMPUTED_VALUE"""),"Out 48")</f>
        <v>Out 48</v>
      </c>
      <c r="F50" s="5"/>
      <c r="G50" s="5"/>
      <c r="H50" s="5" t="str">
        <f>IFERROR(__xludf.DUMMYFUNCTION("""COMPUTED_VALUE"""),"C.7")</f>
        <v>C.7</v>
      </c>
      <c r="I50" s="5" t="str">
        <f>IFERROR(__xludf.DUMMYFUNCTION("""COMPUTED_VALUE"""),"Patch Panel")</f>
        <v>Patch Panel</v>
      </c>
      <c r="J50" s="5"/>
      <c r="K50" s="5"/>
      <c r="L50" s="5" t="str">
        <f>IFERROR(__xludf.DUMMYFUNCTION("""COMPUTED_VALUE"""),"In 1")</f>
        <v>In 1</v>
      </c>
      <c r="M50" s="5" t="str">
        <f>IFERROR(__xludf.DUMMYFUNCTION("""COMPUTED_VALUE"""),"Dest 48")</f>
        <v>Dest 48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 t="str">
        <f>IFERROR(__xludf.DUMMYFUNCTION("""COMPUTED_VALUE"""),"C.3")</f>
        <v>C.3</v>
      </c>
      <c r="B51" s="5" t="str">
        <f>IFERROR(__xludf.DUMMYFUNCTION("""COMPUTED_VALUE"""),"AJA KUMO 6464")</f>
        <v>AJA KUMO 6464</v>
      </c>
      <c r="C51" s="5"/>
      <c r="D51" s="5"/>
      <c r="E51" s="5" t="str">
        <f>IFERROR(__xludf.DUMMYFUNCTION("""COMPUTED_VALUE"""),"Out 49")</f>
        <v>Out 49</v>
      </c>
      <c r="F51" s="5"/>
      <c r="G51" s="5"/>
      <c r="H51" s="5" t="str">
        <f>IFERROR(__xludf.DUMMYFUNCTION("""COMPUTED_VALUE"""),"D.7")</f>
        <v>D.7</v>
      </c>
      <c r="I51" s="5" t="str">
        <f>IFERROR(__xludf.DUMMYFUNCTION("""COMPUTED_VALUE"""),"openGear X")</f>
        <v>openGear X</v>
      </c>
      <c r="J51" s="5">
        <f>IFERROR(__xludf.DUMMYFUNCTION("""COMPUTED_VALUE"""),9.0)</f>
        <v>9</v>
      </c>
      <c r="K51" s="5" t="str">
        <f>IFERROR(__xludf.DUMMYFUNCTION("""COMPUTED_VALUE"""),"Dist. Amp. 2x4")</f>
        <v>Dist. Amp. 2x4</v>
      </c>
      <c r="L51" s="5" t="str">
        <f>IFERROR(__xludf.DUMMYFUNCTION("""COMPUTED_VALUE"""),"J2 (in)")</f>
        <v>J2 (in)</v>
      </c>
      <c r="M51" s="5" t="str">
        <f>IFERROR(__xludf.DUMMYFUNCTION("""COMPUTED_VALUE"""),"MON PISO")</f>
        <v>MON PISO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 t="str">
        <f>IFERROR(__xludf.DUMMYFUNCTION("""COMPUTED_VALUE"""),"C.3")</f>
        <v>C.3</v>
      </c>
      <c r="B52" s="5" t="str">
        <f>IFERROR(__xludf.DUMMYFUNCTION("""COMPUTED_VALUE"""),"AJA KUMO 6464")</f>
        <v>AJA KUMO 6464</v>
      </c>
      <c r="C52" s="5"/>
      <c r="D52" s="5"/>
      <c r="E52" s="5" t="str">
        <f>IFERROR(__xludf.DUMMYFUNCTION("""COMPUTED_VALUE"""),"Out 50")</f>
        <v>Out 50</v>
      </c>
      <c r="F52" s="5"/>
      <c r="G52" s="5"/>
      <c r="H52" s="5" t="str">
        <f>IFERROR(__xludf.DUMMYFUNCTION("""COMPUTED_VALUE"""),"N/C")</f>
        <v>N/C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 t="str">
        <f>IFERROR(__xludf.DUMMYFUNCTION("""COMPUTED_VALUE"""),"C.3")</f>
        <v>C.3</v>
      </c>
      <c r="B53" s="5" t="str">
        <f>IFERROR(__xludf.DUMMYFUNCTION("""COMPUTED_VALUE"""),"AJA KUMO 6464")</f>
        <v>AJA KUMO 6464</v>
      </c>
      <c r="C53" s="5"/>
      <c r="D53" s="5"/>
      <c r="E53" s="5" t="str">
        <f>IFERROR(__xludf.DUMMYFUNCTION("""COMPUTED_VALUE"""),"Out 51")</f>
        <v>Out 51</v>
      </c>
      <c r="F53" s="5"/>
      <c r="G53" s="5"/>
      <c r="H53" s="5" t="str">
        <f>IFERROR(__xludf.DUMMYFUNCTION("""COMPUTED_VALUE"""),"DC.7")</f>
        <v>DC.7</v>
      </c>
      <c r="I53" s="5" t="str">
        <f>IFERROR(__xludf.DUMMYFUNCTION("""COMPUTED_VALUE"""),"GrassValley T2")</f>
        <v>GrassValley T2</v>
      </c>
      <c r="J53" s="5"/>
      <c r="K53" s="5"/>
      <c r="L53" s="5" t="str">
        <f>IFERROR(__xludf.DUMMYFUNCTION("""COMPUTED_VALUE"""),"In 1")</f>
        <v>In 1</v>
      </c>
      <c r="M53" s="5" t="str">
        <f>IFERROR(__xludf.DUMMYFUNCTION("""COMPUTED_VALUE"""),"GV DIR IN")</f>
        <v>GV DIR IN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 t="str">
        <f>IFERROR(__xludf.DUMMYFUNCTION("""COMPUTED_VALUE"""),"C.3")</f>
        <v>C.3</v>
      </c>
      <c r="B54" s="5" t="str">
        <f>IFERROR(__xludf.DUMMYFUNCTION("""COMPUTED_VALUE"""),"AJA KUMO 6464")</f>
        <v>AJA KUMO 6464</v>
      </c>
      <c r="C54" s="5"/>
      <c r="D54" s="5"/>
      <c r="E54" s="5" t="str">
        <f>IFERROR(__xludf.DUMMYFUNCTION("""COMPUTED_VALUE"""),"Out 52")</f>
        <v>Out 52</v>
      </c>
      <c r="F54" s="5"/>
      <c r="G54" s="5"/>
      <c r="H54" s="5" t="str">
        <f>IFERROR(__xludf.DUMMYFUNCTION("""COMPUTED_VALUE"""),"D.12")</f>
        <v>D.12</v>
      </c>
      <c r="I54" s="5" t="str">
        <f>IFERROR(__xludf.DUMMYFUNCTION("""COMPUTED_VALUE"""),"AJA FS2")</f>
        <v>AJA FS2</v>
      </c>
      <c r="J54" s="5"/>
      <c r="K54" s="5"/>
      <c r="L54" s="5" t="str">
        <f>IFERROR(__xludf.DUMMYFUNCTION("""COMPUTED_VALUE"""),"SDI In 2")</f>
        <v>SDI In 2</v>
      </c>
      <c r="M54" s="5" t="str">
        <f>IFERROR(__xludf.DUMMYFUNCTION("""COMPUTED_VALUE"""),"fs2 c4")</f>
        <v>fs2 c4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 t="str">
        <f>IFERROR(__xludf.DUMMYFUNCTION("""COMPUTED_VALUE"""),"C.3")</f>
        <v>C.3</v>
      </c>
      <c r="B55" s="5" t="str">
        <f>IFERROR(__xludf.DUMMYFUNCTION("""COMPUTED_VALUE"""),"AJA KUMO 6464")</f>
        <v>AJA KUMO 6464</v>
      </c>
      <c r="C55" s="5"/>
      <c r="D55" s="5"/>
      <c r="E55" s="5" t="str">
        <f>IFERROR(__xludf.DUMMYFUNCTION("""COMPUTED_VALUE"""),"Out 53")</f>
        <v>Out 53</v>
      </c>
      <c r="F55" s="5"/>
      <c r="G55" s="5"/>
      <c r="H55" s="5" t="str">
        <f>IFERROR(__xludf.DUMMYFUNCTION("""COMPUTED_VALUE"""),"N/C")</f>
        <v>N/C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 t="str">
        <f>IFERROR(__xludf.DUMMYFUNCTION("""COMPUTED_VALUE"""),"C.3")</f>
        <v>C.3</v>
      </c>
      <c r="B56" s="5" t="str">
        <f>IFERROR(__xludf.DUMMYFUNCTION("""COMPUTED_VALUE"""),"AJA KUMO 6464")</f>
        <v>AJA KUMO 6464</v>
      </c>
      <c r="C56" s="5"/>
      <c r="D56" s="5"/>
      <c r="E56" s="5" t="str">
        <f>IFERROR(__xludf.DUMMYFUNCTION("""COMPUTED_VALUE"""),"Out 54")</f>
        <v>Out 54</v>
      </c>
      <c r="F56" s="5"/>
      <c r="G56" s="5"/>
      <c r="H56" s="5" t="str">
        <f>IFERROR(__xludf.DUMMYFUNCTION("""COMPUTED_VALUE"""),"E.2")</f>
        <v>E.2</v>
      </c>
      <c r="I56" s="5" t="str">
        <f>IFERROR(__xludf.DUMMYFUNCTION("""COMPUTED_VALUE"""),"Thomson ViBE CP6100")</f>
        <v>Thomson ViBE CP6100</v>
      </c>
      <c r="J56" s="5"/>
      <c r="K56" s="5"/>
      <c r="L56" s="5" t="str">
        <f>IFERROR(__xludf.DUMMYFUNCTION("""COMPUTED_VALUE"""),"In 1")</f>
        <v>In 1</v>
      </c>
      <c r="M56" s="5" t="str">
        <f>IFERROR(__xludf.DUMMYFUNCTION("""COMPUTED_VALUE"""),"Thom up-link")</f>
        <v>Thom up-link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 t="str">
        <f>IFERROR(__xludf.DUMMYFUNCTION("""COMPUTED_VALUE"""),"C.3")</f>
        <v>C.3</v>
      </c>
      <c r="B57" s="5" t="str">
        <f>IFERROR(__xludf.DUMMYFUNCTION("""COMPUTED_VALUE"""),"AJA KUMO 6464")</f>
        <v>AJA KUMO 6464</v>
      </c>
      <c r="C57" s="5"/>
      <c r="D57" s="5"/>
      <c r="E57" s="5" t="str">
        <f>IFERROR(__xludf.DUMMYFUNCTION("""COMPUTED_VALUE"""),"Out 55")</f>
        <v>Out 55</v>
      </c>
      <c r="F57" s="5"/>
      <c r="G57" s="5"/>
      <c r="H57" s="5" t="str">
        <f>IFERROR(__xludf.DUMMYFUNCTION("""COMPUTED_VALUE"""),"N/C")</f>
        <v>N/C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 t="str">
        <f>IFERROR(__xludf.DUMMYFUNCTION("""COMPUTED_VALUE"""),"C.3")</f>
        <v>C.3</v>
      </c>
      <c r="B58" s="5" t="str">
        <f>IFERROR(__xludf.DUMMYFUNCTION("""COMPUTED_VALUE"""),"AJA KUMO 6464")</f>
        <v>AJA KUMO 6464</v>
      </c>
      <c r="C58" s="5"/>
      <c r="D58" s="5"/>
      <c r="E58" s="5" t="str">
        <f>IFERROR(__xludf.DUMMYFUNCTION("""COMPUTED_VALUE"""),"Out 56")</f>
        <v>Out 56</v>
      </c>
      <c r="F58" s="5"/>
      <c r="G58" s="5"/>
      <c r="H58" s="5" t="str">
        <f>IFERROR(__xludf.DUMMYFUNCTION("""COMPUTED_VALUE"""),"A.5")</f>
        <v>A.5</v>
      </c>
      <c r="I58" s="5" t="str">
        <f>IFERROR(__xludf.DUMMYFUNCTION("""COMPUTED_VALUE"""),"CGX")</f>
        <v>CGX</v>
      </c>
      <c r="J58" s="5">
        <f>IFERROR(__xludf.DUMMYFUNCTION("""COMPUTED_VALUE"""),1.0)</f>
        <v>1</v>
      </c>
      <c r="K58" s="5" t="str">
        <f>IFERROR(__xludf.DUMMYFUNCTION("""COMPUTED_VALUE"""),"DeckLink")</f>
        <v>DeckLink</v>
      </c>
      <c r="L58" s="5" t="str">
        <f>IFERROR(__xludf.DUMMYFUNCTION("""COMPUTED_VALUE"""),"In P1")</f>
        <v>In P1</v>
      </c>
      <c r="M58" s="5" t="str">
        <f>IFERROR(__xludf.DUMMYFUNCTION("""COMPUTED_VALUE"""),"IN CGX")</f>
        <v>IN CGX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 t="str">
        <f>IFERROR(__xludf.DUMMYFUNCTION("""COMPUTED_VALUE"""),"C.3")</f>
        <v>C.3</v>
      </c>
      <c r="B59" s="5" t="str">
        <f>IFERROR(__xludf.DUMMYFUNCTION("""COMPUTED_VALUE"""),"AJA KUMO 6464")</f>
        <v>AJA KUMO 6464</v>
      </c>
      <c r="C59" s="5"/>
      <c r="D59" s="5"/>
      <c r="E59" s="5" t="str">
        <f>IFERROR(__xludf.DUMMYFUNCTION("""COMPUTED_VALUE"""),"Out 57")</f>
        <v>Out 57</v>
      </c>
      <c r="F59" s="5"/>
      <c r="G59" s="5"/>
      <c r="H59" s="5" t="str">
        <f>IFERROR(__xludf.DUMMYFUNCTION("""COMPUTED_VALUE"""),"D.11")</f>
        <v>D.11</v>
      </c>
      <c r="I59" s="5" t="str">
        <f>IFERROR(__xludf.DUMMYFUNCTION("""COMPUTED_VALUE"""),"AJA FS4")</f>
        <v>AJA FS4</v>
      </c>
      <c r="J59" s="5"/>
      <c r="K59" s="5"/>
      <c r="L59" s="5" t="str">
        <f>IFERROR(__xludf.DUMMYFUNCTION("""COMPUTED_VALUE"""),"SDI In 1")</f>
        <v>SDI In 1</v>
      </c>
      <c r="M59" s="5" t="str">
        <f>IFERROR(__xludf.DUMMYFUNCTION("""COMPUTED_VALUE"""),"CGX AJA FS4")</f>
        <v>CGX AJA FS4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 t="str">
        <f>IFERROR(__xludf.DUMMYFUNCTION("""COMPUTED_VALUE"""),"C.3")</f>
        <v>C.3</v>
      </c>
      <c r="B60" s="5" t="str">
        <f>IFERROR(__xludf.DUMMYFUNCTION("""COMPUTED_VALUE"""),"AJA KUMO 6464")</f>
        <v>AJA KUMO 6464</v>
      </c>
      <c r="C60" s="5"/>
      <c r="D60" s="5"/>
      <c r="E60" s="5" t="str">
        <f>IFERROR(__xludf.DUMMYFUNCTION("""COMPUTED_VALUE"""),"Out 58")</f>
        <v>Out 58</v>
      </c>
      <c r="F60" s="5"/>
      <c r="G60" s="5"/>
      <c r="H60" s="5" t="str">
        <f>IFERROR(__xludf.DUMMYFUNCTION("""COMPUTED_VALUE"""),"N/C")</f>
        <v>N/C</v>
      </c>
      <c r="I60" s="5"/>
      <c r="J60" s="5"/>
      <c r="K60" s="5"/>
      <c r="L60" s="5"/>
      <c r="M60" s="5" t="str">
        <f>IFERROR(__xludf.DUMMYFUNCTION("""COMPUTED_VALUE"""),"AJA FS4 2")</f>
        <v>AJA FS4 2</v>
      </c>
      <c r="N60" s="5" t="str">
        <f>IFERROR(__xludf.DUMMYFUNCTION("""COMPUTED_VALUE"""),"Cable suelto en Rack D.11")</f>
        <v>Cable suelto en Rack D.11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 t="str">
        <f>IFERROR(__xludf.DUMMYFUNCTION("""COMPUTED_VALUE"""),"C.3")</f>
        <v>C.3</v>
      </c>
      <c r="B61" s="5" t="str">
        <f>IFERROR(__xludf.DUMMYFUNCTION("""COMPUTED_VALUE"""),"AJA KUMO 6464")</f>
        <v>AJA KUMO 6464</v>
      </c>
      <c r="C61" s="5"/>
      <c r="D61" s="5"/>
      <c r="E61" s="5" t="str">
        <f>IFERROR(__xludf.DUMMYFUNCTION("""COMPUTED_VALUE"""),"Out 59")</f>
        <v>Out 59</v>
      </c>
      <c r="F61" s="5"/>
      <c r="G61" s="5"/>
      <c r="H61" s="5" t="str">
        <f>IFERROR(__xludf.DUMMYFUNCTION("""COMPUTED_VALUE"""),"D.11")</f>
        <v>D.11</v>
      </c>
      <c r="I61" s="5" t="str">
        <f>IFERROR(__xludf.DUMMYFUNCTION("""COMPUTED_VALUE"""),"AJA FS4")</f>
        <v>AJA FS4</v>
      </c>
      <c r="J61" s="5"/>
      <c r="K61" s="5"/>
      <c r="L61" s="5" t="str">
        <f>IFERROR(__xludf.DUMMYFUNCTION("""COMPUTED_VALUE"""),"SDI In 3")</f>
        <v>SDI In 3</v>
      </c>
      <c r="M61" s="5" t="str">
        <f>IFERROR(__xludf.DUMMYFUNCTION("""COMPUTED_VALUE"""),"AJA FS4 SAT 3")</f>
        <v>AJA FS4 SAT 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 t="str">
        <f>IFERROR(__xludf.DUMMYFUNCTION("""COMPUTED_VALUE"""),"C.3")</f>
        <v>C.3</v>
      </c>
      <c r="B62" s="5" t="str">
        <f>IFERROR(__xludf.DUMMYFUNCTION("""COMPUTED_VALUE"""),"AJA KUMO 6464")</f>
        <v>AJA KUMO 6464</v>
      </c>
      <c r="C62" s="5"/>
      <c r="D62" s="5"/>
      <c r="E62" s="5" t="str">
        <f>IFERROR(__xludf.DUMMYFUNCTION("""COMPUTED_VALUE"""),"Out 60")</f>
        <v>Out 60</v>
      </c>
      <c r="F62" s="5"/>
      <c r="G62" s="5"/>
      <c r="H62" s="5" t="str">
        <f>IFERROR(__xludf.DUMMYFUNCTION("""COMPUTED_VALUE"""),"D.11")</f>
        <v>D.11</v>
      </c>
      <c r="I62" s="5" t="str">
        <f>IFERROR(__xludf.DUMMYFUNCTION("""COMPUTED_VALUE"""),"AJA FS4")</f>
        <v>AJA FS4</v>
      </c>
      <c r="J62" s="5"/>
      <c r="K62" s="5"/>
      <c r="L62" s="5" t="str">
        <f>IFERROR(__xludf.DUMMYFUNCTION("""COMPUTED_VALUE"""),"SDI In 4")</f>
        <v>SDI In 4</v>
      </c>
      <c r="M62" s="5" t="str">
        <f>IFERROR(__xludf.DUMMYFUNCTION("""COMPUTED_VALUE"""),"AIRE!! AJA FS4")</f>
        <v>AIRE!! AJA FS4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 t="str">
        <f>IFERROR(__xludf.DUMMYFUNCTION("""COMPUTED_VALUE"""),"C.3")</f>
        <v>C.3</v>
      </c>
      <c r="B63" s="5" t="str">
        <f>IFERROR(__xludf.DUMMYFUNCTION("""COMPUTED_VALUE"""),"AJA KUMO 6464")</f>
        <v>AJA KUMO 6464</v>
      </c>
      <c r="C63" s="5"/>
      <c r="D63" s="5"/>
      <c r="E63" s="5" t="str">
        <f>IFERROR(__xludf.DUMMYFUNCTION("""COMPUTED_VALUE"""),"Out 61")</f>
        <v>Out 61</v>
      </c>
      <c r="F63" s="5"/>
      <c r="G63" s="5"/>
      <c r="H63" s="5" t="str">
        <f>IFERROR(__xludf.DUMMYFUNCTION("""COMPUTED_VALUE"""),"E.3")</f>
        <v>E.3</v>
      </c>
      <c r="I63" s="5" t="str">
        <f>IFERROR(__xludf.DUMMYFUNCTION("""COMPUTED_VALUE"""),"Leader LV 7770")</f>
        <v>Leader LV 7770</v>
      </c>
      <c r="J63" s="5"/>
      <c r="K63" s="5"/>
      <c r="L63" s="5" t="str">
        <f>IFERROR(__xludf.DUMMYFUNCTION("""COMPUTED_VALUE"""),"SDI In A")</f>
        <v>SDI In A</v>
      </c>
      <c r="M63" s="5" t="str">
        <f>IFERROR(__xludf.DUMMYFUNCTION("""COMPUTED_VALUE"""),"OSC CANAL 1")</f>
        <v>OSC CANAL 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 t="str">
        <f>IFERROR(__xludf.DUMMYFUNCTION("""COMPUTED_VALUE"""),"C.3")</f>
        <v>C.3</v>
      </c>
      <c r="B64" s="5" t="str">
        <f>IFERROR(__xludf.DUMMYFUNCTION("""COMPUTED_VALUE"""),"AJA KUMO 6464")</f>
        <v>AJA KUMO 6464</v>
      </c>
      <c r="C64" s="5"/>
      <c r="D64" s="5"/>
      <c r="E64" s="5" t="str">
        <f>IFERROR(__xludf.DUMMYFUNCTION("""COMPUTED_VALUE"""),"Out 62")</f>
        <v>Out 62</v>
      </c>
      <c r="F64" s="5"/>
      <c r="G64" s="5"/>
      <c r="H64" s="5" t="str">
        <f>IFERROR(__xludf.DUMMYFUNCTION("""COMPUTED_VALUE"""),"E.3")</f>
        <v>E.3</v>
      </c>
      <c r="I64" s="5" t="str">
        <f>IFERROR(__xludf.DUMMYFUNCTION("""COMPUTED_VALUE"""),"Leader LV 7770")</f>
        <v>Leader LV 7770</v>
      </c>
      <c r="J64" s="5"/>
      <c r="K64" s="5"/>
      <c r="L64" s="5" t="str">
        <f>IFERROR(__xludf.DUMMYFUNCTION("""COMPUTED_VALUE"""),"SDI In B")</f>
        <v>SDI In B</v>
      </c>
      <c r="M64" s="5" t="str">
        <f>IFERROR(__xludf.DUMMYFUNCTION("""COMPUTED_VALUE"""),"OSC CANAL 2")</f>
        <v>OSC CANAL 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 t="str">
        <f>IFERROR(__xludf.DUMMYFUNCTION("""COMPUTED_VALUE"""),"C.3")</f>
        <v>C.3</v>
      </c>
      <c r="B65" s="5" t="str">
        <f>IFERROR(__xludf.DUMMYFUNCTION("""COMPUTED_VALUE"""),"AJA KUMO 6464")</f>
        <v>AJA KUMO 6464</v>
      </c>
      <c r="C65" s="5"/>
      <c r="D65" s="5"/>
      <c r="E65" s="5" t="str">
        <f>IFERROR(__xludf.DUMMYFUNCTION("""COMPUTED_VALUE"""),"Out 63")</f>
        <v>Out 63</v>
      </c>
      <c r="F65" s="5"/>
      <c r="G65" s="5"/>
      <c r="H65" s="5" t="str">
        <f>IFERROR(__xludf.DUMMYFUNCTION("""COMPUTED_VALUE"""),"L.7")</f>
        <v>L.7</v>
      </c>
      <c r="I65" s="5" t="str">
        <f>IFERROR(__xludf.DUMMYFUNCTION("""COMPUTED_VALUE"""),"openGear X")</f>
        <v>openGear X</v>
      </c>
      <c r="J65" s="5">
        <f>IFERROR(__xludf.DUMMYFUNCTION("""COMPUTED_VALUE"""),6.0)</f>
        <v>6</v>
      </c>
      <c r="K65" s="5" t="str">
        <f>IFERROR(__xludf.DUMMYFUNCTION("""COMPUTED_VALUE"""),"Optic to SDI")</f>
        <v>Optic to SDI</v>
      </c>
      <c r="L65" s="5" t="str">
        <f>IFERROR(__xludf.DUMMYFUNCTION("""COMPUTED_VALUE"""),"SDI In")</f>
        <v>SDI In</v>
      </c>
      <c r="M65" s="5" t="str">
        <f>IFERROR(__xludf.DUMMYFUNCTION("""COMPUTED_VALUE"""),"RADIO TX")</f>
        <v>RADIO TX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 t="str">
        <f>IFERROR(__xludf.DUMMYFUNCTION("""COMPUTED_VALUE"""),"C.3")</f>
        <v>C.3</v>
      </c>
      <c r="B66" s="5" t="str">
        <f>IFERROR(__xludf.DUMMYFUNCTION("""COMPUTED_VALUE"""),"AJA KUMO 6464")</f>
        <v>AJA KUMO 6464</v>
      </c>
      <c r="C66" s="5"/>
      <c r="D66" s="5"/>
      <c r="E66" s="5" t="str">
        <f>IFERROR(__xludf.DUMMYFUNCTION("""COMPUTED_VALUE"""),"Out 64")</f>
        <v>Out 64</v>
      </c>
      <c r="F66" s="5"/>
      <c r="G66" s="5"/>
      <c r="H66" s="5" t="str">
        <f>IFERROR(__xludf.DUMMYFUNCTION("""COMPUTED_VALUE"""),"D.9")</f>
        <v>D.9</v>
      </c>
      <c r="I66" s="5" t="str">
        <f>IFERROR(__xludf.DUMMYFUNCTION("""COMPUTED_VALUE"""),"openGear X")</f>
        <v>openGear X</v>
      </c>
      <c r="J66" s="5">
        <f>IFERROR(__xludf.DUMMYFUNCTION("""COMPUTED_VALUE"""),5.0)</f>
        <v>5</v>
      </c>
      <c r="K66" s="5" t="str">
        <f>IFERROR(__xludf.DUMMYFUNCTION("""COMPUTED_VALUE"""),"De-embbeder")</f>
        <v>De-embbeder</v>
      </c>
      <c r="L66" s="5" t="str">
        <f>IFERROR(__xludf.DUMMYFUNCTION("""COMPUTED_VALUE"""),"SDI In")</f>
        <v>SDI In</v>
      </c>
      <c r="M66" s="5" t="str">
        <f>IFERROR(__xludf.DUMMYFUNCTION("""COMPUTED_VALUE"""),"AIRE")</f>
        <v>AIRE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 t="str">
        <f>IFERROR(__xludf.DUMMYFUNCTION("""COMPUTED_VALUE"""),"C.3")</f>
        <v>C.3</v>
      </c>
      <c r="B67" s="5" t="str">
        <f>IFERROR(__xludf.DUMMYFUNCTION("""COMPUTED_VALUE"""),"AJA KUMO 6464")</f>
        <v>AJA KUMO 6464</v>
      </c>
      <c r="C67" s="5"/>
      <c r="D67" s="5"/>
      <c r="E67" s="5" t="str">
        <f>IFERROR(__xludf.DUMMYFUNCTION("""COMPUTED_VALUE"""),"REF Out")</f>
        <v>REF Out</v>
      </c>
      <c r="F67" s="5" t="str">
        <f>IFERROR(__xludf.DUMMYFUNCTION("""COMPUTED_VALUE"""),"T")</f>
        <v>T</v>
      </c>
      <c r="G67" s="5" t="str">
        <f>IFERROR(__xludf.DUMMYFUNCTION("""COMPUTED_VALUE"""),"REF In")</f>
        <v>REF In</v>
      </c>
      <c r="H67" s="5" t="str">
        <f>IFERROR(__xludf.DUMMYFUNCTION("""COMPUTED_VALUE"""),"C.5")</f>
        <v>C.5</v>
      </c>
      <c r="I67" s="5" t="str">
        <f>IFERROR(__xludf.DUMMYFUNCTION("""COMPUTED_VALUE"""),"Blackmagic 12 x 12")</f>
        <v>Blackmagic 12 x 12</v>
      </c>
      <c r="J67" s="5"/>
      <c r="K67" s="5"/>
      <c r="L67" s="5" t="str">
        <f>IFERROR(__xludf.DUMMYFUNCTION("""COMPUTED_VALUE"""),"REF In")</f>
        <v>REF In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