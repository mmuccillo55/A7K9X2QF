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<sst xmlns="http://schemas.openxmlformats.org/spreadsheetml/2006/main" count="2195" uniqueCount="648">
  <si>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</si>
  <si>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</si>
  <si>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</si>
  <si>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</si>
  <si>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</si>
  <si>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</si>
  <si>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</si>
  <si>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</si>
  <si>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</si>
  <si>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</si>
  <si>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</si>
  <si>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</si>
  <si>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</si>
  <si>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</si>
  <si>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</si>
  <si>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</si>
  <si>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</si>
  <si>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</si>
  <si>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</si>
  <si>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</si>
  <si>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</si>
  <si>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</si>
  <si>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</si>
  <si>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</si>
  <si>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</si>
  <si>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</si>
  <si>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</si>
  <si>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</si>
  <si>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</si>
  <si>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</si>
  <si>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</si>
  <si>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</si>
  <si>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</si>
  <si>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</si>
  <si>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</si>
  <si>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</si>
  <si>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</si>
  <si>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</si>
  <si>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</si>
  <si>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</si>
  <si>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</si>
  <si>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</si>
  <si>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</si>
  <si>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</si>
  <si>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</si>
  <si>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</si>
  <si>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</si>
  <si>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</si>
  <si>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</si>
  <si>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</si>
  <si>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</si>
  <si>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</si>
  <si>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</si>
  <si>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</si>
  <si>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</si>
  <si>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</si>
  <si>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</si>
  <si>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</si>
  <si>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</si>
  <si>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</si>
  <si>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</si>
  <si>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</si>
  <si>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</si>
  <si>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</si>
  <si>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</si>
  <si>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</si>
  <si>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</si>
  <si>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</si>
  <si>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</si>
  <si>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</si>
  <si>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</si>
  <si>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</si>
  <si>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</si>
  <si>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</si>
  <si>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</si>
  <si>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</si>
  <si>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</si>
  <si>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</si>
  <si>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</si>
  <si>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</si>
  <si>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</si>
  <si>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</si>
  <si>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</si>
  <si>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</si>
  <si>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</si>
  <si>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</si>
  <si>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</si>
  <si>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</si>
  <si>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</si>
  <si>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</si>
  <si>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</si>
  <si>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</si>
  <si>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</si>
  <si>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</si>
  <si>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</si>
  <si>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</si>
  <si>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</si>
  <si>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</si>
  <si>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</si>
  <si>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</si>
  <si>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</si>
  <si>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</si>
  <si>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</si>
  <si>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</si>
  <si>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</si>
  <si>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</si>
  <si>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</si>
  <si>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</si>
  <si>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</si>
  <si>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</si>
  <si>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</si>
  <si>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</si>
  <si>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</si>
  <si>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</si>
  <si>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</si>
  <si>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</si>
  <si>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</si>
  <si>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</si>
  <si>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</si>
  <si>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</si>
  <si>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</si>
  <si>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</si>
  <si>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</si>
  <si>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</si>
  <si>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</si>
  <si>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</si>
  <si>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</si>
  <si>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</si>
  <si>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</si>
  <si>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</si>
  <si>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</si>
  <si>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</si>
  <si>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</si>
  <si>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</si>
  <si>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</si>
  <si>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</si>
  <si>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</si>
  <si>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</si>
  <si>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</si>
  <si>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</si>
  <si>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</si>
  <si>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</si>
  <si>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</si>
  <si>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</si>
  <si>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</si>
  <si>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</si>
  <si>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</si>
  <si>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</si>
  <si>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</si>
  <si>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</si>
  <si>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</si>
  <si>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</si>
  <si>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</si>
  <si>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</si>
  <si>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</si>
  <si>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</si>
  <si>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</si>
  <si>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</si>
  <si>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</si>
  <si>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</si>
  <si>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</si>
  <si>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</si>
  <si>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</si>
  <si>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</si>
  <si>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</si>
  <si>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</si>
  <si>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</si>
  <si>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</si>
  <si>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</si>
  <si>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</si>
  <si>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</si>
  <si>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</si>
  <si>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</si>
  <si>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</si>
  <si>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</si>
  <si>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</si>
  <si>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</si>
  <si>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</si>
  <si>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</si>
  <si>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</si>
  <si>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</si>
  <si>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</si>
  <si>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</si>
  <si>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</si>
  <si>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</si>
  <si>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</si>
  <si>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</si>
  <si>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</si>
  <si>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</si>
  <si>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</si>
  <si>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</si>
  <si>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</si>
  <si>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</si>
  <si>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</si>
  <si>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</si>
  <si>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</si>
  <si>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</si>
  <si>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</si>
  <si>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</si>
  <si>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</si>
  <si>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</si>
  <si>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</si>
  <si>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</si>
  <si>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</si>
  <si>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</si>
  <si>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</si>
  <si>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</si>
  <si>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</si>
  <si>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</si>
  <si>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</si>
  <si>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</si>
  <si>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</si>
  <si>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</si>
  <si>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</si>
  <si>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</si>
  <si>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</si>
  <si>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</si>
  <si>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</si>
  <si>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</si>
  <si>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</si>
  <si>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</si>
  <si>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</si>
  <si>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</si>
  <si>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</si>
  <si>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</si>
  <si>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</si>
  <si>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</si>
  <si>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</si>
  <si>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</si>
  <si>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</si>
  <si>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</si>
  <si>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</si>
  <si>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</si>
  <si>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</si>
  <si>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</si>
  <si>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</si>
  <si>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</si>
  <si>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</si>
  <si>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</si>
  <si>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</si>
  <si>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</si>
  <si>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</si>
  <si>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</si>
  <si>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</si>
  <si>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</si>
  <si>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</si>
  <si>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</si>
  <si>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</si>
  <si>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</si>
  <si>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</si>
  <si>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</si>
  <si>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</si>
  <si>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</si>
  <si>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</si>
  <si>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</si>
  <si>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</si>
  <si>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</si>
  <si>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</si>
  <si>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</si>
  <si>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</si>
  <si>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</si>
  <si>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</si>
  <si>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</si>
  <si>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</si>
  <si>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</si>
  <si>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</si>
  <si>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</si>
  <si>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</si>
  <si>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</si>
  <si>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</si>
  <si>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</si>
  <si>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</si>
  <si>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</si>
  <si>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</si>
  <si>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</si>
  <si>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</si>
  <si>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</si>
  <si>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</si>
  <si>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</si>
  <si>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</si>
  <si>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</si>
  <si>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</si>
  <si>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</si>
  <si>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</si>
  <si>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</si>
  <si>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</si>
  <si>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</si>
  <si>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</si>
  <si>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</si>
  <si>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</si>
  <si>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</si>
  <si>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</si>
  <si>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</si>
  <si>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</si>
  <si>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</si>
  <si>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</si>
  <si>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</si>
  <si>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</si>
  <si>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</si>
  <si>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</si>
  <si>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</si>
  <si>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</si>
  <si>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</si>
  <si>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</si>
  <si>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</si>
  <si>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</si>
  <si>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</si>
  <si>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</si>
  <si>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</si>
  <si>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</si>
  <si>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</si>
  <si>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</si>
  <si>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</si>
  <si>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</si>
  <si>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</si>
  <si>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</si>
  <si>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</si>
  <si>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</si>
  <si>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</si>
  <si>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</si>
  <si>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</si>
  <si>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</si>
  <si>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</si>
  <si>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</si>
  <si>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</si>
  <si>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</si>
  <si>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</si>
  <si>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</si>
  <si>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</si>
  <si>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</si>
  <si>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</si>
  <si>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</si>
  <si>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</si>
  <si>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</si>
  <si>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</si>
  <si>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</si>
  <si>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</si>
  <si>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</si>
  <si>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</si>
  <si>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</si>
  <si>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</si>
  <si>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</si>
  <si>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</si>
  <si>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</si>
  <si>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</si>
  <si>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</si>
  <si>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</si>
  <si>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</si>
  <si>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</si>
  <si>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</si>
  <si>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</si>
  <si>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</si>
  <si>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</si>
  <si>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</si>
  <si>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</si>
  <si>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</si>
  <si>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</si>
  <si>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</si>
  <si>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</si>
  <si>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</si>
  <si>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</si>
  <si>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</si>
  <si>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</si>
  <si>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</si>
  <si>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</si>
  <si>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</si>
  <si>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</si>
  <si>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</si>
  <si>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</si>
  <si>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</si>
  <si>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</si>
  <si>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</si>
  <si>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</si>
  <si>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</si>
  <si>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</si>
  <si>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</si>
  <si>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</si>
  <si>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</si>
  <si>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</si>
  <si>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</si>
  <si>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</si>
  <si>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</si>
  <si>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</si>
  <si>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</si>
  <si>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</si>
  <si>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</si>
  <si>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</si>
  <si>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</si>
  <si>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</si>
  <si>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</si>
  <si>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</si>
  <si>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</si>
  <si>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</si>
  <si>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</si>
  <si>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</si>
  <si>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</si>
  <si>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</si>
  <si>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</si>
  <si>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</si>
  <si>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</si>
  <si>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</si>
  <si>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</si>
  <si>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</si>
  <si>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</si>
  <si>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</si>
  <si>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</si>
  <si>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</si>
  <si>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</si>
  <si>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</si>
  <si>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</si>
  <si>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</si>
  <si>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</si>
  <si>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</si>
  <si>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</si>
  <si>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</si>
  <si>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</si>
  <si>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</si>
  <si>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</si>
  <si>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</si>
  <si>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</si>
  <si>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</si>
  <si>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</si>
  <si>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</si>
  <si>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</si>
  <si>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</si>
  <si>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</si>
  <si>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</si>
  <si>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</si>
  <si>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</si>
  <si>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</si>
  <si>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</si>
  <si>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</si>
  <si>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</si>
  <si>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</si>
  <si>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</si>
  <si>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</si>
  <si>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</si>
  <si>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</si>
  <si>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</si>
  <si>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</si>
  <si>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</si>
  <si>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</si>
  <si>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</si>
  <si>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</si>
  <si>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</si>
  <si>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</si>
  <si>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</si>
  <si>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</si>
  <si>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</si>
  <si>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</si>
  <si>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</si>
  <si>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</si>
  <si>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</si>
  <si>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</si>
  <si>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</si>
  <si>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</si>
  <si>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</si>
  <si>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</si>
  <si>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</si>
  <si>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</si>
  <si>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</si>
  <si>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</si>
  <si>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</si>
  <si>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</si>
  <si>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</si>
  <si>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</si>
  <si>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</si>
  <si>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</si>
  <si>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</si>
  <si>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</si>
  <si>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</si>
  <si>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</si>
  <si>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</si>
  <si>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</si>
  <si>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</si>
  <si>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</si>
  <si>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</si>
  <si>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</si>
  <si>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</si>
  <si>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</si>
  <si>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</si>
  <si>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</si>
  <si>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</si>
  <si>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</si>
  <si>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</si>
  <si>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</si>
  <si>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</si>
  <si>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</si>
  <si>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</si>
  <si>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</si>
  <si>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</si>
  <si>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</si>
  <si>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</si>
  <si>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</si>
  <si>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</si>
  <si>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</si>
  <si>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</si>
  <si>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</si>
  <si>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</si>
  <si>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</si>
  <si>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</si>
  <si>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</si>
  <si>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</si>
  <si>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</si>
  <si>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</si>
  <si>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</si>
  <si>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</si>
  <si>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</si>
  <si>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</si>
  <si>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</si>
  <si>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</si>
  <si>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</si>
  <si>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</si>
  <si>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</si>
  <si>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</si>
  <si>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</si>
  <si>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</si>
  <si>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</si>
  <si>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</si>
  <si>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</si>
  <si>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</si>
  <si>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</si>
  <si>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</si>
  <si>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</si>
  <si>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</si>
  <si>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</si>
  <si>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</si>
  <si>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</si>
  <si>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</si>
  <si>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</si>
  <si>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</si>
  <si>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</si>
  <si>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</si>
  <si>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</si>
  <si>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</si>
  <si>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</si>
  <si>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</si>
  <si>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</si>
  <si>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</si>
  <si>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</si>
  <si>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</si>
  <si>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</si>
  <si>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</si>
  <si>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</si>
  <si>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</si>
  <si>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</si>
  <si>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</si>
  <si>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</si>
  <si>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</si>
  <si>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</si>
  <si>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</si>
  <si>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</si>
  <si>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</si>
  <si>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</si>
  <si>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</si>
  <si>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</si>
  <si>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</si>
  <si>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</si>
  <si>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</si>
  <si>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</si>
  <si>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</si>
  <si>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</si>
  <si>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</si>
  <si>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</si>
  <si>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</si>
  <si>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</si>
  <si>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</si>
  <si>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</si>
  <si>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</si>
  <si>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</si>
  <si>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</si>
  <si>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</si>
  <si>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</si>
  <si>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</si>
  <si>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</si>
  <si>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</si>
  <si>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</si>
  <si>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</si>
  <si>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</si>
  <si>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</si>
  <si>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</si>
  <si>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</si>
  <si>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</si>
  <si>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</si>
  <si>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</si>
  <si>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</si>
  <si>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</si>
  <si>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</si>
  <si>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</si>
  <si>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</si>
  <si>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</si>
  <si>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</si>
  <si>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</si>
  <si>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</si>
  <si>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</si>
  <si>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</si>
  <si>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</si>
  <si>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</si>
  <si>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</si>
  <si>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</si>
  <si>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</si>
  <si>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</si>
  <si>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</si>
  <si>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</si>
  <si>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</si>
  <si>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</si>
  <si>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</si>
  <si>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</si>
  <si>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</si>
  <si>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</si>
  <si>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</si>
  <si>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</si>
  <si>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</si>
  <si>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</si>
  <si>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</si>
  <si>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</si>
  <si>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</si>
  <si>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</si>
  <si>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</si>
  <si>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</si>
  <si>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</si>
  <si>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</si>
  <si>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</si>
  <si>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</si>
  <si>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</si>
  <si>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</si>
  <si>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</si>
  <si>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</si>
  <si>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</si>
  <si>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</si>
  <si>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</si>
  <si>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</si>
  <si>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</si>
  <si>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</si>
  <si>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</si>
  <si>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</si>
  <si>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</si>
  <si>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</si>
  <si>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</si>
  <si>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</si>
  <si>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</si>
  <si>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</si>
  <si>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</si>
  <si>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</si>
  <si>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</si>
  <si>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</si>
  <si>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</si>
  <si>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d.10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</si>
</sst>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199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88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197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197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197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88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88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197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106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106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106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106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197</v>
      </c>
      <c r="G187" s="6" t="s">
        <v>106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197</v>
      </c>
      <c r="G188" s="6" t="s">
        <v>106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197</v>
      </c>
      <c r="G190" s="6" t="s">
        <v>106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197</v>
      </c>
      <c r="G193" s="6" t="s">
        <v>106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197</v>
      </c>
      <c r="G196" s="6" t="s">
        <v>106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329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361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363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364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365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318</v>
      </c>
      <c r="F205" s="6" t="s">
        <v>197</v>
      </c>
      <c r="G205" s="6" t="s">
        <v>319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366</v>
      </c>
      <c r="F206" s="6" t="s">
        <v>197</v>
      </c>
      <c r="G206" s="6" t="s">
        <v>319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367</v>
      </c>
      <c r="F207" s="6" t="s">
        <v>197</v>
      </c>
      <c r="G207" s="6" t="s">
        <v>319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368</v>
      </c>
      <c r="F208" s="6" t="s">
        <v>197</v>
      </c>
      <c r="G208" s="6" t="s">
        <v>319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329</v>
      </c>
      <c r="E210" s="6" t="s">
        <v>196</v>
      </c>
      <c r="F210" s="6" t="s">
        <v>197</v>
      </c>
      <c r="G210" s="6" t="s">
        <v>106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197</v>
      </c>
      <c r="G211" s="6" t="s">
        <v>319</v>
      </c>
      <c r="H211" s="6" t="s">
        <v>206</v>
      </c>
      <c r="I211" s="5" t="str">
        <f>IF(H211="","",VLOOKUP(H211,DB!A:B,2,0))</f>
        <v>openGear X</v>
      </c>
      <c r="J211" s="6">
        <v>1.0</v>
      </c>
      <c r="K211" s="6" t="s">
        <v>317</v>
      </c>
      <c r="L211" s="6" t="s">
        <v>319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371</v>
      </c>
      <c r="F212" s="6" t="s">
        <v>197</v>
      </c>
      <c r="G212" s="6" t="s">
        <v>319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197</v>
      </c>
      <c r="G213" s="6" t="s">
        <v>319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197</v>
      </c>
      <c r="G214" s="6" t="s">
        <v>319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197</v>
      </c>
      <c r="G215" s="6" t="s">
        <v>319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197</v>
      </c>
      <c r="G216" s="6" t="s">
        <v>319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197</v>
      </c>
      <c r="G217" s="6" t="s">
        <v>319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197</v>
      </c>
      <c r="G218" s="6" t="s">
        <v>319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372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374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376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378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379</v>
      </c>
      <c r="F231" s="5"/>
      <c r="G231" s="5"/>
      <c r="H231" s="6" t="s">
        <v>380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381</v>
      </c>
      <c r="F232" s="5"/>
      <c r="G232" s="5"/>
      <c r="H232" s="6" t="s">
        <v>382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384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384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197</v>
      </c>
      <c r="G234" s="6" t="s">
        <v>106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384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197</v>
      </c>
      <c r="G235" s="6" t="s">
        <v>106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384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197</v>
      </c>
      <c r="G236" s="6" t="s">
        <v>106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384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197</v>
      </c>
      <c r="G237" s="6" t="s">
        <v>106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206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404</v>
      </c>
      <c r="F269" s="6" t="s">
        <v>197</v>
      </c>
      <c r="G269" s="6" t="s">
        <v>319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405</v>
      </c>
      <c r="F270" s="6" t="s">
        <v>197</v>
      </c>
      <c r="G270" s="6" t="s">
        <v>319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408</v>
      </c>
      <c r="F271" s="6" t="s">
        <v>197</v>
      </c>
      <c r="G271" s="6" t="s">
        <v>319</v>
      </c>
      <c r="H271" s="6" t="s">
        <v>210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197</v>
      </c>
      <c r="G272" s="6" t="s">
        <v>319</v>
      </c>
      <c r="H272" s="6" t="s">
        <v>206</v>
      </c>
      <c r="I272" s="5" t="str">
        <f>IF(H272="","",VLOOKUP(H272,DB!A:B,2,0))</f>
        <v>openGear X</v>
      </c>
      <c r="J272" s="6">
        <v>3.0</v>
      </c>
      <c r="K272" s="14" t="s">
        <v>207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411</v>
      </c>
      <c r="F273" s="6" t="s">
        <v>197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2.0</v>
      </c>
      <c r="K273" s="14" t="s">
        <v>207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412</v>
      </c>
      <c r="F274" s="6" t="s">
        <v>197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5.0</v>
      </c>
      <c r="K274" s="14" t="s">
        <v>207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413</v>
      </c>
      <c r="F275" s="6" t="s">
        <v>197</v>
      </c>
      <c r="G275" s="6" t="s">
        <v>319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415</v>
      </c>
      <c r="F276" s="6" t="s">
        <v>197</v>
      </c>
      <c r="G276" s="6" t="s">
        <v>319</v>
      </c>
      <c r="H276" s="6" t="s">
        <v>349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416</v>
      </c>
      <c r="F277" s="6" t="s">
        <v>197</v>
      </c>
      <c r="G277" s="6" t="s">
        <v>319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214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417</v>
      </c>
      <c r="B278" s="6" t="str">
        <f>IF(A278="","",VLOOKUP(A278,DB!A:B,2,0))</f>
        <v>Leader Sync Generator</v>
      </c>
      <c r="C278" s="5"/>
      <c r="D278" s="6"/>
      <c r="E278" s="6" t="s">
        <v>418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419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417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Leader Sync Generator</v>
      </c>
      <c r="C280" s="5"/>
      <c r="D280" s="6"/>
      <c r="E280" s="6" t="s">
        <v>421</v>
      </c>
      <c r="F280" s="5"/>
      <c r="G280" s="5"/>
      <c r="H280" s="6" t="s">
        <v>422</v>
      </c>
      <c r="I280" s="5" t="str">
        <f>IF(H280="","",VLOOKUP(H280,DB!A:B,2,0))</f>
        <v>Miranda Densite3</v>
      </c>
      <c r="J280" s="6">
        <v>7.0</v>
      </c>
      <c r="K280" s="6" t="s">
        <v>423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Leader Sync Generator</v>
      </c>
      <c r="C281" s="5"/>
      <c r="D281" s="6"/>
      <c r="E281" s="6" t="s">
        <v>424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Leader Sync Generator</v>
      </c>
      <c r="C282" s="5"/>
      <c r="D282" s="6"/>
      <c r="E282" s="6" t="s">
        <v>425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Leader Sync Generator</v>
      </c>
      <c r="C283" s="5"/>
      <c r="D283" s="6"/>
      <c r="E283" s="6" t="s">
        <v>426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422</v>
      </c>
      <c r="B284" s="6" t="str">
        <f>IF(A284="","",VLOOKUP(A284,DB!A:B,2,0))</f>
        <v>Miranda Densite3</v>
      </c>
      <c r="C284" s="6">
        <v>7.0</v>
      </c>
      <c r="D284" s="6" t="s">
        <v>423</v>
      </c>
      <c r="E284" s="6" t="s">
        <v>427</v>
      </c>
      <c r="F284" s="6" t="s">
        <v>197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422</v>
      </c>
      <c r="B285" s="6" t="str">
        <f>IF(A285="","",VLOOKUP(A285,DB!A:B,2,0))</f>
        <v>Miranda Densite3</v>
      </c>
      <c r="C285" s="6">
        <v>7.0</v>
      </c>
      <c r="D285" s="6" t="s">
        <v>423</v>
      </c>
      <c r="E285" s="6" t="s">
        <v>428</v>
      </c>
      <c r="F285" s="6" t="s">
        <v>197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422</v>
      </c>
      <c r="B286" s="6" t="str">
        <f>IF(A286="","",VLOOKUP(A286,DB!A:B,2,0))</f>
        <v>Miranda Densite3</v>
      </c>
      <c r="C286" s="6">
        <v>7.0</v>
      </c>
      <c r="D286" s="6" t="s">
        <v>423</v>
      </c>
      <c r="E286" s="6" t="s">
        <v>429</v>
      </c>
      <c r="F286" s="6" t="s">
        <v>197</v>
      </c>
      <c r="G286" s="6" t="s">
        <v>393</v>
      </c>
      <c r="H286" s="6" t="s">
        <v>278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422</v>
      </c>
      <c r="B287" s="6" t="str">
        <f>IF(A287="","",VLOOKUP(A287,DB!A:B,2,0))</f>
        <v>Miranda Densite3</v>
      </c>
      <c r="C287" s="6">
        <v>7.0</v>
      </c>
      <c r="D287" s="6" t="s">
        <v>423</v>
      </c>
      <c r="E287" s="6" t="s">
        <v>430</v>
      </c>
      <c r="F287" s="6" t="s">
        <v>197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422</v>
      </c>
      <c r="B288" s="6" t="str">
        <f>IF(A288="","",VLOOKUP(A288,DB!A:B,2,0))</f>
        <v>Miranda Densite3</v>
      </c>
      <c r="C288" s="6">
        <v>7.0</v>
      </c>
      <c r="D288" s="6" t="s">
        <v>423</v>
      </c>
      <c r="E288" s="6" t="s">
        <v>431</v>
      </c>
      <c r="F288" s="6" t="s">
        <v>197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422</v>
      </c>
      <c r="B289" s="6" t="str">
        <f>IF(A289="","",VLOOKUP(A289,DB!A:B,2,0))</f>
        <v>Miranda Densite3</v>
      </c>
      <c r="C289" s="6">
        <v>7.0</v>
      </c>
      <c r="D289" s="6" t="s">
        <v>423</v>
      </c>
      <c r="E289" s="6" t="s">
        <v>432</v>
      </c>
      <c r="F289" s="6" t="s">
        <v>197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422</v>
      </c>
      <c r="B290" s="6" t="str">
        <f>IF(A290="","",VLOOKUP(A290,DB!A:B,2,0))</f>
        <v>Miranda Densite3</v>
      </c>
      <c r="C290" s="6">
        <v>7.0</v>
      </c>
      <c r="D290" s="6" t="s">
        <v>423</v>
      </c>
      <c r="E290" s="6" t="s">
        <v>433</v>
      </c>
      <c r="F290" s="6" t="s">
        <v>197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422</v>
      </c>
      <c r="B291" s="6" t="str">
        <f>IF(A291="","",VLOOKUP(A291,DB!A:B,2,0))</f>
        <v>Miranda Densite3</v>
      </c>
      <c r="C291" s="6">
        <v>7.0</v>
      </c>
      <c r="D291" s="6" t="s">
        <v>423</v>
      </c>
      <c r="E291" s="6" t="s">
        <v>434</v>
      </c>
      <c r="F291" s="6" t="s">
        <v>197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422</v>
      </c>
      <c r="B292" s="6" t="str">
        <f>IF(A292="","",VLOOKUP(A292,DB!A:B,2,0))</f>
        <v>Miranda Densite3</v>
      </c>
      <c r="C292" s="6">
        <v>7.0</v>
      </c>
      <c r="D292" s="6" t="s">
        <v>423</v>
      </c>
      <c r="E292" s="6" t="s">
        <v>435</v>
      </c>
      <c r="F292" s="6" t="s">
        <v>197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436</v>
      </c>
      <c r="F293" s="6" t="s">
        <v>197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278</v>
      </c>
      <c r="B294" s="6" t="str">
        <f>IF(A294="","",VLOOKUP(A294,DB!A:B,2,0))</f>
        <v>Sony HXCU-100 Cam 1</v>
      </c>
      <c r="C294" s="5"/>
      <c r="D294" s="6"/>
      <c r="E294" s="6" t="s">
        <v>436</v>
      </c>
      <c r="F294" s="6" t="s">
        <v>197</v>
      </c>
      <c r="G294" s="6" t="s">
        <v>400</v>
      </c>
      <c r="H294" s="6" t="s">
        <v>281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281</v>
      </c>
      <c r="B295" s="6" t="str">
        <f>IF(A295="","",VLOOKUP(A295,DB!A:B,2,0))</f>
        <v>Sony HXCU-100 Cam 2</v>
      </c>
      <c r="C295" s="5"/>
      <c r="D295" s="6"/>
      <c r="E295" s="6" t="s">
        <v>436</v>
      </c>
      <c r="F295" s="6" t="s">
        <v>197</v>
      </c>
      <c r="G295" s="6" t="s">
        <v>400</v>
      </c>
      <c r="H295" s="6" t="s">
        <v>284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284</v>
      </c>
      <c r="B296" s="6" t="str">
        <f>IF(A296="","",VLOOKUP(A296,DB!A:B,2,0))</f>
        <v>Sony HXCU-100 Cam 3</v>
      </c>
      <c r="C296" s="5"/>
      <c r="D296" s="6"/>
      <c r="E296" s="6" t="s">
        <v>436</v>
      </c>
      <c r="F296" s="6" t="s">
        <v>197</v>
      </c>
      <c r="G296" s="6" t="s">
        <v>400</v>
      </c>
      <c r="H296" s="6" t="s">
        <v>287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287</v>
      </c>
      <c r="B297" s="6" t="str">
        <f>IF(A297="","",VLOOKUP(A297,DB!A:B,2,0))</f>
        <v>Sony HXCU-100 Cam 4</v>
      </c>
      <c r="C297" s="5"/>
      <c r="D297" s="6"/>
      <c r="E297" s="6" t="s">
        <v>436</v>
      </c>
      <c r="F297" s="6" t="s">
        <v>197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329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419</v>
      </c>
      <c r="E299" s="6" t="s">
        <v>436</v>
      </c>
      <c r="F299" s="6" t="s">
        <v>197</v>
      </c>
      <c r="G299" s="6" t="s">
        <v>400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419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419</v>
      </c>
      <c r="E300" s="6" t="s">
        <v>436</v>
      </c>
      <c r="F300" s="6" t="s">
        <v>197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436</v>
      </c>
      <c r="F301" s="6" t="s">
        <v>197</v>
      </c>
      <c r="G301" s="6" t="s">
        <v>400</v>
      </c>
      <c r="H301" s="6" t="s">
        <v>225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437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438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319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225</v>
      </c>
      <c r="B304" s="6" t="str">
        <f>IF(A304="","",VLOOKUP(A304,DB!A:B,2,0))</f>
        <v>AJA FS2</v>
      </c>
      <c r="C304" s="5"/>
      <c r="D304" s="6"/>
      <c r="E304" s="6" t="s">
        <v>436</v>
      </c>
      <c r="F304" s="6" t="s">
        <v>197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354</v>
      </c>
      <c r="B307" s="6" t="str">
        <f>IF(A307="","",VLOOKUP(A307,DB!A:B,2,0))</f>
        <v>Yamaha QL5</v>
      </c>
      <c r="C307" s="5"/>
      <c r="D307" s="6"/>
      <c r="E307" s="6" t="s">
        <v>439</v>
      </c>
      <c r="F307" s="5"/>
      <c r="G307" s="5"/>
      <c r="H307" s="6" t="s">
        <v>440</v>
      </c>
      <c r="I307" s="5" t="str">
        <f>IF(H307="","",VLOOKUP(H307,DB!A:B,2,0))</f>
        <v>Split 1</v>
      </c>
      <c r="J307" s="5"/>
      <c r="K307" s="5"/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440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197</v>
      </c>
      <c r="G308" s="6" t="s">
        <v>441</v>
      </c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442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440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197</v>
      </c>
      <c r="G309" s="6" t="s">
        <v>441</v>
      </c>
      <c r="H309" s="6" t="s">
        <v>184</v>
      </c>
      <c r="I309" s="5" t="str">
        <f>IF(H309="","",VLOOKUP(H309,DB!A:B,2,0))</f>
        <v>openGear X</v>
      </c>
      <c r="J309" s="6">
        <v>1.0</v>
      </c>
      <c r="K309" s="11" t="s">
        <v>195</v>
      </c>
      <c r="L309" s="6" t="s">
        <v>443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440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197</v>
      </c>
      <c r="G310" s="6" t="s">
        <v>441</v>
      </c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442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440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197</v>
      </c>
      <c r="G311" s="6" t="s">
        <v>441</v>
      </c>
      <c r="H311" s="6" t="s">
        <v>184</v>
      </c>
      <c r="I311" s="5" t="str">
        <f>IF(H311="","",VLOOKUP(H311,DB!A:B,2,0))</f>
        <v>openGear X</v>
      </c>
      <c r="J311" s="6">
        <v>2.0</v>
      </c>
      <c r="K311" s="11" t="s">
        <v>195</v>
      </c>
      <c r="L311" s="6" t="s">
        <v>443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444</v>
      </c>
      <c r="B312" s="6" t="str">
        <f>IF(A312="","",VLOOKUP(A312,DB!A:B,2,0))</f>
        <v>VIDEOTRON</v>
      </c>
      <c r="C312" s="6">
        <v>3.0</v>
      </c>
      <c r="D312" s="6" t="s">
        <v>445</v>
      </c>
      <c r="E312" s="6" t="s">
        <v>16</v>
      </c>
      <c r="F312" s="6" t="s">
        <v>197</v>
      </c>
      <c r="G312" s="6" t="s">
        <v>446</v>
      </c>
      <c r="H312" s="6" t="s">
        <v>447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444</v>
      </c>
      <c r="B313" s="6" t="str">
        <f>IF(A313="","",VLOOKUP(A313,DB!A:B,2,0))</f>
        <v>VIDEOTRON</v>
      </c>
      <c r="C313" s="6">
        <v>4.0</v>
      </c>
      <c r="D313" s="6" t="s">
        <v>448</v>
      </c>
      <c r="E313" s="6" t="s">
        <v>29</v>
      </c>
      <c r="F313" s="6" t="s">
        <v>197</v>
      </c>
      <c r="G313" s="6" t="s">
        <v>446</v>
      </c>
      <c r="H313" s="6" t="s">
        <v>447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444</v>
      </c>
      <c r="B314" s="6" t="str">
        <f>IF(A314="","",VLOOKUP(A314,DB!A:B,2,0))</f>
        <v>VIDEOTRON</v>
      </c>
      <c r="C314" s="6">
        <v>4.0</v>
      </c>
      <c r="D314" s="6" t="s">
        <v>448</v>
      </c>
      <c r="E314" s="6" t="s">
        <v>32</v>
      </c>
      <c r="F314" s="6" t="s">
        <v>197</v>
      </c>
      <c r="G314" s="6" t="s">
        <v>446</v>
      </c>
      <c r="H314" s="6" t="s">
        <v>449</v>
      </c>
      <c r="I314" s="5" t="str">
        <f>IF(H314="","",VLOOKUP(H314,DB!A:B,2,0))</f>
        <v>VIDEObit V2A-FIBER-5T</v>
      </c>
      <c r="J314" s="6"/>
      <c r="K314" s="6"/>
      <c r="L314" s="6" t="s">
        <v>450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389</v>
      </c>
      <c r="B315" s="6" t="str">
        <f>IF(A315="","",VLOOKUP(A315,DB!A:B,2,0))</f>
        <v>Digiwave DSC-131</v>
      </c>
      <c r="C315" s="5"/>
      <c r="D315" s="6"/>
      <c r="E315" s="6" t="s">
        <v>451</v>
      </c>
      <c r="F315" s="6" t="s">
        <v>197</v>
      </c>
      <c r="G315" s="6" t="s">
        <v>452</v>
      </c>
      <c r="H315" s="6" t="s">
        <v>444</v>
      </c>
      <c r="I315" s="5" t="str">
        <f>IF(H315="","",VLOOKUP(H315,DB!A:B,2,0))</f>
        <v>VIDEOTRON</v>
      </c>
      <c r="J315" s="6">
        <v>3.0</v>
      </c>
      <c r="K315" s="6" t="s">
        <v>445</v>
      </c>
      <c r="L315" s="6" t="s">
        <v>446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392</v>
      </c>
      <c r="B316" s="6" t="str">
        <f>IF(A316="","",VLOOKUP(A316,DB!A:B,2,0))</f>
        <v>vidicraft vst2110</v>
      </c>
      <c r="C316" s="5"/>
      <c r="D316" s="6"/>
      <c r="E316" s="6" t="s">
        <v>453</v>
      </c>
      <c r="F316" s="6" t="s">
        <v>197</v>
      </c>
      <c r="G316" s="6" t="s">
        <v>393</v>
      </c>
      <c r="H316" s="6" t="s">
        <v>444</v>
      </c>
      <c r="I316" s="5" t="str">
        <f>IF(H316="","",VLOOKUP(H316,DB!A:B,2,0))</f>
        <v>VIDEOTRON</v>
      </c>
      <c r="J316" s="6">
        <v>4.0</v>
      </c>
      <c r="K316" s="6" t="s">
        <v>448</v>
      </c>
      <c r="L316" s="6" t="s">
        <v>446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201</v>
      </c>
      <c r="F317" s="6" t="s">
        <v>197</v>
      </c>
      <c r="G317" s="6" t="s">
        <v>162</v>
      </c>
      <c r="H317" s="6" t="s">
        <v>454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204</v>
      </c>
      <c r="F318" s="6" t="s">
        <v>197</v>
      </c>
      <c r="G318" s="6" t="s">
        <v>68</v>
      </c>
      <c r="H318" s="6" t="s">
        <v>455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456</v>
      </c>
      <c r="F319" s="5"/>
      <c r="G319" s="5"/>
      <c r="H319" s="6" t="s">
        <v>225</v>
      </c>
      <c r="I319" s="5" t="str">
        <f>IF(H319="","",VLOOKUP(H319,DB!A:B,2,0))</f>
        <v>AJA FS2</v>
      </c>
      <c r="J319" s="6"/>
      <c r="K319" s="6"/>
      <c r="L319" s="6" t="s">
        <v>457</v>
      </c>
      <c r="M319" s="5"/>
      <c r="N319" s="15" t="s">
        <v>458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458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461</v>
      </c>
      <c r="B321" s="6" t="str">
        <f>IF(A321="","",VLOOKUP(A321,DB!A:B,2,0))</f>
        <v>DiTel Demodulador</v>
      </c>
      <c r="C321" s="5"/>
      <c r="D321" s="6"/>
      <c r="E321" s="6" t="s">
        <v>456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462</v>
      </c>
      <c r="M321" s="5"/>
      <c r="N321" s="15" t="s">
        <v>458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461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463</v>
      </c>
      <c r="M322" s="5"/>
      <c r="N322" s="15" t="s">
        <v>458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Mixer Audio TX</v>
      </c>
      <c r="C323" s="5"/>
      <c r="D323" s="6"/>
      <c r="E323" s="6" t="s">
        <v>465</v>
      </c>
      <c r="F323" s="6" t="s">
        <v>197</v>
      </c>
      <c r="G323" s="6" t="s">
        <v>466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467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464</v>
      </c>
      <c r="B324" s="6" t="str">
        <f>IF(A324="","",VLOOKUP(A324,DB!A:B,2,0))</f>
        <v>Mixer Audio TX</v>
      </c>
      <c r="C324" s="5"/>
      <c r="D324" s="6"/>
      <c r="E324" s="6" t="s">
        <v>468</v>
      </c>
      <c r="F324" s="6" t="s">
        <v>197</v>
      </c>
      <c r="G324" s="6" t="s">
        <v>466</v>
      </c>
      <c r="H324" s="6" t="s">
        <v>394</v>
      </c>
      <c r="I324" s="5" t="str">
        <f>IF(H324="","",VLOOKUP(H324,DB!A:B,2,0))</f>
        <v>tc electronic Finalizer</v>
      </c>
      <c r="J324" s="6"/>
      <c r="K324" s="6"/>
      <c r="L324" s="6" t="s">
        <v>469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184</v>
      </c>
      <c r="B325" s="6" t="str">
        <f>IF(A325="","",VLOOKUP(A325,DB!A:B,2,0))</f>
        <v>openGear X</v>
      </c>
      <c r="C325" s="6">
        <v>5.0</v>
      </c>
      <c r="D325" s="6" t="s">
        <v>329</v>
      </c>
      <c r="E325" s="6" t="s">
        <v>470</v>
      </c>
      <c r="F325" s="6" t="s">
        <v>197</v>
      </c>
      <c r="G325" s="6" t="s">
        <v>106</v>
      </c>
      <c r="H325" s="6" t="s">
        <v>464</v>
      </c>
      <c r="I325" s="5" t="str">
        <f>IF(H325="","",VLOOKUP(H325,DB!A:B,2,0))</f>
        <v>Mixer Audio TX</v>
      </c>
      <c r="J325" s="6"/>
      <c r="K325" s="6"/>
      <c r="L325" s="6" t="s">
        <v>466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184</v>
      </c>
      <c r="B326" s="6" t="str">
        <f>IF(A326="","",VLOOKUP(A326,DB!A:B,2,0))</f>
        <v>openGear X</v>
      </c>
      <c r="C326" s="6">
        <v>2.0</v>
      </c>
      <c r="D326" s="6" t="s">
        <v>195</v>
      </c>
      <c r="E326" s="6" t="s">
        <v>196</v>
      </c>
      <c r="F326" s="6" t="s">
        <v>197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471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278</v>
      </c>
      <c r="B331" s="6" t="str">
        <f>IF(A331="","",VLOOKUP(A331,DB!A:B,2,0))</f>
        <v>Sony HXCU-100 Cam 1</v>
      </c>
      <c r="C331" s="5"/>
      <c r="D331" s="6"/>
      <c r="E331" s="6" t="s">
        <v>472</v>
      </c>
      <c r="F331" s="5"/>
      <c r="G331" s="5"/>
      <c r="H331" s="6" t="s">
        <v>473</v>
      </c>
      <c r="I331" s="5" t="str">
        <f>IF(H331="","",VLOOKUP(H331,DB!A:B,2,0))</f>
        <v>RTS Zeus III</v>
      </c>
      <c r="J331" s="6"/>
      <c r="K331" s="6"/>
      <c r="L331" s="6" t="s">
        <v>474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281</v>
      </c>
      <c r="B332" s="6" t="str">
        <f>IF(A332="","",VLOOKUP(A332,DB!A:B,2,0))</f>
        <v>Sony HXCU-100 Cam 2</v>
      </c>
      <c r="C332" s="5"/>
      <c r="D332" s="6"/>
      <c r="E332" s="6" t="s">
        <v>472</v>
      </c>
      <c r="F332" s="5"/>
      <c r="G332" s="5"/>
      <c r="H332" s="6" t="s">
        <v>473</v>
      </c>
      <c r="I332" s="5" t="str">
        <f>IF(H332="","",VLOOKUP(H332,DB!A:B,2,0))</f>
        <v>RTS Zeus III</v>
      </c>
      <c r="J332" s="6"/>
      <c r="K332" s="6"/>
      <c r="L332" s="6" t="s">
        <v>475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284</v>
      </c>
      <c r="B333" s="6" t="str">
        <f>IF(A333="","",VLOOKUP(A333,DB!A:B,2,0))</f>
        <v>Sony HXCU-100 Cam 3</v>
      </c>
      <c r="C333" s="5"/>
      <c r="D333" s="6"/>
      <c r="E333" s="6" t="s">
        <v>472</v>
      </c>
      <c r="F333" s="5"/>
      <c r="G333" s="5"/>
      <c r="H333" s="6" t="s">
        <v>473</v>
      </c>
      <c r="I333" s="5" t="str">
        <f>IF(H333="","",VLOOKUP(H333,DB!A:B,2,0))</f>
        <v>RTS Zeus III</v>
      </c>
      <c r="J333" s="6"/>
      <c r="K333" s="6"/>
      <c r="L333" s="6" t="s">
        <v>476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287</v>
      </c>
      <c r="B334" s="6" t="str">
        <f>IF(A334="","",VLOOKUP(A334,DB!A:B,2,0))</f>
        <v>Sony HXCU-100 Cam 4</v>
      </c>
      <c r="C334" s="5"/>
      <c r="D334" s="6"/>
      <c r="E334" s="6" t="s">
        <v>472</v>
      </c>
      <c r="F334" s="5"/>
      <c r="G334" s="5"/>
      <c r="H334" s="6" t="s">
        <v>473</v>
      </c>
      <c r="I334" s="5" t="str">
        <f>IF(H334="","",VLOOKUP(H334,DB!A:B,2,0))</f>
        <v>RTS Zeus III</v>
      </c>
      <c r="J334" s="6"/>
      <c r="K334" s="6"/>
      <c r="L334" s="6" t="s">
        <v>477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473</v>
      </c>
      <c r="B335" s="6" t="str">
        <f>IF(A335="","",VLOOKUP(A335,DB!A:B,2,0))</f>
        <v>RTS Zeus III</v>
      </c>
      <c r="C335" s="5"/>
      <c r="D335" s="6"/>
      <c r="E335" s="6" t="s">
        <v>478</v>
      </c>
      <c r="F335" s="6" t="s">
        <v>197</v>
      </c>
      <c r="G335" s="6" t="s">
        <v>474</v>
      </c>
      <c r="H335" s="6" t="s">
        <v>278</v>
      </c>
      <c r="I335" s="5" t="str">
        <f>IF(H335="","",VLOOKUP(H335,DB!A:B,2,0))</f>
        <v>Sony HXCU-100 Cam 1</v>
      </c>
      <c r="J335" s="6"/>
      <c r="K335" s="6"/>
      <c r="L335" s="6" t="s">
        <v>479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473</v>
      </c>
      <c r="B336" s="6" t="str">
        <f>IF(A336="","",VLOOKUP(A336,DB!A:B,2,0))</f>
        <v>RTS Zeus III</v>
      </c>
      <c r="C336" s="5"/>
      <c r="D336" s="6"/>
      <c r="E336" s="6" t="s">
        <v>480</v>
      </c>
      <c r="F336" s="6" t="s">
        <v>197</v>
      </c>
      <c r="G336" s="6" t="s">
        <v>475</v>
      </c>
      <c r="H336" s="6" t="s">
        <v>281</v>
      </c>
      <c r="I336" s="5" t="str">
        <f>IF(H336="","",VLOOKUP(H336,DB!A:B,2,0))</f>
        <v>Sony HXCU-100 Cam 2</v>
      </c>
      <c r="J336" s="6"/>
      <c r="K336" s="6"/>
      <c r="L336" s="6" t="s">
        <v>479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473</v>
      </c>
      <c r="B337" s="6" t="str">
        <f>IF(A337="","",VLOOKUP(A337,DB!A:B,2,0))</f>
        <v>RTS Zeus III</v>
      </c>
      <c r="C337" s="5"/>
      <c r="D337" s="6"/>
      <c r="E337" s="6" t="s">
        <v>481</v>
      </c>
      <c r="F337" s="6" t="s">
        <v>197</v>
      </c>
      <c r="G337" s="6" t="s">
        <v>476</v>
      </c>
      <c r="H337" s="6" t="s">
        <v>284</v>
      </c>
      <c r="I337" s="5" t="str">
        <f>IF(H337="","",VLOOKUP(H337,DB!A:B,2,0))</f>
        <v>Sony HXCU-100 Cam 3</v>
      </c>
      <c r="J337" s="6"/>
      <c r="K337" s="6"/>
      <c r="L337" s="6" t="s">
        <v>479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473</v>
      </c>
      <c r="B338" s="6" t="str">
        <f>IF(A338="","",VLOOKUP(A338,DB!A:B,2,0))</f>
        <v>RTS Zeus III</v>
      </c>
      <c r="C338" s="5"/>
      <c r="D338" s="6"/>
      <c r="E338" s="6" t="s">
        <v>482</v>
      </c>
      <c r="F338" s="6" t="s">
        <v>197</v>
      </c>
      <c r="G338" s="6" t="s">
        <v>477</v>
      </c>
      <c r="H338" s="6" t="s">
        <v>287</v>
      </c>
      <c r="I338" s="5" t="str">
        <f>IF(H338="","",VLOOKUP(H338,DB!A:B,2,0))</f>
        <v>Sony HXCU-100 Cam 4</v>
      </c>
      <c r="J338" s="6"/>
      <c r="K338" s="6"/>
      <c r="L338" s="6" t="s">
        <v>479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483</v>
      </c>
      <c r="B339" s="6" t="str">
        <f>IF(A339="","",VLOOKUP(A339,DB!A:B,2,0))</f>
        <v>KP 3016 Asistente</v>
      </c>
      <c r="C339" s="5"/>
      <c r="D339" s="6"/>
      <c r="E339" s="6" t="s">
        <v>484</v>
      </c>
      <c r="F339" s="5"/>
      <c r="G339" s="5"/>
      <c r="H339" s="6" t="s">
        <v>473</v>
      </c>
      <c r="I339" s="5" t="str">
        <f>IF(H339="","",VLOOKUP(H339,DB!A:B,2,0))</f>
        <v>RTS Zeus III</v>
      </c>
      <c r="J339" s="6"/>
      <c r="K339" s="6"/>
      <c r="L339" s="6" t="s">
        <v>485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473</v>
      </c>
      <c r="B340" s="6" t="str">
        <f>IF(A340="","",VLOOKUP(A340,DB!A:B,2,0))</f>
        <v>RTS Zeus III</v>
      </c>
      <c r="C340" s="5"/>
      <c r="D340" s="6"/>
      <c r="E340" s="6" t="s">
        <v>486</v>
      </c>
      <c r="F340" s="6" t="s">
        <v>197</v>
      </c>
      <c r="G340" s="6" t="s">
        <v>485</v>
      </c>
      <c r="H340" s="6" t="s">
        <v>483</v>
      </c>
      <c r="I340" s="5" t="str">
        <f>IF(H340="","",VLOOKUP(H340,DB!A:B,2,0))</f>
        <v>KP 3016 Asistente</v>
      </c>
      <c r="J340" s="6"/>
      <c r="K340" s="6"/>
      <c r="L340" s="6" t="s">
        <v>487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473</v>
      </c>
      <c r="B341" s="6" t="str">
        <f>IF(A341="","",VLOOKUP(A341,DB!A:B,2,0))</f>
        <v>RTS Zeus III</v>
      </c>
      <c r="C341" s="5"/>
      <c r="D341" s="6"/>
      <c r="E341" s="6" t="s">
        <v>488</v>
      </c>
      <c r="F341" s="6" t="s">
        <v>197</v>
      </c>
      <c r="G341" s="6" t="s">
        <v>489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490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473</v>
      </c>
      <c r="I342" s="5" t="str">
        <f>IF(H342="","",VLOOKUP(H342,DB!A:B,2,0))</f>
        <v>RTS Zeus III</v>
      </c>
      <c r="J342" s="6"/>
      <c r="K342" s="6"/>
      <c r="L342" s="6" t="s">
        <v>491</v>
      </c>
      <c r="M342" s="5"/>
      <c r="N342" s="6" t="s">
        <v>490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473</v>
      </c>
      <c r="B343" s="6" t="str">
        <f>IF(A343="","",VLOOKUP(A343,DB!A:B,2,0))</f>
        <v>RTS Zeus III</v>
      </c>
      <c r="C343" s="5"/>
      <c r="D343" s="6"/>
      <c r="E343" s="6" t="s">
        <v>492</v>
      </c>
      <c r="F343" s="6" t="s">
        <v>197</v>
      </c>
      <c r="G343" s="6" t="s">
        <v>491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473</v>
      </c>
      <c r="I344" s="5" t="str">
        <f>IF(H344="","",VLOOKUP(H344,DB!A:B,2,0))</f>
        <v>RTS Zeus III</v>
      </c>
      <c r="J344" s="6"/>
      <c r="K344" s="6"/>
      <c r="L344" s="6" t="s">
        <v>489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473</v>
      </c>
      <c r="B345" s="6" t="str">
        <f>IF(A345="","",VLOOKUP(A345,DB!A:B,2,0))</f>
        <v>RTS Zeus III</v>
      </c>
      <c r="C345" s="5"/>
      <c r="D345" s="6"/>
      <c r="E345" s="6" t="s">
        <v>493</v>
      </c>
      <c r="F345" s="6" t="s">
        <v>197</v>
      </c>
      <c r="G345" s="6" t="s">
        <v>494</v>
      </c>
      <c r="H345" s="6" t="s">
        <v>495</v>
      </c>
      <c r="I345" s="5" t="str">
        <f>IF(H345="","",VLOOKUP(H345,DB!A:B,2,0))</f>
        <v>KP 3016 Sonidista</v>
      </c>
      <c r="J345" s="6"/>
      <c r="K345" s="6"/>
      <c r="L345" s="6" t="s">
        <v>487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473</v>
      </c>
      <c r="B346" s="6" t="str">
        <f>IF(A346="","",VLOOKUP(A346,DB!A:B,2,0))</f>
        <v>RTS Zeus III</v>
      </c>
      <c r="C346" s="5"/>
      <c r="D346" s="6"/>
      <c r="E346" s="6" t="s">
        <v>496</v>
      </c>
      <c r="F346" s="6" t="s">
        <v>197</v>
      </c>
      <c r="G346" s="6" t="s">
        <v>497</v>
      </c>
      <c r="H346" s="6" t="s">
        <v>498</v>
      </c>
      <c r="I346" s="5" t="str">
        <f>IF(H346="","",VLOOKUP(H346,DB!A:B,2,0))</f>
        <v>KP 3016 Titulador</v>
      </c>
      <c r="J346" s="6"/>
      <c r="K346" s="6"/>
      <c r="L346" s="6" t="s">
        <v>487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473</v>
      </c>
      <c r="B347" s="6" t="str">
        <f>IF(A347="","",VLOOKUP(A347,DB!A:B,2,0))</f>
        <v>RTS Zeus III</v>
      </c>
      <c r="C347" s="5"/>
      <c r="D347" s="6"/>
      <c r="E347" s="6" t="s">
        <v>499</v>
      </c>
      <c r="F347" s="6" t="s">
        <v>197</v>
      </c>
      <c r="G347" s="6" t="s">
        <v>500</v>
      </c>
      <c r="H347" s="6" t="s">
        <v>501</v>
      </c>
      <c r="I347" s="5" t="str">
        <f>IF(H347="","",VLOOKUP(H347,DB!A:B,2,0))</f>
        <v>KP 3016 Director</v>
      </c>
      <c r="J347" s="6"/>
      <c r="K347" s="6"/>
      <c r="L347" s="6" t="s">
        <v>487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473</v>
      </c>
      <c r="B348" s="6" t="str">
        <f>IF(A348="","",VLOOKUP(A348,DB!A:B,2,0))</f>
        <v>RTS Zeus III</v>
      </c>
      <c r="C348" s="5"/>
      <c r="D348" s="6"/>
      <c r="E348" s="6" t="s">
        <v>502</v>
      </c>
      <c r="F348" s="6" t="s">
        <v>197</v>
      </c>
      <c r="G348" s="6" t="s">
        <v>503</v>
      </c>
      <c r="H348" s="6" t="s">
        <v>504</v>
      </c>
      <c r="I348" s="5" t="str">
        <f>IF(H348="","",VLOOKUP(H348,DB!A:B,2,0))</f>
        <v>KP 3016 Productor</v>
      </c>
      <c r="J348" s="6"/>
      <c r="K348" s="6"/>
      <c r="L348" s="6" t="s">
        <v>487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495</v>
      </c>
      <c r="B349" s="6" t="str">
        <f>IF(A349="","",VLOOKUP(A349,DB!A:B,2,0))</f>
        <v>KP 3016 Sonidista</v>
      </c>
      <c r="C349" s="5"/>
      <c r="D349" s="6"/>
      <c r="E349" s="6" t="s">
        <v>484</v>
      </c>
      <c r="F349" s="5"/>
      <c r="G349" s="5"/>
      <c r="H349" s="6" t="s">
        <v>473</v>
      </c>
      <c r="I349" s="5" t="str">
        <f>IF(H349="","",VLOOKUP(H349,DB!A:B,2,0))</f>
        <v>RTS Zeus III</v>
      </c>
      <c r="J349" s="6"/>
      <c r="K349" s="6"/>
      <c r="L349" s="6" t="s">
        <v>494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498</v>
      </c>
      <c r="B350" s="6" t="str">
        <f>IF(A350="","",VLOOKUP(A350,DB!A:B,2,0))</f>
        <v>KP 3016 Titulador</v>
      </c>
      <c r="C350" s="5"/>
      <c r="D350" s="6"/>
      <c r="E350" s="6" t="s">
        <v>484</v>
      </c>
      <c r="F350" s="5"/>
      <c r="G350" s="5"/>
      <c r="H350" s="6" t="s">
        <v>473</v>
      </c>
      <c r="I350" s="5" t="str">
        <f>IF(H350="","",VLOOKUP(H350,DB!A:B,2,0))</f>
        <v>RTS Zeus III</v>
      </c>
      <c r="J350" s="6"/>
      <c r="K350" s="6"/>
      <c r="L350" s="6" t="s">
        <v>497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501</v>
      </c>
      <c r="B351" s="6" t="str">
        <f>IF(A351="","",VLOOKUP(A351,DB!A:B,2,0))</f>
        <v>KP 3016 Director</v>
      </c>
      <c r="C351" s="5"/>
      <c r="D351" s="6"/>
      <c r="E351" s="6" t="s">
        <v>484</v>
      </c>
      <c r="F351" s="5"/>
      <c r="G351" s="5"/>
      <c r="H351" s="6" t="s">
        <v>473</v>
      </c>
      <c r="I351" s="5" t="str">
        <f>IF(H351="","",VLOOKUP(H351,DB!A:B,2,0))</f>
        <v>RTS Zeus III</v>
      </c>
      <c r="J351" s="6"/>
      <c r="K351" s="6"/>
      <c r="L351" s="6" t="s">
        <v>500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504</v>
      </c>
      <c r="B352" s="6" t="str">
        <f>IF(A352="","",VLOOKUP(A352,DB!A:B,2,0))</f>
        <v>KP 3016 Productor</v>
      </c>
      <c r="C352" s="5"/>
      <c r="D352" s="6"/>
      <c r="E352" s="6" t="s">
        <v>484</v>
      </c>
      <c r="F352" s="5"/>
      <c r="G352" s="5"/>
      <c r="H352" s="6" t="s">
        <v>473</v>
      </c>
      <c r="I352" s="5" t="str">
        <f>IF(H352="","",VLOOKUP(H352,DB!A:B,2,0))</f>
        <v>RTS Zeus III</v>
      </c>
      <c r="J352" s="6"/>
      <c r="K352" s="6"/>
      <c r="L352" s="6" t="s">
        <v>503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473</v>
      </c>
      <c r="B353" s="6" t="str">
        <f>IF(A353="","",VLOOKUP(A353,DB!A:B,2,0))</f>
        <v>RTS Zeus III</v>
      </c>
      <c r="C353" s="5"/>
      <c r="D353" s="6"/>
      <c r="E353" s="6" t="s">
        <v>505</v>
      </c>
      <c r="F353" s="6" t="s">
        <v>197</v>
      </c>
      <c r="G353" s="6" t="s">
        <v>506</v>
      </c>
      <c r="H353" s="6" t="s">
        <v>507</v>
      </c>
      <c r="I353" s="5" t="str">
        <f>IF(H353="","",VLOOKUP(H353,DB!A:B,2,0))</f>
        <v>KP 3016 Transmision</v>
      </c>
      <c r="J353" s="6"/>
      <c r="K353" s="6"/>
      <c r="L353" s="6" t="s">
        <v>487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507</v>
      </c>
      <c r="B354" s="6" t="str">
        <f>IF(A354="","",VLOOKUP(A354,DB!A:B,2,0))</f>
        <v>KP 3016 Transmision</v>
      </c>
      <c r="C354" s="5"/>
      <c r="D354" s="6"/>
      <c r="E354" s="6" t="s">
        <v>484</v>
      </c>
      <c r="F354" s="5"/>
      <c r="G354" s="5"/>
      <c r="H354" s="6" t="s">
        <v>473</v>
      </c>
      <c r="I354" s="5" t="str">
        <f>IF(H354="","",VLOOKUP(H354,DB!A:B,2,0))</f>
        <v>RTS Zeus III</v>
      </c>
      <c r="J354" s="6"/>
      <c r="K354" s="6"/>
      <c r="L354" s="6" t="s">
        <v>506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473</v>
      </c>
      <c r="B355" s="6" t="str">
        <f>IF(A355="","",VLOOKUP(A355,DB!A:B,2,0))</f>
        <v>RTS Zeus III</v>
      </c>
      <c r="C355" s="5"/>
      <c r="D355" s="6"/>
      <c r="E355" s="6" t="s">
        <v>508</v>
      </c>
      <c r="F355" s="6" t="s">
        <v>197</v>
      </c>
      <c r="G355" s="6" t="s">
        <v>509</v>
      </c>
      <c r="H355" s="6" t="s">
        <v>510</v>
      </c>
      <c r="I355" s="5" t="str">
        <f>IF(H355="","",VLOOKUP(H355,DB!A:B,2,0))</f>
        <v>Servidor</v>
      </c>
      <c r="J355" s="6">
        <v>0.0</v>
      </c>
      <c r="K355" s="6" t="s">
        <v>511</v>
      </c>
      <c r="L355" s="6" t="s">
        <v>512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510</v>
      </c>
      <c r="B356" s="6" t="str">
        <f>IF(A356="","",VLOOKUP(A356,DB!A:B,2,0))</f>
        <v>Servidor</v>
      </c>
      <c r="C356" s="6">
        <v>0.0</v>
      </c>
      <c r="D356" s="6" t="s">
        <v>511</v>
      </c>
      <c r="E356" s="6" t="s">
        <v>513</v>
      </c>
      <c r="F356" s="5"/>
      <c r="G356" s="5"/>
      <c r="H356" s="6" t="s">
        <v>473</v>
      </c>
      <c r="I356" s="5" t="str">
        <f>IF(H356="","",VLOOKUP(H356,DB!A:B,2,0))</f>
        <v>RTS Zeus III</v>
      </c>
      <c r="J356" s="6"/>
      <c r="K356" s="6"/>
      <c r="L356" s="6" t="s">
        <v>509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225</v>
      </c>
      <c r="B357" s="6" t="str">
        <f>IF(A357="","",VLOOKUP(A357,DB!A:B,2,0))</f>
        <v>AJA FS2</v>
      </c>
      <c r="C357" s="5"/>
      <c r="D357" s="6"/>
      <c r="E357" s="6" t="s">
        <v>514</v>
      </c>
      <c r="F357" s="5"/>
      <c r="G357" s="5" t="s">
        <v>396</v>
      </c>
      <c r="H357" s="6" t="s">
        <v>473</v>
      </c>
      <c r="I357" s="5" t="str">
        <f>IF(H357="","",VLOOKUP(H357,DB!A:B,2,0))</f>
        <v>RTS Zeus III</v>
      </c>
      <c r="J357" s="6"/>
      <c r="K357" s="6"/>
      <c r="L357" s="6" t="s">
        <v>515</v>
      </c>
      <c r="M357" s="5"/>
      <c r="N357" s="6" t="s">
        <v>186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473</v>
      </c>
      <c r="B358" s="6" t="str">
        <f>IF(A358="","",VLOOKUP(A358,DB!A:B,2,0))</f>
        <v>RTS Zeus III</v>
      </c>
      <c r="C358" s="5"/>
      <c r="D358" s="6"/>
      <c r="E358" s="6" t="s">
        <v>516</v>
      </c>
      <c r="F358" s="6" t="s">
        <v>197</v>
      </c>
      <c r="G358" s="6" t="s">
        <v>515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517</v>
      </c>
      <c r="B1" s="17" t="s">
        <v>518</v>
      </c>
      <c r="C1" s="18" t="s">
        <v>519</v>
      </c>
      <c r="D1" s="19" t="s">
        <v>520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521</v>
      </c>
      <c r="B2" s="7" t="s">
        <v>522</v>
      </c>
      <c r="C2" s="20" t="s">
        <v>523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524</v>
      </c>
      <c r="C3" s="20" t="s">
        <v>525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526</v>
      </c>
      <c r="C4" s="20" t="s">
        <v>527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528</v>
      </c>
      <c r="C5" s="20" t="s">
        <v>529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530</v>
      </c>
      <c r="C6" s="21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531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532</v>
      </c>
      <c r="B9" s="7" t="s">
        <v>533</v>
      </c>
      <c r="C9" s="20" t="s">
        <v>534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535</v>
      </c>
      <c r="C10" s="20" t="s">
        <v>536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537</v>
      </c>
      <c r="C11" s="20" t="s">
        <v>538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539</v>
      </c>
      <c r="C12" s="20" t="s">
        <v>540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417</v>
      </c>
      <c r="B14" s="11" t="s">
        <v>541</v>
      </c>
      <c r="C14" s="21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422</v>
      </c>
      <c r="B15" s="7" t="s">
        <v>542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543</v>
      </c>
      <c r="C16" s="20" t="s">
        <v>544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545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546</v>
      </c>
      <c r="C18" s="21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547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547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1" t="s">
        <v>548</v>
      </c>
      <c r="C22" s="21" t="s">
        <v>549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374</v>
      </c>
      <c r="B23" s="11" t="s">
        <v>550</v>
      </c>
      <c r="C23" s="21" t="s">
        <v>551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552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553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554</v>
      </c>
      <c r="B27" s="7" t="s">
        <v>555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556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556</v>
      </c>
      <c r="C29" s="21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557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558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559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555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559</v>
      </c>
      <c r="C34" s="20" t="s">
        <v>560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561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562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563</v>
      </c>
      <c r="C37" s="21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563</v>
      </c>
      <c r="C38" s="20" t="s">
        <v>564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565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566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567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461</v>
      </c>
      <c r="B43" s="11" t="s">
        <v>568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569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570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571</v>
      </c>
      <c r="C46" s="20" t="s">
        <v>572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573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574</v>
      </c>
      <c r="B49" s="7" t="s">
        <v>575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576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577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578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579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580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581</v>
      </c>
      <c r="C55" s="21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384</v>
      </c>
      <c r="B56" s="7" t="s">
        <v>582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583</v>
      </c>
      <c r="C58" s="21" t="s">
        <v>584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585</v>
      </c>
      <c r="C59" s="21" t="s">
        <v>586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587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444</v>
      </c>
      <c r="B63" s="6" t="s">
        <v>588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589</v>
      </c>
      <c r="B64" s="11" t="s">
        <v>590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449</v>
      </c>
      <c r="B65" s="11" t="s">
        <v>591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592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11" t="s">
        <v>593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593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455</v>
      </c>
      <c r="B69" s="6" t="s">
        <v>594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447</v>
      </c>
      <c r="B70" s="6" t="s">
        <v>595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596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559</v>
      </c>
      <c r="C72" s="20" t="s">
        <v>597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454</v>
      </c>
      <c r="B73" s="11" t="s">
        <v>598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599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600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601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602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603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483</v>
      </c>
      <c r="B82" s="11" t="s">
        <v>604</v>
      </c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346</v>
      </c>
      <c r="B84" s="7" t="s">
        <v>605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354</v>
      </c>
      <c r="B85" s="7" t="s">
        <v>606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350</v>
      </c>
      <c r="B86" s="7" t="s">
        <v>607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377</v>
      </c>
      <c r="B87" s="7" t="s">
        <v>608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609</v>
      </c>
      <c r="B88" s="7" t="s">
        <v>610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380</v>
      </c>
      <c r="B89" s="7" t="s">
        <v>611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612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351</v>
      </c>
      <c r="B91" s="7" t="s">
        <v>613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382</v>
      </c>
      <c r="B92" s="7" t="s">
        <v>614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615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376</v>
      </c>
      <c r="B94" s="11" t="s">
        <v>616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495</v>
      </c>
      <c r="B95" s="11" t="s">
        <v>617</v>
      </c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498</v>
      </c>
      <c r="B96" s="11" t="s">
        <v>618</v>
      </c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501</v>
      </c>
      <c r="B97" s="11" t="s">
        <v>619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504</v>
      </c>
      <c r="B98" s="11" t="s">
        <v>620</v>
      </c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621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181</v>
      </c>
      <c r="B102" s="11" t="s">
        <v>622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345</v>
      </c>
      <c r="B106" s="6" t="s">
        <v>623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344</v>
      </c>
      <c r="B107" s="6" t="s">
        <v>624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342</v>
      </c>
      <c r="B108" s="6" t="s">
        <v>625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464</v>
      </c>
      <c r="B109" s="6" t="s">
        <v>626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507</v>
      </c>
      <c r="B110" s="6" t="s">
        <v>627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440</v>
      </c>
      <c r="B112" s="6" t="s">
        <v>628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629</v>
      </c>
      <c r="B113" s="6" t="s">
        <v>630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631</v>
      </c>
      <c r="B114" s="6" t="s">
        <v>632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633</v>
      </c>
      <c r="B115" s="6" t="s">
        <v>634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635</v>
      </c>
      <c r="B117" s="6" t="s">
        <v>636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637</v>
      </c>
      <c r="B118" s="6" t="s">
        <v>638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639</v>
      </c>
      <c r="B119" s="6" t="s">
        <v>640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641</v>
      </c>
      <c r="B120" s="6" t="s">
        <v>642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473</v>
      </c>
      <c r="B122" s="6" t="s">
        <v>643</v>
      </c>
      <c r="C122" s="6" t="s">
        <v>644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510</v>
      </c>
      <c r="B123" s="6" t="s">
        <v>645</v>
      </c>
      <c r="C123" s="6" t="s">
        <v>181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646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647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)"),"D.10")</f>
        <v>D.10</v>
      </c>
      <c r="B3" s="5" t="str">
        <f>IFERROR(__xludf.DUMMYFUNCTION("""COMPUTED_VALUE"""),"tc electronic Finalizer")</f>
        <v>tc electronic Finalizer</v>
      </c>
      <c r="C3" s="5"/>
      <c r="D3" s="5"/>
      <c r="E3" s="5" t="str">
        <f>IFERROR(__xludf.DUMMYFUNCTION("""COMPUTED_VALUE"""),"AES/EBU Out")</f>
        <v>AES/EBU Out</v>
      </c>
      <c r="F3" s="5"/>
      <c r="G3" s="5"/>
      <c r="H3" s="5" t="str">
        <f>IFERROR(__xludf.DUMMYFUNCTION("""COMPUTED_VALUE"""),"D.13")</f>
        <v>D.13</v>
      </c>
      <c r="I3" s="5" t="str">
        <f>IFERROR(__xludf.DUMMYFUNCTION("""COMPUTED_VALUE"""),"AJA FS2")</f>
        <v>AJA FS2</v>
      </c>
      <c r="J3" s="5"/>
      <c r="K3" s="5"/>
      <c r="L3" s="5" t="str">
        <f>IFERROR(__xludf.DUMMYFUNCTION("""COMPUTED_VALUE"""),"AES/EBU In")</f>
        <v>AES/EBU In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IFERROR(__xludf.DUMMYFUNCTION("""COMPUTED_VALUE"""),"D.10")</f>
        <v>D.10</v>
      </c>
      <c r="B4" s="5" t="str">
        <f>IFERROR(__xludf.DUMMYFUNCTION("""COMPUTED_VALUE"""),"tc electronic Finalizer")</f>
        <v>tc electronic Finalizer</v>
      </c>
      <c r="C4" s="5"/>
      <c r="D4" s="5"/>
      <c r="E4" s="5" t="str">
        <f>IFERROR(__xludf.DUMMYFUNCTION("""COMPUTED_VALUE"""),"Bal Out L")</f>
        <v>Bal Out L</v>
      </c>
      <c r="F4" s="5"/>
      <c r="G4" s="5"/>
      <c r="H4" s="5" t="str">
        <f>IFERROR(__xludf.DUMMYFUNCTION("""COMPUTED_VALUE"""),"N/C")</f>
        <v>N/C</v>
      </c>
      <c r="I4" s="5"/>
      <c r="J4" s="5"/>
      <c r="K4" s="5"/>
      <c r="L4" s="5"/>
      <c r="M4" s="5"/>
      <c r="N4" s="5" t="str">
        <f>IFERROR(__xludf.DUMMYFUNCTION("""COMPUTED_VALUE"""),"Cable suelto en Rack D")</f>
        <v>Cable suelto en Rack D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IFERROR(__xludf.DUMMYFUNCTION("""COMPUTED_VALUE"""),"D.10")</f>
        <v>D.10</v>
      </c>
      <c r="B5" s="5" t="str">
        <f>IFERROR(__xludf.DUMMYFUNCTION("""COMPUTED_VALUE"""),"tc electronic Finalizer")</f>
        <v>tc electronic Finalizer</v>
      </c>
      <c r="C5" s="5"/>
      <c r="D5" s="5"/>
      <c r="E5" s="5" t="str">
        <f>IFERROR(__xludf.DUMMYFUNCTION("""COMPUTED_VALUE"""),"Bal Out R")</f>
        <v>Bal Out R</v>
      </c>
      <c r="F5" s="5"/>
      <c r="G5" s="5"/>
      <c r="H5" s="5" t="str">
        <f>IFERROR(__xludf.DUMMYFUNCTION("""COMPUTED_VALUE"""),"N/C")</f>
        <v>N/C</v>
      </c>
      <c r="I5" s="5"/>
      <c r="J5" s="5"/>
      <c r="K5" s="5"/>
      <c r="L5" s="5"/>
      <c r="M5" s="5"/>
      <c r="N5" s="5" t="str">
        <f>IFERROR(__xludf.DUMMYFUNCTION("""COMPUTED_VALUE"""),"Cable suelto en Rack D")</f>
        <v>Cable suelto en Rack D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