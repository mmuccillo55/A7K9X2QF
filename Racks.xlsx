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<sst xmlns="http://schemas.openxmlformats.org/spreadsheetml/2006/main" count="1911" uniqueCount="545">
  <si>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</si>
  <si>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</si>
  <si>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</si>
  <si>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</si>
  <si>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</si>
  <si>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</si>
  <si>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</si>
  <si>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</si>
  <si>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</si>
  <si>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</si>
  <si>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</si>
  <si>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</si>
  <si>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</si>
  <si>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</si>
  <si>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</si>
  <si>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</si>
  <si>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</si>
  <si>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</si>
  <si>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</si>
  <si>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</si>
  <si>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</si>
  <si>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</si>
  <si>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</si>
  <si>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</si>
  <si>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</si>
  <si>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</si>
  <si>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</si>
  <si>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</si>
  <si>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</si>
  <si>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</si>
  <si>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</si>
  <si>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</si>
  <si>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</si>
  <si>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</si>
  <si>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</si>
  <si>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</si>
  <si>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</si>
  <si>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</si>
  <si>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</si>
  <si>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</si>
  <si>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</si>
  <si>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</si>
  <si>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</si>
  <si>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</si>
  <si>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</si>
  <si>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</si>
  <si>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</si>
  <si>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</si>
  <si>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</si>
  <si>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</si>
  <si>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</si>
  <si>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</si>
  <si>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</si>
  <si>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</si>
  <si>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</si>
  <si>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</si>
  <si>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</si>
  <si>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</si>
  <si>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</si>
  <si>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</si>
  <si>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</si>
  <si>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</si>
  <si>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</si>
  <si>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</si>
  <si>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</si>
  <si>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</si>
  <si>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</si>
  <si>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</si>
  <si>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</si>
  <si>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</si>
  <si>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</si>
  <si>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</si>
  <si>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</si>
  <si>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</si>
  <si>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</si>
  <si>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</si>
  <si>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</si>
  <si>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</si>
  <si>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</si>
  <si>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</si>
  <si>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</si>
  <si>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</si>
  <si>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</si>
  <si>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</si>
  <si>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</si>
  <si>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</si>
  <si>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</si>
  <si>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</si>
  <si>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</si>
  <si>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</si>
  <si>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</si>
  <si>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</si>
  <si>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</si>
  <si>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</si>
  <si>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</si>
  <si>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</si>
  <si>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</si>
  <si>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</si>
  <si>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</si>
  <si>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</si>
  <si>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</si>
  <si>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</si>
  <si>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</si>
  <si>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</si>
  <si>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</si>
  <si>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</si>
  <si>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</si>
  <si>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</si>
  <si>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</si>
  <si>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</si>
  <si>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</si>
  <si>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</si>
  <si>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</si>
  <si>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</si>
  <si>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</si>
  <si>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</si>
  <si>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</si>
  <si>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</si>
  <si>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</si>
  <si>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</si>
  <si>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</si>
  <si>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</si>
  <si>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</si>
  <si>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</si>
  <si>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</si>
  <si>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</si>
  <si>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</si>
  <si>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</si>
  <si>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</si>
  <si>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</si>
  <si>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</si>
  <si>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</si>
  <si>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</si>
  <si>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</si>
  <si>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</si>
  <si>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</si>
  <si>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</si>
  <si>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</si>
  <si>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</si>
  <si>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</si>
  <si>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</si>
  <si>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</si>
  <si>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</si>
  <si>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</si>
  <si>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</si>
  <si>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</si>
  <si>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</si>
  <si>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</si>
  <si>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</si>
  <si>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</si>
  <si>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</si>
  <si>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</si>
  <si>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</si>
  <si>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</si>
  <si>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</si>
  <si>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</si>
  <si>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</si>
  <si>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</si>
  <si>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</si>
  <si>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</si>
  <si>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</si>
  <si>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</si>
  <si>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</si>
  <si>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</si>
  <si>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</si>
  <si>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</si>
  <si>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</si>
  <si>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</si>
  <si>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</si>
  <si>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</si>
  <si>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</si>
  <si>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</si>
  <si>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</si>
  <si>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</si>
  <si>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</si>
  <si>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</si>
  <si>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</si>
  <si>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</si>
  <si>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</si>
  <si>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</si>
  <si>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</si>
  <si>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</si>
  <si>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</si>
  <si>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</si>
  <si>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</si>
  <si>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</si>
  <si>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</si>
  <si>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</si>
  <si>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</si>
  <si>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</si>
  <si>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</si>
  <si>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</si>
  <si>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</si>
  <si>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</si>
  <si>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</si>
  <si>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</si>
  <si>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</si>
  <si>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</si>
  <si>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</si>
  <si>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</si>
  <si>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</si>
  <si>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</si>
  <si>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</si>
  <si>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</si>
  <si>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</si>
  <si>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</si>
  <si>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</si>
  <si>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</si>
  <si>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</si>
  <si>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</si>
  <si>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</si>
  <si>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</si>
  <si>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</si>
  <si>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</si>
  <si>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</si>
  <si>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</si>
  <si>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</si>
  <si>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</si>
  <si>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</si>
  <si>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</si>
  <si>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</si>
  <si>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</si>
  <si>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</si>
  <si>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</si>
  <si>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</si>
  <si>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</si>
  <si>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</si>
  <si>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</si>
  <si>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</si>
  <si>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</si>
  <si>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</si>
  <si>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</si>
  <si>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</si>
  <si>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</si>
  <si>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</si>
  <si>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</si>
  <si>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</si>
  <si>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</si>
  <si>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</si>
  <si>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</si>
  <si>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</si>
  <si>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</si>
  <si>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</si>
  <si>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</si>
  <si>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</si>
  <si>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</si>
  <si>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</si>
  <si>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</si>
  <si>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</si>
  <si>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</si>
  <si>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</si>
  <si>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</si>
  <si>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</si>
  <si>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</si>
  <si>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</si>
  <si>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</si>
  <si>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</si>
  <si>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</si>
  <si>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</si>
  <si>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</si>
  <si>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</si>
  <si>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</si>
  <si>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</si>
  <si>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</si>
  <si>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</si>
  <si>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</si>
  <si>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</si>
  <si>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</si>
  <si>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</si>
  <si>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</si>
  <si>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</si>
  <si>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</si>
  <si>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</si>
  <si>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</si>
  <si>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</si>
  <si>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</si>
  <si>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</si>
  <si>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</si>
  <si>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</si>
  <si>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</si>
  <si>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</si>
  <si>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</si>
  <si>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</si>
  <si>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</si>
  <si>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</si>
  <si>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</si>
  <si>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</si>
  <si>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</si>
  <si>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</si>
  <si>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</si>
  <si>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</si>
  <si>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</si>
  <si>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</si>
  <si>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</si>
  <si>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</si>
  <si>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</si>
  <si>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</si>
  <si>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</si>
  <si>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</si>
  <si>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</si>
  <si>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</si>
  <si>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</si>
  <si>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</si>
  <si>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</si>
  <si>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</si>
  <si>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</si>
  <si>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</si>
  <si>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</si>
  <si>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</si>
  <si>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</si>
  <si>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</si>
  <si>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</si>
  <si>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</si>
  <si>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</si>
  <si>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</si>
  <si>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</si>
  <si>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</si>
  <si>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</si>
  <si>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</si>
  <si>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</si>
  <si>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</si>
  <si>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</si>
  <si>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</si>
  <si>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</si>
  <si>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</si>
  <si>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</si>
  <si>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</si>
  <si>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</si>
  <si>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</si>
  <si>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</si>
  <si>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</si>
  <si>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</si>
  <si>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</si>
  <si>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</si>
  <si>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</si>
  <si>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</si>
  <si>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</si>
  <si>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</si>
  <si>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</si>
  <si>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</si>
  <si>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</si>
  <si>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</si>
  <si>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</si>
  <si>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</si>
  <si>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</si>
  <si>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</si>
  <si>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</si>
  <si>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</si>
  <si>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</si>
  <si>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</si>
  <si>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</si>
  <si>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</si>
  <si>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</si>
  <si>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</si>
  <si>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</si>
  <si>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</si>
  <si>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</si>
  <si>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</si>
  <si>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</si>
  <si>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</si>
  <si>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</si>
  <si>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</si>
  <si>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</si>
  <si>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</si>
  <si>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</si>
  <si>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</si>
  <si>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</si>
  <si>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</si>
  <si>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</si>
  <si>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</si>
  <si>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</si>
  <si>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</si>
  <si>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</si>
  <si>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</si>
  <si>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</si>
  <si>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</si>
  <si>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</si>
  <si>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</si>
  <si>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</si>
  <si>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</si>
  <si>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</si>
  <si>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</si>
  <si>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</si>
  <si>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</si>
  <si>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</si>
  <si>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</si>
  <si>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</si>
  <si>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</si>
  <si>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</si>
  <si>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</si>
  <si>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</si>
  <si>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</si>
  <si>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</si>
  <si>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</si>
  <si>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</si>
  <si>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</si>
  <si>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</si>
  <si>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</si>
  <si>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</si>
  <si>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</si>
  <si>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</si>
  <si>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</si>
  <si>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</si>
  <si>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</si>
  <si>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</si>
  <si>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</si>
  <si>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</si>
  <si>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</si>
  <si>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</si>
  <si>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</si>
  <si>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</si>
  <si>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</si>
  <si>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</si>
  <si>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</si>
  <si>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</si>
  <si>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</si>
  <si>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</si>
  <si>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</si>
  <si>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</si>
  <si>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</si>
  <si>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</si>
  <si>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</si>
  <si>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</si>
  <si>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</si>
  <si>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</si>
  <si>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</si>
  <si>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</si>
  <si>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</si>
  <si>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</si>
  <si>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</si>
  <si>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</si>
  <si>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</si>
  <si>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</si>
  <si>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</si>
  <si>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</si>
  <si>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</si>
  <si>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</si>
  <si>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</si>
  <si>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</si>
  <si>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</si>
  <si>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</si>
  <si>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</si>
  <si>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</si>
  <si>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</si>
  <si>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</si>
  <si>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</si>
  <si>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</si>
  <si>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</si>
  <si>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</si>
  <si>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</si>
  <si>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</si>
  <si>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</si>
  <si>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</si>
  <si>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</si>
  <si>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</si>
  <si>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</si>
  <si>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</si>
  <si>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</si>
  <si>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</si>
  <si>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</si>
  <si>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</si>
  <si>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</si>
  <si>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</si>
  <si>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</si>
  <si>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</si>
  <si>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</si>
  <si>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</si>
  <si>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</si>
  <si>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</si>
  <si>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</si>
  <si>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</si>
  <si>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</si>
  <si>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</si>
  <si>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</si>
  <si>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</si>
  <si>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</si>
  <si>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</si>
  <si>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</si>
  <si>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</si>
  <si>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</si>
  <si>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</si>
  <si>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</si>
  <si>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</si>
  <si>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</si>
  <si>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</si>
  <si>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</si>
  <si>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</si>
  <si>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</si>
  <si>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</si>
  <si>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</si>
  <si>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</si>
  <si>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</si>
  <si>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</si>
  <si>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</si>
  <si>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</si>
  <si>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</si>
  <si>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</si>
  <si>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</si>
  <si>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</si>
  <si>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</si>
  <si>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</si>
  <si>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</si>
  <si>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</si>
  <si>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</si>
  <si>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</si>
  <si>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</si>
  <si>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</si>
  <si>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</si>
  <si>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</si>
  <si>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</si>
  <si>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</si>
  <si>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</si>
  <si>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</si>
  <si>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</si>
  <si>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</si>
  <si>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</si>
  <si>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</si>
  <si>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</si>
  <si>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</si>
  <si>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</si>
  <si>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</si>
  <si>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</si>
  <si>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</si>
  <si>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</si>
  <si>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</si>
  <si>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</si>
  <si>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</si>
  <si>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</si>
  <si>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</si>
  <si>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</si>
  <si>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</si>
  <si>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</si>
  <si>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</si>
  <si>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</si>
  <si>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</si>
  <si>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</si>
  <si>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</si>
  <si>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</si>
  <si>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</si>
  <si>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</si>
  <si>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</si>
  <si>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</si>
  <si>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</si>
  <si>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</si>
  <si>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decklink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</si>
</sst>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6" t="s">
        <v>243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243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243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243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243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243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243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243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371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371</v>
      </c>
      <c r="E211" s="6" t="s">
        <v>372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371</v>
      </c>
      <c r="E212" s="6" t="s">
        <v>373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371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371</v>
      </c>
      <c r="E214" s="6" t="s">
        <v>372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371</v>
      </c>
      <c r="E215" s="6" t="s">
        <v>373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371</v>
      </c>
      <c r="E216" s="6" t="s">
        <v>372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371</v>
      </c>
      <c r="E218" s="6" t="s">
        <v>373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366</v>
      </c>
      <c r="F219" s="6" t="s">
        <v>243</v>
      </c>
      <c r="G219" s="6" t="s">
        <v>319</v>
      </c>
      <c r="H219" s="6" t="s">
        <v>374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375</v>
      </c>
      <c r="F220" s="6" t="s">
        <v>243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361</v>
      </c>
      <c r="F221" s="6" t="s">
        <v>243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363</v>
      </c>
      <c r="F222" s="6" t="s">
        <v>243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367</v>
      </c>
      <c r="F223" s="6" t="s">
        <v>243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364</v>
      </c>
      <c r="F224" s="6" t="s">
        <v>243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368</v>
      </c>
      <c r="F225" s="6" t="s">
        <v>243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365</v>
      </c>
      <c r="F226" s="6" t="s">
        <v>243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376</v>
      </c>
      <c r="B227" s="6" t="str">
        <f>IF(A227="","",VLOOKUP(A227,DB!A:B,2,0))</f>
        <v>Raspberry PI 1</v>
      </c>
      <c r="C227" s="5"/>
      <c r="D227" s="6"/>
      <c r="E227" s="6" t="s">
        <v>259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242</v>
      </c>
      <c r="L227" s="6" t="s">
        <v>244</v>
      </c>
      <c r="M227" s="5"/>
      <c r="N227" s="6" t="s">
        <v>377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378</v>
      </c>
      <c r="B228" s="6" t="str">
        <f>IF(A228="","",VLOOKUP(A228,DB!A:B,2,0))</f>
        <v>Raspberry PI 2</v>
      </c>
      <c r="C228" s="5"/>
      <c r="D228" s="6"/>
      <c r="E228" s="6" t="s">
        <v>259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242</v>
      </c>
      <c r="L228" s="6" t="s">
        <v>244</v>
      </c>
      <c r="M228" s="5"/>
      <c r="N228" s="6" t="s">
        <v>379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380</v>
      </c>
      <c r="B229" s="6" t="str">
        <f>IF(A229="","",VLOOKUP(A229,DB!A:B,2,0))</f>
        <v>Deco Direccion</v>
      </c>
      <c r="C229" s="5"/>
      <c r="D229" s="5"/>
      <c r="E229" s="6" t="s">
        <v>259</v>
      </c>
      <c r="F229" s="5"/>
      <c r="G229" s="5"/>
      <c r="H229" s="6" t="s">
        <v>263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262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381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382</v>
      </c>
      <c r="F230" s="5"/>
      <c r="G230" s="5"/>
      <c r="H230" s="6" t="s">
        <v>263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278</v>
      </c>
      <c r="B231" s="6" t="str">
        <f>IF(A231="","",VLOOKUP(A231,DB!A:B,2,0))</f>
        <v>Sony HXCU-100 Cam 1</v>
      </c>
      <c r="C231" s="5"/>
      <c r="D231" s="5"/>
      <c r="E231" s="6" t="s">
        <v>202</v>
      </c>
      <c r="F231" s="5"/>
      <c r="G231" s="5"/>
      <c r="H231" s="6" t="s">
        <v>252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278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281</v>
      </c>
      <c r="B233" s="6" t="str">
        <f>IF(A233="","",VLOOKUP(A233,DB!A:B,2,0))</f>
        <v>Sony HXCU-100 Cam 2</v>
      </c>
      <c r="C233" s="5"/>
      <c r="D233" s="5"/>
      <c r="E233" s="6" t="s">
        <v>202</v>
      </c>
      <c r="F233" s="5"/>
      <c r="G233" s="5"/>
      <c r="H233" s="6" t="s">
        <v>252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281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284</v>
      </c>
      <c r="B235" s="6" t="str">
        <f>IF(A235="","",VLOOKUP(A235,DB!A:B,2,0))</f>
        <v>Sony HXCU-100 Cam 3</v>
      </c>
      <c r="C235" s="5"/>
      <c r="D235" s="5"/>
      <c r="E235" s="6" t="s">
        <v>202</v>
      </c>
      <c r="F235" s="5"/>
      <c r="G235" s="5"/>
      <c r="H235" s="6" t="s">
        <v>252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284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287</v>
      </c>
      <c r="B237" s="6" t="str">
        <f>IF(A237="","",VLOOKUP(A237,DB!A:B,2,0))</f>
        <v>Sony HXCU-100 Cam 4</v>
      </c>
      <c r="C237" s="5"/>
      <c r="D237" s="5"/>
      <c r="E237" s="6" t="s">
        <v>202</v>
      </c>
      <c r="F237" s="5"/>
      <c r="G237" s="5"/>
      <c r="H237" s="6" t="s">
        <v>252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287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383</v>
      </c>
      <c r="F239" s="5"/>
      <c r="G239" s="5"/>
      <c r="H239" s="6" t="s">
        <v>384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385</v>
      </c>
      <c r="F240" s="5"/>
      <c r="G240" s="5"/>
      <c r="H240" s="6" t="s">
        <v>386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387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388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389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388</v>
      </c>
      <c r="B242" s="6" t="str">
        <f>IF(A242="","",VLOOKUP(A242,DB!A:B,2,0))</f>
        <v>AJA HD5DA</v>
      </c>
      <c r="C242" s="5"/>
      <c r="D242" s="5"/>
      <c r="E242" s="6" t="s">
        <v>199</v>
      </c>
      <c r="F242" s="6" t="s">
        <v>243</v>
      </c>
      <c r="G242" s="6" t="s">
        <v>107</v>
      </c>
      <c r="H242" s="6" t="s">
        <v>278</v>
      </c>
      <c r="I242" s="5" t="str">
        <f>IF(H242="","",VLOOKUP(H242,DB!A:B,2,0))</f>
        <v>Sony HXCU-100 Cam 1</v>
      </c>
      <c r="J242" s="5"/>
      <c r="K242" s="6"/>
      <c r="L242" s="6" t="s">
        <v>390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388</v>
      </c>
      <c r="B243" s="6" t="str">
        <f>IF(A243="","",VLOOKUP(A243,DB!A:B,2,0))</f>
        <v>AJA HD5DA</v>
      </c>
      <c r="C243" s="5"/>
      <c r="D243" s="5"/>
      <c r="E243" s="6" t="s">
        <v>202</v>
      </c>
      <c r="F243" s="6" t="s">
        <v>243</v>
      </c>
      <c r="G243" s="6" t="s">
        <v>107</v>
      </c>
      <c r="H243" s="6" t="s">
        <v>281</v>
      </c>
      <c r="I243" s="5" t="str">
        <f>IF(H243="","",VLOOKUP(H243,DB!A:B,2,0))</f>
        <v>Sony HXCU-100 Cam 2</v>
      </c>
      <c r="J243" s="5"/>
      <c r="K243" s="6"/>
      <c r="L243" s="6" t="s">
        <v>390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388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243</v>
      </c>
      <c r="G244" s="6" t="s">
        <v>107</v>
      </c>
      <c r="H244" s="6" t="s">
        <v>284</v>
      </c>
      <c r="I244" s="5" t="str">
        <f>IF(H244="","",VLOOKUP(H244,DB!A:B,2,0))</f>
        <v>Sony HXCU-100 Cam 3</v>
      </c>
      <c r="J244" s="5"/>
      <c r="K244" s="6"/>
      <c r="L244" s="6" t="s">
        <v>390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388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243</v>
      </c>
      <c r="G245" s="6" t="s">
        <v>107</v>
      </c>
      <c r="H245" s="6" t="s">
        <v>287</v>
      </c>
      <c r="I245" s="5" t="str">
        <f>IF(H245="","",VLOOKUP(H245,DB!A:B,2,0))</f>
        <v>Sony HXCU-100 Cam 4</v>
      </c>
      <c r="J245" s="5"/>
      <c r="K245" s="6"/>
      <c r="L245" s="6" t="s">
        <v>390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391</v>
      </c>
      <c r="B246" s="6" t="str">
        <f>IF(A246="","",VLOOKUP(A246,DB!A:B,2,0))</f>
        <v>Patch Estudio</v>
      </c>
      <c r="C246" s="5"/>
      <c r="D246" s="5"/>
      <c r="E246" s="6" t="s">
        <v>392</v>
      </c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263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263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263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263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263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263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263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263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242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224</v>
      </c>
      <c r="B263" s="6" t="str">
        <f>IF(A263="","",VLOOKUP(A263,DB!A:B,2,0))</f>
        <v>AJA FS2</v>
      </c>
      <c r="C263" s="5"/>
      <c r="D263" s="6"/>
      <c r="E263" s="6" t="s">
        <v>393</v>
      </c>
      <c r="F263" s="5"/>
      <c r="G263" s="5"/>
      <c r="H263" s="6" t="s">
        <v>394</v>
      </c>
      <c r="I263" s="5" t="str">
        <f>IF(H263="","",VLOOKUP(H263,DB!A:B,2,0))</f>
        <v>Digiwave DSC-131</v>
      </c>
      <c r="J263" s="6"/>
      <c r="K263" s="6"/>
      <c r="L263" s="6" t="s">
        <v>395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394</v>
      </c>
      <c r="B264" s="6" t="str">
        <f>IF(A264="","",VLOOKUP(A264,DB!A:B,2,0))</f>
        <v>Digiwave DSC-131</v>
      </c>
      <c r="C264" s="5"/>
      <c r="D264" s="6"/>
      <c r="E264" s="6" t="s">
        <v>396</v>
      </c>
      <c r="F264" s="5"/>
      <c r="G264" s="5"/>
      <c r="H264" s="6" t="s">
        <v>397</v>
      </c>
      <c r="I264" s="5" t="str">
        <f>IF(H264="","",VLOOKUP(H264,DB!A:B,2,0))</f>
        <v>vidicraft vst2110</v>
      </c>
      <c r="J264" s="6"/>
      <c r="K264" s="6"/>
      <c r="L264" s="6" t="s">
        <v>398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tc electronic Finalizer</v>
      </c>
      <c r="C265" s="5"/>
      <c r="D265" s="6"/>
      <c r="E265" s="6" t="s">
        <v>400</v>
      </c>
      <c r="F265" s="5"/>
      <c r="G265" s="5"/>
      <c r="H265" s="6" t="s">
        <v>224</v>
      </c>
      <c r="I265" s="5" t="str">
        <f>IF(H265="","",VLOOKUP(H265,DB!A:B,2,0))</f>
        <v>AJA FS2</v>
      </c>
      <c r="J265" s="6"/>
      <c r="K265" s="6"/>
      <c r="L265" s="6" t="s">
        <v>401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tc electronic Finalizer</v>
      </c>
      <c r="C266" s="5"/>
      <c r="D266" s="6"/>
      <c r="E266" s="6" t="s">
        <v>402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tc electronic Finalizer</v>
      </c>
      <c r="C267" s="5"/>
      <c r="D267" s="6"/>
      <c r="E267" s="6" t="s">
        <v>403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240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404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243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404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243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404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243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405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404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243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405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404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243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405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404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243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405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404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243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406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404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243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407</v>
      </c>
      <c r="F276" s="5"/>
      <c r="G276" s="5"/>
      <c r="H276" s="6" t="s">
        <v>354</v>
      </c>
      <c r="I276" s="5" t="str">
        <f>IF(H276="","",VLOOKUP(H276,DB!A:B,2,0))</f>
        <v>Yamaha QL5</v>
      </c>
      <c r="J276" s="6"/>
      <c r="K276" s="6"/>
      <c r="L276" s="6" t="s">
        <v>408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204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409</v>
      </c>
      <c r="F278" s="6" t="s">
        <v>243</v>
      </c>
      <c r="G278" s="6" t="s">
        <v>319</v>
      </c>
      <c r="H278" s="6" t="s">
        <v>204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410</v>
      </c>
      <c r="F279" s="6" t="s">
        <v>243</v>
      </c>
      <c r="G279" s="6" t="s">
        <v>319</v>
      </c>
      <c r="H279" s="6" t="s">
        <v>204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204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411</v>
      </c>
      <c r="F280" s="6" t="s">
        <v>243</v>
      </c>
      <c r="G280" s="6" t="s">
        <v>319</v>
      </c>
      <c r="H280" s="6" t="s">
        <v>204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204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412</v>
      </c>
      <c r="F281" s="6" t="s">
        <v>243</v>
      </c>
      <c r="G281" s="6" t="s">
        <v>319</v>
      </c>
      <c r="H281" s="6" t="s">
        <v>204</v>
      </c>
      <c r="I281" s="5" t="str">
        <f>IF(H281="","",VLOOKUP(H281,DB!A:B,2,0))</f>
        <v>openGear X</v>
      </c>
      <c r="J281" s="6">
        <v>3.0</v>
      </c>
      <c r="K281" s="14" t="s">
        <v>205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204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413</v>
      </c>
      <c r="F282" s="6" t="s">
        <v>243</v>
      </c>
      <c r="G282" s="6" t="s">
        <v>319</v>
      </c>
      <c r="H282" s="6" t="s">
        <v>204</v>
      </c>
      <c r="I282" s="5" t="str">
        <f>IF(H282="","",VLOOKUP(H282,DB!A:B,2,0))</f>
        <v>openGear X</v>
      </c>
      <c r="J282" s="6">
        <v>2.0</v>
      </c>
      <c r="K282" s="14" t="s">
        <v>205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204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414</v>
      </c>
      <c r="F283" s="6" t="s">
        <v>243</v>
      </c>
      <c r="G283" s="6" t="s">
        <v>319</v>
      </c>
      <c r="H283" s="6" t="s">
        <v>204</v>
      </c>
      <c r="I283" s="5" t="str">
        <f>IF(H283="","",VLOOKUP(H283,DB!A:B,2,0))</f>
        <v>openGear X</v>
      </c>
      <c r="J283" s="6">
        <v>5.0</v>
      </c>
      <c r="K283" s="14" t="s">
        <v>205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204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415</v>
      </c>
      <c r="F284" s="6" t="s">
        <v>243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204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416</v>
      </c>
      <c r="F285" s="6" t="s">
        <v>243</v>
      </c>
      <c r="G285" s="6" t="s">
        <v>319</v>
      </c>
      <c r="H285" s="6" t="s">
        <v>349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204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417</v>
      </c>
      <c r="F286" s="6" t="s">
        <v>243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213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418</v>
      </c>
      <c r="B287" s="6" t="str">
        <f>IF(A287="","",VLOOKUP(A287,DB!A:B,2,0))</f>
        <v>Leader Sync Generator</v>
      </c>
      <c r="C287" s="5"/>
      <c r="D287" s="6"/>
      <c r="E287" s="6" t="s">
        <v>419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420</v>
      </c>
      <c r="L287" s="6" t="s">
        <v>405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418</v>
      </c>
      <c r="B288" s="6" t="str">
        <f>IF(A288="","",VLOOKUP(A288,DB!A:B,2,0))</f>
        <v>Leader Sync Generator</v>
      </c>
      <c r="C288" s="5"/>
      <c r="D288" s="6"/>
      <c r="E288" s="6" t="s">
        <v>421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405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418</v>
      </c>
      <c r="B289" s="6" t="str">
        <f>IF(A289="","",VLOOKUP(A289,DB!A:B,2,0))</f>
        <v>Leader Sync Generator</v>
      </c>
      <c r="C289" s="5"/>
      <c r="D289" s="6"/>
      <c r="E289" s="6" t="s">
        <v>422</v>
      </c>
      <c r="F289" s="5"/>
      <c r="G289" s="5"/>
      <c r="H289" s="6" t="s">
        <v>423</v>
      </c>
      <c r="I289" s="5" t="str">
        <f>IF(H289="","",VLOOKUP(H289,DB!A:B,2,0))</f>
        <v>Miranda Densite3</v>
      </c>
      <c r="J289" s="6">
        <v>7.0</v>
      </c>
      <c r="K289" s="6" t="s">
        <v>424</v>
      </c>
      <c r="L289" s="6" t="s">
        <v>398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418</v>
      </c>
      <c r="B290" s="6" t="str">
        <f>IF(A290="","",VLOOKUP(A290,DB!A:B,2,0))</f>
        <v>Leader Sync Generator</v>
      </c>
      <c r="C290" s="5"/>
      <c r="D290" s="6"/>
      <c r="E290" s="6" t="s">
        <v>425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418</v>
      </c>
      <c r="B291" s="6" t="str">
        <f>IF(A291="","",VLOOKUP(A291,DB!A:B,2,0))</f>
        <v>Leader Sync Generator</v>
      </c>
      <c r="C291" s="5"/>
      <c r="D291" s="6"/>
      <c r="E291" s="6" t="s">
        <v>426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418</v>
      </c>
      <c r="B292" s="6" t="str">
        <f>IF(A292="","",VLOOKUP(A292,DB!A:B,2,0))</f>
        <v>Leader Sync Generator</v>
      </c>
      <c r="C292" s="5"/>
      <c r="D292" s="6"/>
      <c r="E292" s="6" t="s">
        <v>427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423</v>
      </c>
      <c r="B293" s="6" t="str">
        <f>IF(A293="","",VLOOKUP(A293,DB!A:B,2,0))</f>
        <v>Miranda Densite3</v>
      </c>
      <c r="C293" s="6">
        <v>7.0</v>
      </c>
      <c r="D293" s="6" t="s">
        <v>424</v>
      </c>
      <c r="E293" s="6" t="s">
        <v>428</v>
      </c>
      <c r="F293" s="6" t="s">
        <v>243</v>
      </c>
      <c r="G293" s="6" t="s">
        <v>398</v>
      </c>
      <c r="H293" s="6" t="s">
        <v>394</v>
      </c>
      <c r="I293" s="5" t="str">
        <f>IF(H293="","",VLOOKUP(H293,DB!A:B,2,0))</f>
        <v>Digiwave DSC-131</v>
      </c>
      <c r="J293" s="6"/>
      <c r="K293" s="6"/>
      <c r="L293" s="6" t="s">
        <v>405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423</v>
      </c>
      <c r="B294" s="6" t="str">
        <f>IF(A294="","",VLOOKUP(A294,DB!A:B,2,0))</f>
        <v>Miranda Densite3</v>
      </c>
      <c r="C294" s="6">
        <v>7.0</v>
      </c>
      <c r="D294" s="6" t="s">
        <v>424</v>
      </c>
      <c r="E294" s="6" t="s">
        <v>429</v>
      </c>
      <c r="F294" s="6" t="s">
        <v>243</v>
      </c>
      <c r="G294" s="6" t="s">
        <v>398</v>
      </c>
      <c r="H294" s="6" t="s">
        <v>404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423</v>
      </c>
      <c r="B295" s="6" t="str">
        <f>IF(A295="","",VLOOKUP(A295,DB!A:B,2,0))</f>
        <v>Miranda Densite3</v>
      </c>
      <c r="C295" s="6">
        <v>7.0</v>
      </c>
      <c r="D295" s="6" t="s">
        <v>424</v>
      </c>
      <c r="E295" s="6" t="s">
        <v>430</v>
      </c>
      <c r="F295" s="6" t="s">
        <v>243</v>
      </c>
      <c r="G295" s="6" t="s">
        <v>398</v>
      </c>
      <c r="H295" s="6" t="s">
        <v>278</v>
      </c>
      <c r="I295" s="5" t="str">
        <f>IF(H295="","",VLOOKUP(H295,DB!A:B,2,0))</f>
        <v>Sony HXCU-100 Cam 1</v>
      </c>
      <c r="J295" s="6"/>
      <c r="K295" s="6"/>
      <c r="L295" s="6" t="s">
        <v>405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423</v>
      </c>
      <c r="B296" s="6" t="str">
        <f>IF(A296="","",VLOOKUP(A296,DB!A:B,2,0))</f>
        <v>Miranda Densite3</v>
      </c>
      <c r="C296" s="6">
        <v>7.0</v>
      </c>
      <c r="D296" s="6" t="s">
        <v>424</v>
      </c>
      <c r="E296" s="6" t="s">
        <v>431</v>
      </c>
      <c r="F296" s="6" t="s">
        <v>243</v>
      </c>
      <c r="G296" s="6" t="s">
        <v>398</v>
      </c>
      <c r="H296" s="6" t="s">
        <v>89</v>
      </c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423</v>
      </c>
      <c r="B297" s="6" t="str">
        <f>IF(A297="","",VLOOKUP(A297,DB!A:B,2,0))</f>
        <v>Miranda Densite3</v>
      </c>
      <c r="C297" s="6">
        <v>7.0</v>
      </c>
      <c r="D297" s="6" t="s">
        <v>424</v>
      </c>
      <c r="E297" s="6" t="s">
        <v>432</v>
      </c>
      <c r="F297" s="6" t="s">
        <v>243</v>
      </c>
      <c r="G297" s="6" t="s">
        <v>398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423</v>
      </c>
      <c r="B298" s="6" t="str">
        <f>IF(A298="","",VLOOKUP(A298,DB!A:B,2,0))</f>
        <v>Miranda Densite3</v>
      </c>
      <c r="C298" s="6">
        <v>7.0</v>
      </c>
      <c r="D298" s="6" t="s">
        <v>424</v>
      </c>
      <c r="E298" s="6" t="s">
        <v>433</v>
      </c>
      <c r="F298" s="6" t="s">
        <v>243</v>
      </c>
      <c r="G298" s="6" t="s">
        <v>398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423</v>
      </c>
      <c r="B299" s="6" t="str">
        <f>IF(A299="","",VLOOKUP(A299,DB!A:B,2,0))</f>
        <v>Miranda Densite3</v>
      </c>
      <c r="C299" s="6">
        <v>7.0</v>
      </c>
      <c r="D299" s="6" t="s">
        <v>424</v>
      </c>
      <c r="E299" s="6" t="s">
        <v>434</v>
      </c>
      <c r="F299" s="6" t="s">
        <v>243</v>
      </c>
      <c r="G299" s="6" t="s">
        <v>398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423</v>
      </c>
      <c r="B300" s="6" t="str">
        <f>IF(A300="","",VLOOKUP(A300,DB!A:B,2,0))</f>
        <v>Miranda Densite3</v>
      </c>
      <c r="C300" s="6">
        <v>7.0</v>
      </c>
      <c r="D300" s="6" t="s">
        <v>424</v>
      </c>
      <c r="E300" s="6" t="s">
        <v>435</v>
      </c>
      <c r="F300" s="6" t="s">
        <v>243</v>
      </c>
      <c r="G300" s="6" t="s">
        <v>398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423</v>
      </c>
      <c r="B301" s="6" t="str">
        <f>IF(A301="","",VLOOKUP(A301,DB!A:B,2,0))</f>
        <v>Miranda Densite3</v>
      </c>
      <c r="C301" s="6">
        <v>7.0</v>
      </c>
      <c r="D301" s="6" t="s">
        <v>424</v>
      </c>
      <c r="E301" s="6" t="s">
        <v>436</v>
      </c>
      <c r="F301" s="6" t="s">
        <v>243</v>
      </c>
      <c r="G301" s="6" t="s">
        <v>398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437</v>
      </c>
      <c r="F302" s="6" t="s">
        <v>243</v>
      </c>
      <c r="G302" s="6" t="s">
        <v>405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405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278</v>
      </c>
      <c r="B303" s="6" t="str">
        <f>IF(A303="","",VLOOKUP(A303,DB!A:B,2,0))</f>
        <v>Sony HXCU-100 Cam 1</v>
      </c>
      <c r="C303" s="5"/>
      <c r="D303" s="6"/>
      <c r="E303" s="6" t="s">
        <v>437</v>
      </c>
      <c r="F303" s="6" t="s">
        <v>243</v>
      </c>
      <c r="G303" s="6" t="s">
        <v>405</v>
      </c>
      <c r="H303" s="6" t="s">
        <v>281</v>
      </c>
      <c r="I303" s="5" t="str">
        <f>IF(H303="","",VLOOKUP(H303,DB!A:B,2,0))</f>
        <v>Sony HXCU-100 Cam 2</v>
      </c>
      <c r="J303" s="6"/>
      <c r="K303" s="6"/>
      <c r="L303" s="6" t="s">
        <v>405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281</v>
      </c>
      <c r="B304" s="6" t="str">
        <f>IF(A304="","",VLOOKUP(A304,DB!A:B,2,0))</f>
        <v>Sony HXCU-100 Cam 2</v>
      </c>
      <c r="C304" s="5"/>
      <c r="D304" s="6"/>
      <c r="E304" s="6" t="s">
        <v>437</v>
      </c>
      <c r="F304" s="6" t="s">
        <v>243</v>
      </c>
      <c r="G304" s="6" t="s">
        <v>405</v>
      </c>
      <c r="H304" s="6" t="s">
        <v>284</v>
      </c>
      <c r="I304" s="5" t="str">
        <f>IF(H304="","",VLOOKUP(H304,DB!A:B,2,0))</f>
        <v>Sony HXCU-100 Cam 3</v>
      </c>
      <c r="J304" s="6"/>
      <c r="K304" s="6"/>
      <c r="L304" s="6" t="s">
        <v>405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284</v>
      </c>
      <c r="B305" s="6" t="str">
        <f>IF(A305="","",VLOOKUP(A305,DB!A:B,2,0))</f>
        <v>Sony HXCU-100 Cam 3</v>
      </c>
      <c r="C305" s="5"/>
      <c r="D305" s="6"/>
      <c r="E305" s="6" t="s">
        <v>437</v>
      </c>
      <c r="F305" s="6" t="s">
        <v>243</v>
      </c>
      <c r="G305" s="6" t="s">
        <v>405</v>
      </c>
      <c r="H305" s="6" t="s">
        <v>287</v>
      </c>
      <c r="I305" s="5" t="str">
        <f>IF(H305="","",VLOOKUP(H305,DB!A:B,2,0))</f>
        <v>Sony HXCU-100 Cam 4</v>
      </c>
      <c r="J305" s="6"/>
      <c r="K305" s="6"/>
      <c r="L305" s="6" t="s">
        <v>405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287</v>
      </c>
      <c r="B306" s="6" t="str">
        <f>IF(A306="","",VLOOKUP(A306,DB!A:B,2,0))</f>
        <v>Sony HXCU-100 Cam 4</v>
      </c>
      <c r="C306" s="5"/>
      <c r="D306" s="6"/>
      <c r="E306" s="6" t="s">
        <v>437</v>
      </c>
      <c r="F306" s="6" t="s">
        <v>243</v>
      </c>
      <c r="G306" s="6" t="s">
        <v>405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405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420</v>
      </c>
      <c r="E308" s="6" t="s">
        <v>437</v>
      </c>
      <c r="F308" s="6" t="s">
        <v>243</v>
      </c>
      <c r="G308" s="6" t="s">
        <v>405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420</v>
      </c>
      <c r="L308" s="6" t="s">
        <v>405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420</v>
      </c>
      <c r="E309" s="6" t="s">
        <v>437</v>
      </c>
      <c r="F309" s="6" t="s">
        <v>243</v>
      </c>
      <c r="G309" s="6" t="s">
        <v>405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437</v>
      </c>
      <c r="F310" s="6" t="s">
        <v>243</v>
      </c>
      <c r="G310" s="6" t="s">
        <v>405</v>
      </c>
      <c r="H310" s="6" t="s">
        <v>224</v>
      </c>
      <c r="I310" s="5" t="str">
        <f>IF(H310="","",VLOOKUP(H310,DB!A:B,2,0))</f>
        <v>AJA FS2</v>
      </c>
      <c r="J310" s="6"/>
      <c r="K310" s="6"/>
      <c r="L310" s="6" t="s">
        <v>405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438</v>
      </c>
      <c r="F311" s="6" t="s">
        <v>243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439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224</v>
      </c>
      <c r="B313" s="6" t="str">
        <f>IF(A313="","",VLOOKUP(A313,DB!A:B,2,0))</f>
        <v>AJA FS2</v>
      </c>
      <c r="C313" s="5"/>
      <c r="D313" s="6"/>
      <c r="E313" s="6" t="s">
        <v>437</v>
      </c>
      <c r="F313" s="6" t="s">
        <v>243</v>
      </c>
      <c r="G313" s="6" t="s">
        <v>405</v>
      </c>
      <c r="H313" s="6" t="s">
        <v>89</v>
      </c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440</v>
      </c>
      <c r="B1" s="16" t="s">
        <v>441</v>
      </c>
      <c r="C1" s="17" t="s">
        <v>442</v>
      </c>
      <c r="D1" s="18" t="s">
        <v>443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444</v>
      </c>
      <c r="B2" s="7" t="s">
        <v>445</v>
      </c>
      <c r="C2" s="19" t="s">
        <v>446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447</v>
      </c>
      <c r="C3" s="19" t="s">
        <v>448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449</v>
      </c>
      <c r="C4" s="19" t="s">
        <v>450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451</v>
      </c>
      <c r="C5" s="19" t="s">
        <v>452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453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404</v>
      </c>
      <c r="B7" s="11" t="s">
        <v>454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455</v>
      </c>
      <c r="B9" s="7" t="s">
        <v>456</v>
      </c>
      <c r="C9" s="19" t="s">
        <v>457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458</v>
      </c>
      <c r="C10" s="19" t="s">
        <v>459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460</v>
      </c>
      <c r="C11" s="19" t="s">
        <v>461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462</v>
      </c>
      <c r="C12" s="19" t="s">
        <v>463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418</v>
      </c>
      <c r="B14" s="11" t="s">
        <v>464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423</v>
      </c>
      <c r="B15" s="7" t="s">
        <v>465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466</v>
      </c>
      <c r="C16" s="19" t="s">
        <v>467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468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469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470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470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471</v>
      </c>
      <c r="C22" s="20" t="s">
        <v>472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473</v>
      </c>
      <c r="C23" s="20" t="s">
        <v>474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475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476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477</v>
      </c>
      <c r="B27" s="7" t="s">
        <v>478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479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479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480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481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482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478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482</v>
      </c>
      <c r="C34" s="19" t="s">
        <v>483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399</v>
      </c>
      <c r="B35" s="7" t="s">
        <v>484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485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486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486</v>
      </c>
      <c r="C38" s="19" t="s">
        <v>487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394</v>
      </c>
      <c r="B39" s="7" t="s">
        <v>488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397</v>
      </c>
      <c r="B40" s="7" t="s">
        <v>489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490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491</v>
      </c>
      <c r="B43" s="7" t="s">
        <v>492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493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494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495</v>
      </c>
      <c r="C46" s="19" t="s">
        <v>496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497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498</v>
      </c>
      <c r="B49" s="7" t="s">
        <v>499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500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501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502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503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504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505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388</v>
      </c>
      <c r="B56" s="7" t="s">
        <v>506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507</v>
      </c>
      <c r="C58" s="20" t="s">
        <v>508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509</v>
      </c>
      <c r="C59" s="20" t="s">
        <v>510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511</v>
      </c>
      <c r="B61" s="11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374</v>
      </c>
      <c r="B63" s="6" t="s">
        <v>512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513</v>
      </c>
      <c r="B64" s="11" t="s">
        <v>514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515</v>
      </c>
      <c r="B65" s="11" t="s">
        <v>516</v>
      </c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517</v>
      </c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518</v>
      </c>
      <c r="B67" s="7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204</v>
      </c>
      <c r="B68" s="7" t="s">
        <v>482</v>
      </c>
      <c r="C68" s="19" t="s">
        <v>519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209</v>
      </c>
      <c r="B70" s="6" t="s">
        <v>520</v>
      </c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521</v>
      </c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522</v>
      </c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258</v>
      </c>
      <c r="B74" s="7" t="s">
        <v>523</v>
      </c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391</v>
      </c>
      <c r="B75" s="7" t="s">
        <v>524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525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346</v>
      </c>
      <c r="B78" s="7" t="s">
        <v>526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354</v>
      </c>
      <c r="B79" s="7" t="s">
        <v>527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350</v>
      </c>
      <c r="B80" s="7" t="s">
        <v>528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381</v>
      </c>
      <c r="B81" s="7" t="s">
        <v>529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530</v>
      </c>
      <c r="B82" s="7" t="s">
        <v>531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532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149</v>
      </c>
      <c r="B84" s="7" t="s">
        <v>533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351</v>
      </c>
      <c r="B85" s="7" t="s">
        <v>534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386</v>
      </c>
      <c r="B86" s="7" t="s">
        <v>535</v>
      </c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110</v>
      </c>
      <c r="B87" s="7" t="s">
        <v>536</v>
      </c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 t="s">
        <v>380</v>
      </c>
      <c r="B88" s="11" t="s">
        <v>537</v>
      </c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538</v>
      </c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 t="s">
        <v>182</v>
      </c>
      <c r="B92" s="11" t="s">
        <v>539</v>
      </c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 t="s">
        <v>89</v>
      </c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6" t="s">
        <v>345</v>
      </c>
      <c r="B96" s="6" t="s">
        <v>540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6" t="s">
        <v>344</v>
      </c>
      <c r="B97" s="6" t="s">
        <v>541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6" t="s">
        <v>342</v>
      </c>
      <c r="B98" s="6" t="s">
        <v>542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543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6" t="s">
        <v>544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IFERROR(__xludf.DUMMYFUNCTION("""COMPUTED_VALUE"""),1.0)</f>
        <v>1</v>
      </c>
      <c r="D3" s="5" t="str">
        <f>IFERROR(__xludf.DUMMYFUNCTION("""COMPUTED_VALUE"""),"DeckLink")</f>
        <v>DeckLink</v>
      </c>
      <c r="E3" s="5" t="str">
        <f>IFERROR(__xludf.DUMMYFUNCTION("""COMPUTED_VALUE"""),"Out P1")</f>
        <v>Out P1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1")</f>
        <v>In 1</v>
      </c>
      <c r="M3" s="5" t="str">
        <f>IFERROR(__xludf.DUMMYFUNCTION("""COMPUTED_VALUE"""),"PLAYER A.1")</f>
        <v>PLAYER A.1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IFERROR(__xludf.DUMMYFUNCTION("""COMPUTED_VALUE"""),"A.2")</f>
        <v>A.2</v>
      </c>
      <c r="B4" s="5" t="str">
        <f>IFERROR(__xludf.DUMMYFUNCTION("""COMPUTED_VALUE"""),"Player A")</f>
        <v>Player A</v>
      </c>
      <c r="C4" s="5">
        <f>IFERROR(__xludf.DUMMYFUNCTION("""COMPUTED_VALUE"""),2.0)</f>
        <v>2</v>
      </c>
      <c r="D4" s="5" t="str">
        <f>IFERROR(__xludf.DUMMYFUNCTION("""COMPUTED_VALUE"""),"DeckLink")</f>
        <v>DeckLink</v>
      </c>
      <c r="E4" s="5" t="str">
        <f>IFERROR(__xludf.DUMMYFUNCTION("""COMPUTED_VALUE"""),"Out P1")</f>
        <v>Out P1</v>
      </c>
      <c r="F4" s="5"/>
      <c r="G4" s="5"/>
      <c r="H4" s="5" t="str">
        <f>IFERROR(__xludf.DUMMYFUNCTION("""COMPUTED_VALUE"""),"F.7")</f>
        <v>F.7</v>
      </c>
      <c r="I4" s="5" t="str">
        <f>IFERROR(__xludf.DUMMYFUNCTION("""COMPUTED_VALUE"""),"FOR A HVS-390HS")</f>
        <v>FOR A HVS-390HS</v>
      </c>
      <c r="J4" s="5"/>
      <c r="K4" s="5"/>
      <c r="L4" s="5" t="str">
        <f>IFERROR(__xludf.DUMMYFUNCTION("""COMPUTED_VALUE"""),"In 5")</f>
        <v>In 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IFERROR(__xludf.DUMMYFUNCTION("""COMPUTED_VALUE"""),"A.2")</f>
        <v>A.2</v>
      </c>
      <c r="B5" s="5" t="str">
        <f>IFERROR(__xludf.DUMMYFUNCTION("""COMPUTED_VALUE"""),"Player A")</f>
        <v>Player A</v>
      </c>
      <c r="C5" s="5">
        <f>IFERROR(__xludf.DUMMYFUNCTION("""COMPUTED_VALUE"""),2.0)</f>
        <v>2</v>
      </c>
      <c r="D5" s="5" t="str">
        <f>IFERROR(__xludf.DUMMYFUNCTION("""COMPUTED_VALUE"""),"DeckLink")</f>
        <v>DeckLink</v>
      </c>
      <c r="E5" s="5" t="str">
        <f>IFERROR(__xludf.DUMMYFUNCTION("""COMPUTED_VALUE"""),"Audio Out Ch 2")</f>
        <v>Audio Out Ch 2</v>
      </c>
      <c r="F5" s="5"/>
      <c r="G5" s="5"/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29 (Audio)")</f>
        <v>In 29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IFERROR(__xludf.DUMMYFUNCTION("""COMPUTED_VALUE"""),"A.3")</f>
        <v>A.3</v>
      </c>
      <c r="B6" s="5" t="str">
        <f>IFERROR(__xludf.DUMMYFUNCTION("""COMPUTED_VALUE"""),"Player B")</f>
        <v>Player B</v>
      </c>
      <c r="C6" s="5">
        <f>IFERROR(__xludf.DUMMYFUNCTION("""COMPUTED_VALUE"""),1.0)</f>
        <v>1</v>
      </c>
      <c r="D6" s="5" t="str">
        <f>IFERROR(__xludf.DUMMYFUNCTION("""COMPUTED_VALUE"""),"DeckLink")</f>
        <v>DeckLink</v>
      </c>
      <c r="E6" s="5" t="str">
        <f>IFERROR(__xludf.DUMMYFUNCTION("""COMPUTED_VALUE"""),"Out P1")</f>
        <v>Out P1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/>
      <c r="L6" s="5" t="str">
        <f>IFERROR(__xludf.DUMMYFUNCTION("""COMPUTED_VALUE"""),"In 2")</f>
        <v>In 2</v>
      </c>
      <c r="M6" s="5" t="str">
        <f>IFERROR(__xludf.DUMMYFUNCTION("""COMPUTED_VALUE"""),"PLAYER B.1")</f>
        <v>PLAYER B.1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IFERROR(__xludf.DUMMYFUNCTION("""COMPUTED_VALUE"""),"A.3")</f>
        <v>A.3</v>
      </c>
      <c r="B7" s="5" t="str">
        <f>IFERROR(__xludf.DUMMYFUNCTION("""COMPUTED_VALUE"""),"Player B")</f>
        <v>Player B</v>
      </c>
      <c r="C7" s="5">
        <f>IFERROR(__xludf.DUMMYFUNCTION("""COMPUTED_VALUE"""),2.0)</f>
        <v>2</v>
      </c>
      <c r="D7" s="5" t="str">
        <f>IFERROR(__xludf.DUMMYFUNCTION("""COMPUTED_VALUE"""),"DeckLink")</f>
        <v>DeckLink</v>
      </c>
      <c r="E7" s="5" t="str">
        <f>IFERROR(__xludf.DUMMYFUNCTION("""COMPUTED_VALUE"""),"Out P1")</f>
        <v>Out P1</v>
      </c>
      <c r="F7" s="5"/>
      <c r="G7" s="5"/>
      <c r="H7" s="5" t="str">
        <f>IFERROR(__xludf.DUMMYFUNCTION("""COMPUTED_VALUE"""),"F.7")</f>
        <v>F.7</v>
      </c>
      <c r="I7" s="5" t="str">
        <f>IFERROR(__xludf.DUMMYFUNCTION("""COMPUTED_VALUE"""),"FOR A HVS-390HS")</f>
        <v>FOR A HVS-390HS</v>
      </c>
      <c r="J7" s="5"/>
      <c r="K7" s="5"/>
      <c r="L7" s="5" t="str">
        <f>IFERROR(__xludf.DUMMYFUNCTION("""COMPUTED_VALUE"""),"In 6")</f>
        <v>In 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IFERROR(__xludf.DUMMYFUNCTION("""COMPUTED_VALUE"""),"A.4")</f>
        <v>A.4</v>
      </c>
      <c r="B8" s="5" t="str">
        <f>IFERROR(__xludf.DUMMYFUNCTION("""COMPUTED_VALUE"""),"Player C")</f>
        <v>Player C</v>
      </c>
      <c r="C8" s="5">
        <f>IFERROR(__xludf.DUMMYFUNCTION("""COMPUTED_VALUE"""),1.0)</f>
        <v>1</v>
      </c>
      <c r="D8" s="5" t="str">
        <f>IFERROR(__xludf.DUMMYFUNCTION("""COMPUTED_VALUE"""),"DeckLink")</f>
        <v>DeckLink</v>
      </c>
      <c r="E8" s="5" t="str">
        <f>IFERROR(__xludf.DUMMYFUNCTION("""COMPUTED_VALUE"""),"Out P1")</f>
        <v>Out P1</v>
      </c>
      <c r="F8" s="5"/>
      <c r="G8" s="5"/>
      <c r="H8" s="5" t="str">
        <f>IFERROR(__xludf.DUMMYFUNCTION("""COMPUTED_VALUE"""),"C.3")</f>
        <v>C.3</v>
      </c>
      <c r="I8" s="5" t="str">
        <f>IFERROR(__xludf.DUMMYFUNCTION("""COMPUTED_VALUE"""),"AJA KUMO 6464")</f>
        <v>AJA KUMO 6464</v>
      </c>
      <c r="J8" s="5"/>
      <c r="K8" s="5"/>
      <c r="L8" s="5" t="str">
        <f>IFERROR(__xludf.DUMMYFUNCTION("""COMPUTED_VALUE"""),"In 3")</f>
        <v>In 3</v>
      </c>
      <c r="M8" s="5" t="str">
        <f>IFERROR(__xludf.DUMMYFUNCTION("""COMPUTED_VALUE"""),"PLAYER C.1")</f>
        <v>PLAYER C.1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IFERROR(__xludf.DUMMYFUNCTION("""COMPUTED_VALUE"""),"A.4")</f>
        <v>A.4</v>
      </c>
      <c r="B9" s="5" t="str">
        <f>IFERROR(__xludf.DUMMYFUNCTION("""COMPUTED_VALUE"""),"Player C")</f>
        <v>Player C</v>
      </c>
      <c r="C9" s="5">
        <f>IFERROR(__xludf.DUMMYFUNCTION("""COMPUTED_VALUE"""),2.0)</f>
        <v>2</v>
      </c>
      <c r="D9" s="5" t="str">
        <f>IFERROR(__xludf.DUMMYFUNCTION("""COMPUTED_VALUE"""),"DeckLink")</f>
        <v>DeckLink</v>
      </c>
      <c r="E9" s="5" t="str">
        <f>IFERROR(__xludf.DUMMYFUNCTION("""COMPUTED_VALUE"""),"Out P1")</f>
        <v>Out P1</v>
      </c>
      <c r="F9" s="5"/>
      <c r="G9" s="5"/>
      <c r="H9" s="5" t="str">
        <f>IFERROR(__xludf.DUMMYFUNCTION("""COMPUTED_VALUE"""),"C.3")</f>
        <v>C.3</v>
      </c>
      <c r="I9" s="5" t="str">
        <f>IFERROR(__xludf.DUMMYFUNCTION("""COMPUTED_VALUE"""),"AJA KUMO 6464")</f>
        <v>AJA KUMO 6464</v>
      </c>
      <c r="J9" s="5"/>
      <c r="K9" s="5"/>
      <c r="L9" s="5" t="str">
        <f>IFERROR(__xludf.DUMMYFUNCTION("""COMPUTED_VALUE"""),"In 4")</f>
        <v>In 4</v>
      </c>
      <c r="M9" s="5" t="str">
        <f>IFERROR(__xludf.DUMMYFUNCTION("""COMPUTED_VALUE"""),"PLAYER C.2")</f>
        <v>PLAYER C.2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IFERROR(__xludf.DUMMYFUNCTION("""COMPUTED_VALUE"""),"A.5")</f>
        <v>A.5</v>
      </c>
      <c r="B10" s="5" t="str">
        <f>IFERROR(__xludf.DUMMYFUNCTION("""COMPUTED_VALUE"""),"CGX")</f>
        <v>CGX</v>
      </c>
      <c r="C10" s="5">
        <f>IFERROR(__xludf.DUMMYFUNCTION("""COMPUTED_VALUE"""),1.0)</f>
        <v>1</v>
      </c>
      <c r="D10" s="5" t="str">
        <f>IFERROR(__xludf.DUMMYFUNCTION("""COMPUTED_VALUE"""),"DeckLink")</f>
        <v>DeckLink</v>
      </c>
      <c r="E10" s="5" t="str">
        <f>IFERROR(__xludf.DUMMYFUNCTION("""COMPUTED_VALUE"""),"Out P3")</f>
        <v>Out P3</v>
      </c>
      <c r="F10" s="5"/>
      <c r="G10" s="5"/>
      <c r="H10" s="5" t="str">
        <f>IFERROR(__xludf.DUMMYFUNCTION("""COMPUTED_VALUE"""),"C.3")</f>
        <v>C.3</v>
      </c>
      <c r="I10" s="5" t="str">
        <f>IFERROR(__xludf.DUMMYFUNCTION("""COMPUTED_VALUE"""),"AJA KUMO 6464")</f>
        <v>AJA KUMO 6464</v>
      </c>
      <c r="J10" s="5"/>
      <c r="K10" s="5"/>
      <c r="L10" s="5" t="str">
        <f>IFERROR(__xludf.DUMMYFUNCTION("""COMPUTED_VALUE"""),"In 55")</f>
        <v>In 55</v>
      </c>
      <c r="M10" s="5" t="str">
        <f>IFERROR(__xludf.DUMMYFUNCTION("""COMPUTED_VALUE"""),"Salida CGX")</f>
        <v>Salida CGX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IFERROR(__xludf.DUMMYFUNCTION("""COMPUTED_VALUE"""),"DC.4")</f>
        <v>DC.4</v>
      </c>
      <c r="B11" s="5" t="str">
        <f>IFERROR(__xludf.DUMMYFUNCTION("""COMPUTED_VALUE"""),"PC Videollamada")</f>
        <v>PC Videollamada</v>
      </c>
      <c r="C11" s="5">
        <f>IFERROR(__xludf.DUMMYFUNCTION("""COMPUTED_VALUE"""),1.0)</f>
        <v>1</v>
      </c>
      <c r="D11" s="5" t="str">
        <f>IFERROR(__xludf.DUMMYFUNCTION("""COMPUTED_VALUE"""),"DeckLink")</f>
        <v>DeckLink</v>
      </c>
      <c r="E11" s="5" t="str">
        <f>IFERROR(__xludf.DUMMYFUNCTION("""COMPUTED_VALUE"""),"Out P?")</f>
        <v>Out P?</v>
      </c>
      <c r="F11" s="5"/>
      <c r="G11" s="5"/>
      <c r="H11" s="5" t="str">
        <f>IFERROR(__xludf.DUMMYFUNCTION("""COMPUTED_VALUE"""),"C.6")</f>
        <v>C.6</v>
      </c>
      <c r="I11" s="5" t="str">
        <f>IFERROR(__xludf.DUMMYFUNCTION("""COMPUTED_VALUE"""),"Patch Panel")</f>
        <v>Patch Panel</v>
      </c>
      <c r="J11" s="5"/>
      <c r="K11" s="5"/>
      <c r="L11" s="5" t="str">
        <f>IFERROR(__xludf.DUMMYFUNCTION("""COMPUTED_VALUE"""),"In 14")</f>
        <v>In 14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IFERROR(__xludf.DUMMYFUNCTION("""COMPUTED_VALUE"""),"E.4")</f>
        <v>E.4</v>
      </c>
      <c r="B12" s="5" t="str">
        <f>IFERROR(__xludf.DUMMYFUNCTION("""COMPUTED_VALUE"""),"PC Rack")</f>
        <v>PC Rack</v>
      </c>
      <c r="C12" s="5">
        <f>IFERROR(__xludf.DUMMYFUNCTION("""COMPUTED_VALUE"""),1.0)</f>
        <v>1</v>
      </c>
      <c r="D12" s="5" t="str">
        <f>IFERROR(__xludf.DUMMYFUNCTION("""COMPUTED_VALUE"""),"DeckLink")</f>
        <v>DeckLink</v>
      </c>
      <c r="E12" s="5" t="str">
        <f>IFERROR(__xludf.DUMMYFUNCTION("""COMPUTED_VALUE"""),"Out P1")</f>
        <v>Out P1</v>
      </c>
      <c r="F12" s="5"/>
      <c r="G12" s="5"/>
      <c r="H12" s="5" t="str">
        <f>IFERROR(__xludf.DUMMYFUNCTION("""COMPUTED_VALUE"""),"C.3")</f>
        <v>C.3</v>
      </c>
      <c r="I12" s="5" t="str">
        <f>IFERROR(__xludf.DUMMYFUNCTION("""COMPUTED_VALUE"""),"AJA KUMO 6464")</f>
        <v>AJA KUMO 6464</v>
      </c>
      <c r="J12" s="5"/>
      <c r="K12" s="5"/>
      <c r="L12" s="5" t="str">
        <f>IFERROR(__xludf.DUMMYFUNCTION("""COMPUTED_VALUE"""),"In 29")</f>
        <v>In 29</v>
      </c>
      <c r="M12" s="5" t="str">
        <f>IFERROR(__xludf.DUMMYFUNCTION("""COMPUTED_VALUE"""),"PC RACK 4")</f>
        <v>PC RACK 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IFERROR(__xludf.DUMMYFUNCTION("""COMPUTED_VALUE"""),"E.4")</f>
        <v>E.4</v>
      </c>
      <c r="B13" s="5" t="str">
        <f>IFERROR(__xludf.DUMMYFUNCTION("""COMPUTED_VALUE"""),"PC Rack")</f>
        <v>PC Rack</v>
      </c>
      <c r="C13" s="5">
        <f>IFERROR(__xludf.DUMMYFUNCTION("""COMPUTED_VALUE"""),1.0)</f>
        <v>1</v>
      </c>
      <c r="D13" s="5" t="str">
        <f>IFERROR(__xludf.DUMMYFUNCTION("""COMPUTED_VALUE"""),"DeckLink")</f>
        <v>DeckLink</v>
      </c>
      <c r="E13" s="5" t="str">
        <f>IFERROR(__xludf.DUMMYFUNCTION("""COMPUTED_VALUE"""),"Out P4")</f>
        <v>Out P4</v>
      </c>
      <c r="F13" s="5"/>
      <c r="G13" s="5"/>
      <c r="H13" s="5" t="str">
        <f>IFERROR(__xludf.DUMMYFUNCTION("""COMPUTED_VALUE"""),"C.3")</f>
        <v>C.3</v>
      </c>
      <c r="I13" s="5" t="str">
        <f>IFERROR(__xludf.DUMMYFUNCTION("""COMPUTED_VALUE"""),"AJA KUMO 6464")</f>
        <v>AJA KUMO 6464</v>
      </c>
      <c r="J13" s="5"/>
      <c r="K13" s="5"/>
      <c r="L13" s="5" t="str">
        <f>IFERROR(__xludf.DUMMYFUNCTION("""COMPUTED_VALUE"""),"In 53")</f>
        <v>In 53</v>
      </c>
      <c r="M13" s="5" t="str">
        <f>IFERROR(__xludf.DUMMYFUNCTION("""COMPUTED_VALUE"""),"mochila interior")</f>
        <v>mochila interior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