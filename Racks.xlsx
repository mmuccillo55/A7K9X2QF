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<sst xmlns="http://schemas.openxmlformats.org/spreadsheetml/2006/main" count="2212" uniqueCount="655">
  <si>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</si>
  <si>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</si>
  <si>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</si>
  <si>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</si>
  <si>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</si>
  <si>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</si>
  <si>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</si>
  <si>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</si>
  <si>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</si>
  <si>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</si>
  <si>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</si>
  <si>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</si>
  <si>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</si>
  <si>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</si>
  <si>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</si>
  <si>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</si>
  <si>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</si>
  <si>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</si>
  <si>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</si>
  <si>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</si>
  <si>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</si>
  <si>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</si>
  <si>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</si>
  <si>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</si>
  <si>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</si>
  <si>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</si>
  <si>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</si>
  <si>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</si>
  <si>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</si>
  <si>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</si>
  <si>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</si>
  <si>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</si>
  <si>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</si>
  <si>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</si>
  <si>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</si>
  <si>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</si>
  <si>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</si>
  <si>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</si>
  <si>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</si>
  <si>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</si>
  <si>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</si>
  <si>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</si>
  <si>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</si>
  <si>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</si>
  <si>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</si>
  <si>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</si>
  <si>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</si>
  <si>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</si>
  <si>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</si>
  <si>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</si>
  <si>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</si>
  <si>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</si>
  <si>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</si>
  <si>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</si>
  <si>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</si>
  <si>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</si>
  <si>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</si>
  <si>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</si>
  <si>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</si>
  <si>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</si>
  <si>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</si>
  <si>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</si>
  <si>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</si>
  <si>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</si>
  <si>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</si>
  <si>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</si>
  <si>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</si>
  <si>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</si>
  <si>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</si>
  <si>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</si>
  <si>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</si>
  <si>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</si>
  <si>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</si>
  <si>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</si>
  <si>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</si>
  <si>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</si>
  <si>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</si>
  <si>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</si>
  <si>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</si>
  <si>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</si>
  <si>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</si>
  <si>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</si>
  <si>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</si>
  <si>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</si>
  <si>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</si>
  <si>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</si>
  <si>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</si>
  <si>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</si>
  <si>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</si>
  <si>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</si>
  <si>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</si>
  <si>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</si>
  <si>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</si>
  <si>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</si>
  <si>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</si>
  <si>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</si>
  <si>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</si>
  <si>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</si>
  <si>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</si>
  <si>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</si>
  <si>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</si>
  <si>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</si>
  <si>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</si>
  <si>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</si>
  <si>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</si>
  <si>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</si>
  <si>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</si>
  <si>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</si>
  <si>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</si>
  <si>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</si>
  <si>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</si>
  <si>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</si>
  <si>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</si>
  <si>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</si>
  <si>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</si>
  <si>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</si>
  <si>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</si>
  <si>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</si>
  <si>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</si>
  <si>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</si>
  <si>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</si>
  <si>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</si>
  <si>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</si>
  <si>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</si>
  <si>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</si>
  <si>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</si>
  <si>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</si>
  <si>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</si>
  <si>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</si>
  <si>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</si>
  <si>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</si>
  <si>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</si>
  <si>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</si>
  <si>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</si>
  <si>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</si>
  <si>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</si>
  <si>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</si>
  <si>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</si>
  <si>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</si>
  <si>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</si>
  <si>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</si>
  <si>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</si>
  <si>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</si>
  <si>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</si>
  <si>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</si>
  <si>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</si>
  <si>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</si>
  <si>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</si>
  <si>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</si>
  <si>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</si>
  <si>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</si>
  <si>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</si>
  <si>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</si>
  <si>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</si>
  <si>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</si>
  <si>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</si>
  <si>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</si>
  <si>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</si>
  <si>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</si>
  <si>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</si>
  <si>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</si>
  <si>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</si>
  <si>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</si>
  <si>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</si>
  <si>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</si>
  <si>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</si>
  <si>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</si>
  <si>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</si>
  <si>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</si>
  <si>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</si>
  <si>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</si>
  <si>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</si>
  <si>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</si>
  <si>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</si>
  <si>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</si>
  <si>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</si>
  <si>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</si>
  <si>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</si>
  <si>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</si>
  <si>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</si>
  <si>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</si>
  <si>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L.7</t>
  </si>
  <si>
    <t>Optic to SDI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</si>
  <si>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</si>
  <si>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</si>
  <si>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</si>
  <si>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</si>
  <si>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</si>
  <si>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</si>
  <si>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</si>
  <si>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</si>
  <si>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</si>
  <si>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</si>
  <si>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</si>
  <si>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</si>
  <si>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</si>
  <si>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</si>
  <si>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</si>
  <si>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M</t>
  </si>
  <si>
    <t>SDI In,A1,A2</t>
  </si>
  <si>
    <t>FOR A PGM</t>
  </si>
  <si>
    <t>Aux 6</t>
  </si>
  <si>
    <t>FOR A AUX 6</t>
  </si>
  <si>
    <t>SDI Out 1</t>
  </si>
  <si>
    <t>T</t>
  </si>
  <si>
    <t>AJA FS2 NTSC</t>
  </si>
  <si>
    <t>D.6</t>
  </si>
  <si>
    <t>SDI Out 2</t>
  </si>
  <si>
    <t>IRD TELA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</si>
  <si>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</si>
  <si>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</si>
  <si>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</si>
  <si>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</si>
  <si>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</si>
  <si>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</si>
  <si>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</si>
  <si>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</si>
  <si>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</si>
  <si>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</si>
  <si>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</si>
  <si>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</si>
  <si>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</si>
  <si>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</si>
  <si>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</si>
  <si>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</si>
  <si>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</si>
  <si>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</si>
  <si>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</si>
  <si>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</si>
  <si>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</si>
  <si>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</si>
  <si>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</si>
  <si>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</si>
  <si>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</si>
  <si>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</si>
  <si>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</si>
  <si>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</si>
  <si>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</si>
  <si>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</si>
  <si>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</si>
  <si>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</si>
  <si>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</si>
  <si>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</si>
  <si>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</si>
  <si>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</si>
  <si>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</si>
  <si>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</si>
  <si>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</si>
  <si>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</si>
  <si>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</si>
  <si>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</si>
  <si>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</si>
  <si>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</si>
  <si>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</si>
  <si>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</si>
  <si>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</si>
  <si>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</si>
  <si>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</si>
  <si>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</si>
  <si>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</si>
  <si>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</si>
  <si>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</si>
  <si>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</si>
  <si>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</si>
  <si>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</si>
  <si>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</si>
  <si>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</si>
  <si>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</si>
  <si>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</si>
  <si>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</si>
  <si>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</si>
  <si>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</si>
  <si>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</si>
  <si>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</si>
  <si>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</si>
  <si>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</si>
  <si>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</si>
  <si>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</si>
  <si>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</si>
  <si>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</si>
  <si>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</si>
  <si>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</si>
  <si>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</si>
  <si>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</si>
  <si>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</si>
  <si>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</si>
  <si>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</si>
  <si>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</si>
  <si>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</si>
  <si>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</si>
  <si>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</si>
  <si>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</si>
  <si>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</si>
  <si>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</si>
  <si>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</si>
  <si>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</si>
  <si>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</si>
  <si>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</si>
  <si>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</si>
  <si>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</si>
  <si>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</si>
  <si>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</si>
  <si>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</si>
  <si>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</si>
  <si>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</si>
  <si>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</si>
  <si>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</si>
  <si>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</si>
  <si>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</si>
  <si>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</si>
  <si>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</si>
  <si>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</si>
  <si>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</si>
  <si>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</si>
  <si>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</si>
  <si>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</si>
  <si>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</si>
  <si>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</si>
  <si>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</si>
  <si>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</si>
  <si>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</si>
  <si>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</si>
  <si>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</si>
  <si>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</si>
  <si>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</si>
  <si>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</si>
  <si>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</si>
  <si>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</si>
  <si>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</si>
  <si>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</si>
  <si>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</si>
  <si>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</si>
  <si>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</si>
  <si>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</si>
  <si>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</si>
  <si>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</si>
  <si>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</si>
  <si>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</si>
  <si>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</si>
  <si>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</si>
  <si>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</si>
  <si>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</si>
  <si>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</si>
  <si>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</si>
  <si>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</si>
  <si>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Cable suelto en TX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</si>
  <si>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</si>
  <si>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</si>
  <si>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</si>
  <si>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</si>
  <si>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</si>
  <si>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</si>
  <si>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</si>
  <si>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</si>
  <si>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</si>
  <si>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</si>
  <si>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</si>
  <si>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</si>
  <si>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</si>
  <si>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</si>
  <si>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</si>
  <si>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</si>
  <si>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</si>
  <si>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</si>
  <si>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suelto en Piso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</si>
  <si>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</si>
  <si>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</si>
  <si>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</si>
  <si>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</si>
  <si>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</si>
  <si>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</si>
  <si>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</si>
  <si>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</si>
  <si>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</si>
  <si>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</si>
  <si>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</si>
  <si>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</si>
  <si>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</si>
  <si>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</si>
  <si>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</si>
  <si>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</si>
  <si>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</si>
  <si>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</si>
  <si>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</si>
  <si>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</si>
  <si>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</si>
  <si>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</si>
  <si>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</si>
  <si>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</si>
  <si>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</si>
  <si>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</si>
  <si>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</si>
  <si>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</si>
  <si>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</si>
  <si>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</si>
  <si>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</si>
  <si>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</si>
  <si>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</si>
  <si>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</si>
  <si>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</si>
  <si>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</si>
  <si>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</si>
  <si>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</si>
  <si>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</si>
  <si>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</si>
  <si>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</si>
  <si>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</si>
  <si>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</si>
  <si>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</si>
  <si>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</si>
  <si>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</si>
  <si>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</si>
  <si>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</si>
  <si>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</si>
  <si>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</si>
  <si>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N/D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</si>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</sst>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0" fontId="1" numFmtId="0" xfId="0" applyFont="1"/>
    <xf borderId="0" fillId="8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18.38"/>
    <col customWidth="1" min="8" max="8" width="7.13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5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openGear X</v>
      </c>
      <c r="J64" s="6">
        <v>6.0</v>
      </c>
      <c r="K64" s="6" t="s">
        <v>182</v>
      </c>
      <c r="L64" s="6" t="s">
        <v>106</v>
      </c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106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199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200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201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202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203</v>
      </c>
      <c r="F72" s="11" t="s">
        <v>204</v>
      </c>
      <c r="G72" s="11" t="s">
        <v>162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205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206</v>
      </c>
      <c r="B73" s="9" t="str">
        <f>IF(A73="","",VLOOKUP(A73,DB!A:B,2,0))</f>
        <v>Telairity BE-IRD 5503</v>
      </c>
      <c r="C73" s="9"/>
      <c r="D73" s="9"/>
      <c r="E73" s="9" t="s">
        <v>207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208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181</v>
      </c>
      <c r="B75" s="6" t="str">
        <f>IF(A75="","",VLOOKUP(A75,DB!A:B,2,0))</f>
        <v>openGear X</v>
      </c>
      <c r="C75" s="6">
        <v>2.0</v>
      </c>
      <c r="D75" s="6" t="s">
        <v>182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209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181</v>
      </c>
      <c r="B76" s="6" t="str">
        <f>IF(A76="","",VLOOKUP(A76,DB!A:B,2,0))</f>
        <v>openGear X</v>
      </c>
      <c r="C76" s="6">
        <v>5.0</v>
      </c>
      <c r="D76" s="6" t="s">
        <v>182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210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211</v>
      </c>
      <c r="B77" s="6" t="str">
        <f>IF(A77="","",VLOOKUP(A77,DB!A:B,2,0))</f>
        <v>BM Fiber Converter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212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181</v>
      </c>
      <c r="B78" s="6" t="str">
        <f>IF(A78="","",VLOOKUP(A78,DB!A:B,2,0))</f>
        <v>openGear X</v>
      </c>
      <c r="C78" s="6">
        <v>6.0</v>
      </c>
      <c r="D78" s="6" t="s">
        <v>182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213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181</v>
      </c>
      <c r="B79" s="6" t="str">
        <f>IF(A79="","",VLOOKUP(A79,DB!A:B,2,0))</f>
        <v>openGear X</v>
      </c>
      <c r="C79" s="6">
        <v>4.0</v>
      </c>
      <c r="D79" s="6" t="s">
        <v>182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214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215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181</v>
      </c>
      <c r="B81" s="6" t="str">
        <f>IF(A81="","",VLOOKUP(A81,DB!A:B,2,0))</f>
        <v>openGear X</v>
      </c>
      <c r="C81" s="6">
        <v>3.0</v>
      </c>
      <c r="D81" s="6" t="s">
        <v>182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216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217</v>
      </c>
      <c r="B82" s="6" t="str">
        <f>IF(A82="","",VLOOKUP(A82,DB!A:B,2,0))</f>
        <v>Telairity BE-IRD 5501</v>
      </c>
      <c r="C82" s="5"/>
      <c r="D82" s="5"/>
      <c r="E82" s="6" t="s">
        <v>203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218</v>
      </c>
      <c r="M82" s="6" t="s">
        <v>219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220</v>
      </c>
      <c r="B83" s="6" t="str">
        <f>IF(A83="","",VLOOKUP(A83,DB!A:B,2,0))</f>
        <v>Wellav UMH160R</v>
      </c>
      <c r="C83" s="5"/>
      <c r="D83" s="5"/>
      <c r="E83" s="6" t="s">
        <v>203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221</v>
      </c>
      <c r="M83" s="6" t="s">
        <v>222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223</v>
      </c>
      <c r="B84" s="6" t="str">
        <f>IF(A84="","",VLOOKUP(A84,DB!A:B,2,0))</f>
        <v>Wellav UMH160R</v>
      </c>
      <c r="C84" s="5"/>
      <c r="D84" s="5"/>
      <c r="E84" s="6" t="s">
        <v>203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224</v>
      </c>
      <c r="M84" s="6" t="s">
        <v>225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226</v>
      </c>
      <c r="B85" s="6" t="str">
        <f>IF(A85="","",VLOOKUP(A85,DB!A:B,2,0))</f>
        <v>AJA FS2</v>
      </c>
      <c r="C85" s="5"/>
      <c r="D85" s="5"/>
      <c r="E85" s="6" t="s">
        <v>203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227</v>
      </c>
      <c r="M85" s="6" t="s">
        <v>228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229</v>
      </c>
      <c r="B86" s="6" t="str">
        <f>IF(A86="","",VLOOKUP(A86,DB!A:B,2,0))</f>
        <v>CRD1000D</v>
      </c>
      <c r="C86" s="5"/>
      <c r="D86" s="5"/>
      <c r="E86" s="6" t="s">
        <v>230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231</v>
      </c>
      <c r="M86" s="6" t="s">
        <v>232</v>
      </c>
      <c r="N86" s="5"/>
      <c r="O86" s="6" t="s">
        <v>233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234</v>
      </c>
      <c r="M87" s="6" t="s">
        <v>235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236</v>
      </c>
      <c r="B88" s="6" t="str">
        <f>IF(A88="","",VLOOKUP(A88,DB!A:B,2,0))</f>
        <v>Videocasetera</v>
      </c>
      <c r="C88" s="5"/>
      <c r="D88" s="5"/>
      <c r="E88" s="6" t="s">
        <v>237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238</v>
      </c>
      <c r="M88" s="6" t="s">
        <v>239</v>
      </c>
      <c r="N88" s="5"/>
      <c r="O88" s="6" t="s">
        <v>240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241</v>
      </c>
      <c r="M89" s="6" t="s">
        <v>88</v>
      </c>
      <c r="N89" s="6" t="s">
        <v>242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243</v>
      </c>
      <c r="M90" s="5"/>
      <c r="N90" s="6" t="s">
        <v>215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244</v>
      </c>
      <c r="E91" s="6" t="s">
        <v>16</v>
      </c>
      <c r="F91" s="6" t="s">
        <v>204</v>
      </c>
      <c r="G91" s="6" t="s">
        <v>245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246</v>
      </c>
      <c r="M91" s="6" t="s">
        <v>247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244</v>
      </c>
      <c r="E92" s="6" t="s">
        <v>16</v>
      </c>
      <c r="F92" s="6" t="s">
        <v>204</v>
      </c>
      <c r="G92" s="6" t="s">
        <v>245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248</v>
      </c>
      <c r="M92" s="6" t="s">
        <v>249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244</v>
      </c>
      <c r="E93" s="6" t="s">
        <v>16</v>
      </c>
      <c r="F93" s="6" t="s">
        <v>204</v>
      </c>
      <c r="G93" s="6" t="s">
        <v>245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250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204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204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204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204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204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204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204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203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203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203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203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296</v>
      </c>
      <c r="M115" s="6" t="s">
        <v>88</v>
      </c>
      <c r="N115" s="6" t="s">
        <v>297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88</v>
      </c>
      <c r="N116" s="6" t="s">
        <v>297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300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301</v>
      </c>
      <c r="M118" s="6" t="s">
        <v>302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303</v>
      </c>
      <c r="M119" s="6" t="s">
        <v>304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305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306</v>
      </c>
      <c r="M120" s="6" t="s">
        <v>307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308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203</v>
      </c>
      <c r="F122" s="6" t="s">
        <v>204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309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310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311</v>
      </c>
      <c r="F124" s="6" t="s">
        <v>204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312</v>
      </c>
      <c r="M124" s="6" t="s">
        <v>313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314</v>
      </c>
      <c r="F125" s="6" t="s">
        <v>204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315</v>
      </c>
      <c r="M125" s="6" t="s">
        <v>316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317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318</v>
      </c>
      <c r="E127" s="6" t="s">
        <v>319</v>
      </c>
      <c r="F127" s="6" t="s">
        <v>204</v>
      </c>
      <c r="G127" s="6" t="s">
        <v>320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321</v>
      </c>
      <c r="M127" s="6" t="s">
        <v>322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323</v>
      </c>
      <c r="M128" s="6" t="s">
        <v>324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325</v>
      </c>
      <c r="M129" s="6" t="s">
        <v>326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189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189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204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204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327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204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204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204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330</v>
      </c>
      <c r="L136" s="6" t="s">
        <v>106</v>
      </c>
      <c r="M136" s="6" t="s">
        <v>331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204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330</v>
      </c>
      <c r="L137" s="6" t="s">
        <v>106</v>
      </c>
      <c r="M137" s="6" t="s">
        <v>332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204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330</v>
      </c>
      <c r="L138" s="6" t="s">
        <v>106</v>
      </c>
      <c r="M138" s="6" t="s">
        <v>333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204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330</v>
      </c>
      <c r="L139" s="6" t="s">
        <v>106</v>
      </c>
      <c r="M139" s="6" t="s">
        <v>334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204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335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204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336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204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337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204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338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204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216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204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339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204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340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204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341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204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342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204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204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204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204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204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204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204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204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204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204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204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204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204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204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204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204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204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204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204</v>
      </c>
      <c r="G168" s="6" t="s">
        <v>18</v>
      </c>
      <c r="H168" s="6" t="s">
        <v>343</v>
      </c>
      <c r="I168" s="5" t="str">
        <f>IF(H168="","",VLOOKUP(H168,DB!A:B,2,0))</f>
        <v>Monitor Pvw TX</v>
      </c>
      <c r="J168" s="5"/>
      <c r="K168" s="6"/>
      <c r="L168" s="6" t="s">
        <v>245</v>
      </c>
      <c r="M168" s="5"/>
      <c r="N168" s="5"/>
      <c r="O168" s="6" t="s">
        <v>344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204</v>
      </c>
      <c r="G169" s="6" t="s">
        <v>21</v>
      </c>
      <c r="H169" s="6" t="s">
        <v>88</v>
      </c>
      <c r="I169" s="5" t="str">
        <f>IF(H169="","",VLOOKUP(H169,DB!A:B,2,0))</f>
        <v/>
      </c>
      <c r="J169" s="5"/>
      <c r="K169" s="5"/>
      <c r="L169" s="5"/>
      <c r="M169" s="5"/>
      <c r="N169" s="6" t="s">
        <v>345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204</v>
      </c>
      <c r="G170" s="6" t="s">
        <v>24</v>
      </c>
      <c r="H170" s="6" t="s">
        <v>346</v>
      </c>
      <c r="I170" s="5" t="str">
        <f>IF(H170="","",VLOOKUP(H170,DB!A:B,2,0))</f>
        <v>Monitor Linea TX</v>
      </c>
      <c r="J170" s="5"/>
      <c r="K170" s="6"/>
      <c r="L170" s="6" t="s">
        <v>245</v>
      </c>
      <c r="M170" s="5"/>
      <c r="N170" s="5"/>
      <c r="O170" s="6" t="s">
        <v>344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204</v>
      </c>
      <c r="G171" s="6" t="s">
        <v>27</v>
      </c>
      <c r="H171" s="6" t="s">
        <v>347</v>
      </c>
      <c r="I171" s="5" t="str">
        <f>IF(H171="","",VLOOKUP(H171,DB!A:B,2,0))</f>
        <v>Monitor MV TX</v>
      </c>
      <c r="J171" s="5"/>
      <c r="K171" s="6"/>
      <c r="L171" s="6" t="s">
        <v>245</v>
      </c>
      <c r="M171" s="5"/>
      <c r="N171" s="5"/>
      <c r="O171" s="6" t="s">
        <v>344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204</v>
      </c>
      <c r="G172" s="6" t="s">
        <v>30</v>
      </c>
      <c r="H172" s="6" t="s">
        <v>348</v>
      </c>
      <c r="I172" s="5" t="str">
        <f>IF(H172="","",VLOOKUP(H172,DB!A:B,2,0))</f>
        <v>Monitor Sonidista</v>
      </c>
      <c r="J172" s="5"/>
      <c r="K172" s="6"/>
      <c r="L172" s="6" t="s">
        <v>245</v>
      </c>
      <c r="M172" s="5"/>
      <c r="N172" s="5"/>
      <c r="O172" s="6" t="s">
        <v>344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204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204</v>
      </c>
      <c r="G174" s="6" t="s">
        <v>36</v>
      </c>
      <c r="H174" s="6" t="s">
        <v>349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204</v>
      </c>
      <c r="G175" s="6" t="s">
        <v>39</v>
      </c>
      <c r="H175" s="6" t="s">
        <v>350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204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204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204</v>
      </c>
      <c r="G178" s="6" t="s">
        <v>49</v>
      </c>
      <c r="H178" s="6" t="s">
        <v>351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204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204</v>
      </c>
      <c r="G180" s="6" t="s">
        <v>55</v>
      </c>
      <c r="H180" s="6" t="s">
        <v>352</v>
      </c>
      <c r="I180" s="5" t="str">
        <f>IF(H180="","",VLOOKUP(H180,DB!A:B,2,0))</f>
        <v>Monitor Titulos</v>
      </c>
      <c r="J180" s="5"/>
      <c r="K180" s="6"/>
      <c r="L180" s="6" t="s">
        <v>245</v>
      </c>
      <c r="M180" s="5"/>
      <c r="N180" s="5"/>
      <c r="O180" s="6" t="s">
        <v>344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204</v>
      </c>
      <c r="G181" s="6" t="s">
        <v>58</v>
      </c>
      <c r="H181" s="6" t="s">
        <v>353</v>
      </c>
      <c r="I181" s="5" t="str">
        <f>IF(H181="","",VLOOKUP(H181,DB!A:B,2,0))</f>
        <v>Monitor Iluminador</v>
      </c>
      <c r="J181" s="5"/>
      <c r="K181" s="6"/>
      <c r="L181" s="6" t="s">
        <v>245</v>
      </c>
      <c r="M181" s="5"/>
      <c r="N181" s="5"/>
      <c r="O181" s="6" t="s">
        <v>344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204</v>
      </c>
      <c r="G182" s="6" t="s">
        <v>61</v>
      </c>
      <c r="H182" s="6" t="s">
        <v>354</v>
      </c>
      <c r="I182" s="5" t="str">
        <f>IF(H182="","",VLOOKUP(H182,DB!A:B,2,0))</f>
        <v>Monitor Piso</v>
      </c>
      <c r="J182" s="5"/>
      <c r="K182" s="6"/>
      <c r="L182" s="6" t="s">
        <v>245</v>
      </c>
      <c r="M182" s="5"/>
      <c r="N182" s="5"/>
      <c r="O182" s="6" t="s">
        <v>344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204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207</v>
      </c>
      <c r="F184" s="6" t="s">
        <v>204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226</v>
      </c>
      <c r="B185" s="6" t="str">
        <f>IF(A185="","",VLOOKUP(A185,DB!A:B,2,0))</f>
        <v>AJA FS2</v>
      </c>
      <c r="C185" s="5"/>
      <c r="D185" s="5"/>
      <c r="E185" s="6" t="s">
        <v>207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318</v>
      </c>
      <c r="L185" s="6" t="s">
        <v>320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330</v>
      </c>
      <c r="E186" s="6" t="s">
        <v>197</v>
      </c>
      <c r="F186" s="6" t="s">
        <v>204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330</v>
      </c>
      <c r="E187" s="6" t="s">
        <v>355</v>
      </c>
      <c r="F187" s="6" t="s">
        <v>204</v>
      </c>
      <c r="G187" s="6" t="s">
        <v>106</v>
      </c>
      <c r="H187" s="6" t="s">
        <v>356</v>
      </c>
      <c r="I187" s="5" t="str">
        <f>IF(H187="","",VLOOKUP(H187,DB!A:B,2,0))</f>
        <v>Yamaha QL5</v>
      </c>
      <c r="J187" s="5"/>
      <c r="K187" s="6"/>
      <c r="L187" s="6" t="s">
        <v>357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330</v>
      </c>
      <c r="E188" s="6" t="s">
        <v>358</v>
      </c>
      <c r="F188" s="6" t="s">
        <v>204</v>
      </c>
      <c r="G188" s="6" t="s">
        <v>106</v>
      </c>
      <c r="H188" s="6" t="s">
        <v>356</v>
      </c>
      <c r="I188" s="5" t="str">
        <f>IF(H188="","",VLOOKUP(H188,DB!A:B,2,0))</f>
        <v>Yamaha QL5</v>
      </c>
      <c r="J188" s="5"/>
      <c r="K188" s="6"/>
      <c r="L188" s="6" t="s">
        <v>359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330</v>
      </c>
      <c r="E189" s="6" t="s">
        <v>197</v>
      </c>
      <c r="F189" s="6" t="s">
        <v>204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330</v>
      </c>
      <c r="E190" s="6" t="s">
        <v>355</v>
      </c>
      <c r="F190" s="6" t="s">
        <v>204</v>
      </c>
      <c r="G190" s="6" t="s">
        <v>106</v>
      </c>
      <c r="H190" s="6" t="s">
        <v>356</v>
      </c>
      <c r="I190" s="5" t="str">
        <f>IF(H190="","",VLOOKUP(H190,DB!A:B,2,0))</f>
        <v>Yamaha QL5</v>
      </c>
      <c r="J190" s="5"/>
      <c r="K190" s="6"/>
      <c r="L190" s="6" t="s">
        <v>360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330</v>
      </c>
      <c r="E191" s="6" t="s">
        <v>358</v>
      </c>
      <c r="F191" s="6" t="s">
        <v>204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330</v>
      </c>
      <c r="E192" s="6" t="s">
        <v>197</v>
      </c>
      <c r="F192" s="6" t="s">
        <v>204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330</v>
      </c>
      <c r="E193" s="6" t="s">
        <v>355</v>
      </c>
      <c r="F193" s="6" t="s">
        <v>204</v>
      </c>
      <c r="G193" s="6" t="s">
        <v>106</v>
      </c>
      <c r="H193" s="6" t="s">
        <v>356</v>
      </c>
      <c r="I193" s="5" t="str">
        <f>IF(H193="","",VLOOKUP(H193,DB!A:B,2,0))</f>
        <v>Yamaha QL5</v>
      </c>
      <c r="J193" s="5"/>
      <c r="K193" s="6"/>
      <c r="L193" s="6" t="s">
        <v>361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330</v>
      </c>
      <c r="E194" s="6" t="s">
        <v>358</v>
      </c>
      <c r="F194" s="6" t="s">
        <v>204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330</v>
      </c>
      <c r="E195" s="6" t="s">
        <v>197</v>
      </c>
      <c r="F195" s="6" t="s">
        <v>204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330</v>
      </c>
      <c r="E196" s="6" t="s">
        <v>355</v>
      </c>
      <c r="F196" s="6" t="s">
        <v>204</v>
      </c>
      <c r="G196" s="6" t="s">
        <v>106</v>
      </c>
      <c r="H196" s="6" t="s">
        <v>356</v>
      </c>
      <c r="I196" s="5" t="str">
        <f>IF(H196="","",VLOOKUP(H196,DB!A:B,2,0))</f>
        <v>Yamaha QL5</v>
      </c>
      <c r="J196" s="5"/>
      <c r="K196" s="6"/>
      <c r="L196" s="6" t="s">
        <v>362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330</v>
      </c>
      <c r="E197" s="6" t="s">
        <v>358</v>
      </c>
      <c r="F197" s="6" t="s">
        <v>204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330</v>
      </c>
      <c r="E198" s="6" t="s">
        <v>197</v>
      </c>
      <c r="F198" s="6" t="s">
        <v>204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330</v>
      </c>
      <c r="E199" s="6" t="s">
        <v>355</v>
      </c>
      <c r="F199" s="6" t="s">
        <v>204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330</v>
      </c>
      <c r="E200" s="6" t="s">
        <v>358</v>
      </c>
      <c r="F200" s="6" t="s">
        <v>204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363</v>
      </c>
      <c r="F201" s="6" t="s">
        <v>204</v>
      </c>
      <c r="G201" s="6" t="s">
        <v>145</v>
      </c>
      <c r="H201" s="6" t="s">
        <v>88</v>
      </c>
      <c r="I201" s="5" t="str">
        <f>IF(H201="","",VLOOKUP(H201,DB!A:B,2,0))</f>
        <v/>
      </c>
      <c r="J201" s="5"/>
      <c r="K201" s="5"/>
      <c r="L201" s="5"/>
      <c r="M201" s="5"/>
      <c r="N201" s="6" t="s">
        <v>364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365</v>
      </c>
      <c r="F202" s="6" t="s">
        <v>204</v>
      </c>
      <c r="G202" s="6" t="s">
        <v>145</v>
      </c>
      <c r="H202" s="6" t="s">
        <v>88</v>
      </c>
      <c r="I202" s="5" t="str">
        <f>IF(H202="","",VLOOKUP(H202,DB!A:B,2,0))</f>
        <v/>
      </c>
      <c r="J202" s="5"/>
      <c r="K202" s="5"/>
      <c r="L202" s="5"/>
      <c r="M202" s="5"/>
      <c r="N202" s="6" t="s">
        <v>364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366</v>
      </c>
      <c r="F203" s="6" t="s">
        <v>204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367</v>
      </c>
      <c r="F204" s="6" t="s">
        <v>204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319</v>
      </c>
      <c r="F205" s="6" t="s">
        <v>204</v>
      </c>
      <c r="G205" s="6" t="s">
        <v>320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368</v>
      </c>
      <c r="F206" s="6" t="s">
        <v>204</v>
      </c>
      <c r="G206" s="6" t="s">
        <v>320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369</v>
      </c>
      <c r="F207" s="6" t="s">
        <v>204</v>
      </c>
      <c r="G207" s="6" t="s">
        <v>320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370</v>
      </c>
      <c r="F208" s="6" t="s">
        <v>204</v>
      </c>
      <c r="G208" s="6" t="s">
        <v>320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371</v>
      </c>
      <c r="B209" s="6" t="str">
        <f>IF(A209="","",VLOOKUP(A209,DB!A:B,2,0))</f>
        <v>Cisco D9865</v>
      </c>
      <c r="C209" s="5"/>
      <c r="D209" s="5"/>
      <c r="E209" s="6" t="s">
        <v>230</v>
      </c>
      <c r="F209" s="5"/>
      <c r="G209" s="5"/>
      <c r="H209" s="6" t="s">
        <v>226</v>
      </c>
      <c r="I209" s="5" t="str">
        <f>IF(H209="","",VLOOKUP(H209,DB!A:B,2,0))</f>
        <v>AJA FS2</v>
      </c>
      <c r="J209" s="5"/>
      <c r="K209" s="6"/>
      <c r="L209" s="6" t="s">
        <v>372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5.0</v>
      </c>
      <c r="D210" s="6" t="s">
        <v>330</v>
      </c>
      <c r="E210" s="6" t="s">
        <v>197</v>
      </c>
      <c r="F210" s="6" t="s">
        <v>204</v>
      </c>
      <c r="G210" s="6" t="s">
        <v>106</v>
      </c>
      <c r="H210" s="6" t="s">
        <v>226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6.0</v>
      </c>
      <c r="D211" s="6" t="s">
        <v>318</v>
      </c>
      <c r="E211" s="6" t="s">
        <v>368</v>
      </c>
      <c r="F211" s="6" t="s">
        <v>204</v>
      </c>
      <c r="G211" s="6" t="s">
        <v>320</v>
      </c>
      <c r="H211" s="6" t="s">
        <v>181</v>
      </c>
      <c r="I211" s="5" t="str">
        <f>IF(H211="","",VLOOKUP(H211,DB!A:B,2,0))</f>
        <v>openGear X</v>
      </c>
      <c r="J211" s="6">
        <v>1.0</v>
      </c>
      <c r="K211" s="6" t="s">
        <v>318</v>
      </c>
      <c r="L211" s="6" t="s">
        <v>320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6.0</v>
      </c>
      <c r="D212" s="6" t="s">
        <v>318</v>
      </c>
      <c r="E212" s="6" t="s">
        <v>373</v>
      </c>
      <c r="F212" s="6" t="s">
        <v>204</v>
      </c>
      <c r="G212" s="6" t="s">
        <v>320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318</v>
      </c>
      <c r="E213" s="6" t="s">
        <v>363</v>
      </c>
      <c r="F213" s="6" t="s">
        <v>204</v>
      </c>
      <c r="G213" s="6" t="s">
        <v>320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6.0</v>
      </c>
      <c r="D214" s="6" t="s">
        <v>318</v>
      </c>
      <c r="E214" s="6" t="s">
        <v>365</v>
      </c>
      <c r="F214" s="6" t="s">
        <v>204</v>
      </c>
      <c r="G214" s="6" t="s">
        <v>320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6.0</v>
      </c>
      <c r="D215" s="6" t="s">
        <v>318</v>
      </c>
      <c r="E215" s="6" t="s">
        <v>369</v>
      </c>
      <c r="F215" s="6" t="s">
        <v>204</v>
      </c>
      <c r="G215" s="6" t="s">
        <v>320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6.0</v>
      </c>
      <c r="D216" s="6" t="s">
        <v>318</v>
      </c>
      <c r="E216" s="6" t="s">
        <v>366</v>
      </c>
      <c r="F216" s="6" t="s">
        <v>204</v>
      </c>
      <c r="G216" s="6" t="s">
        <v>320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6.0</v>
      </c>
      <c r="D217" s="6" t="s">
        <v>318</v>
      </c>
      <c r="E217" s="6" t="s">
        <v>370</v>
      </c>
      <c r="F217" s="6" t="s">
        <v>204</v>
      </c>
      <c r="G217" s="6" t="s">
        <v>320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6.0</v>
      </c>
      <c r="D218" s="6" t="s">
        <v>318</v>
      </c>
      <c r="E218" s="6" t="s">
        <v>367</v>
      </c>
      <c r="F218" s="6" t="s">
        <v>204</v>
      </c>
      <c r="G218" s="6" t="s">
        <v>320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374</v>
      </c>
      <c r="B219" s="6" t="str">
        <f>IF(A219="","",VLOOKUP(A219,DB!A:B,2,0))</f>
        <v>Raspberry PI 1</v>
      </c>
      <c r="C219" s="5"/>
      <c r="D219" s="6"/>
      <c r="E219" s="6" t="s">
        <v>260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244</v>
      </c>
      <c r="L219" s="6" t="s">
        <v>245</v>
      </c>
      <c r="M219" s="5"/>
      <c r="N219" s="6" t="s">
        <v>375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376</v>
      </c>
      <c r="B220" s="6" t="str">
        <f>IF(A220="","",VLOOKUP(A220,DB!A:B,2,0))</f>
        <v>Raspberry PI 2</v>
      </c>
      <c r="C220" s="5"/>
      <c r="D220" s="6"/>
      <c r="E220" s="6" t="s">
        <v>260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244</v>
      </c>
      <c r="L220" s="6" t="s">
        <v>245</v>
      </c>
      <c r="M220" s="5"/>
      <c r="N220" s="6" t="s">
        <v>377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378</v>
      </c>
      <c r="B221" s="6" t="str">
        <f>IF(A221="","",VLOOKUP(A221,DB!A:B,2,0))</f>
        <v>Deco Direccion</v>
      </c>
      <c r="C221" s="5"/>
      <c r="D221" s="5"/>
      <c r="E221" s="6" t="s">
        <v>260</v>
      </c>
      <c r="F221" s="5"/>
      <c r="G221" s="5"/>
      <c r="H221" s="6" t="s">
        <v>264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263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379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189</v>
      </c>
      <c r="F222" s="5"/>
      <c r="G222" s="5"/>
      <c r="H222" s="6" t="s">
        <v>264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279</v>
      </c>
      <c r="B223" s="6" t="str">
        <f>IF(A223="","",VLOOKUP(A223,DB!A:B,2,0))</f>
        <v>Sony HXCU-100 Cam 1</v>
      </c>
      <c r="C223" s="5"/>
      <c r="D223" s="5"/>
      <c r="E223" s="6" t="s">
        <v>207</v>
      </c>
      <c r="F223" s="5"/>
      <c r="G223" s="5"/>
      <c r="H223" s="6" t="s">
        <v>253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279</v>
      </c>
      <c r="B224" s="6" t="str">
        <f>IF(A224="","",VLOOKUP(A224,DB!A:B,2,0))</f>
        <v>Sony HXCU-100 Cam 1</v>
      </c>
      <c r="C224" s="5"/>
      <c r="D224" s="5"/>
      <c r="E224" s="6" t="s">
        <v>311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282</v>
      </c>
      <c r="B225" s="6" t="str">
        <f>IF(A225="","",VLOOKUP(A225,DB!A:B,2,0))</f>
        <v>Sony HXCU-100 Cam 2</v>
      </c>
      <c r="C225" s="5"/>
      <c r="D225" s="5"/>
      <c r="E225" s="6" t="s">
        <v>207</v>
      </c>
      <c r="F225" s="5"/>
      <c r="G225" s="5"/>
      <c r="H225" s="6" t="s">
        <v>253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282</v>
      </c>
      <c r="B226" s="6" t="str">
        <f>IF(A226="","",VLOOKUP(A226,DB!A:B,2,0))</f>
        <v>Sony HXCU-100 Cam 2</v>
      </c>
      <c r="C226" s="5"/>
      <c r="D226" s="5"/>
      <c r="E226" s="6" t="s">
        <v>311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285</v>
      </c>
      <c r="B227" s="6" t="str">
        <f>IF(A227="","",VLOOKUP(A227,DB!A:B,2,0))</f>
        <v>Sony HXCU-100 Cam 3</v>
      </c>
      <c r="C227" s="5"/>
      <c r="D227" s="5"/>
      <c r="E227" s="6" t="s">
        <v>207</v>
      </c>
      <c r="F227" s="5"/>
      <c r="G227" s="5"/>
      <c r="H227" s="6" t="s">
        <v>253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285</v>
      </c>
      <c r="B228" s="6" t="str">
        <f>IF(A228="","",VLOOKUP(A228,DB!A:B,2,0))</f>
        <v>Sony HXCU-100 Cam 3</v>
      </c>
      <c r="C228" s="5"/>
      <c r="D228" s="5"/>
      <c r="E228" s="6" t="s">
        <v>311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288</v>
      </c>
      <c r="B229" s="6" t="str">
        <f>IF(A229="","",VLOOKUP(A229,DB!A:B,2,0))</f>
        <v>Sony HXCU-100 Cam 4</v>
      </c>
      <c r="C229" s="5"/>
      <c r="D229" s="5"/>
      <c r="E229" s="6" t="s">
        <v>207</v>
      </c>
      <c r="F229" s="5"/>
      <c r="G229" s="5"/>
      <c r="H229" s="6" t="s">
        <v>253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288</v>
      </c>
      <c r="B230" s="6" t="str">
        <f>IF(A230="","",VLOOKUP(A230,DB!A:B,2,0))</f>
        <v>Sony HXCU-100 Cam 4</v>
      </c>
      <c r="C230" s="5"/>
      <c r="D230" s="5"/>
      <c r="E230" s="6" t="s">
        <v>311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380</v>
      </c>
      <c r="F231" s="5"/>
      <c r="G231" s="5"/>
      <c r="H231" s="6" t="s">
        <v>381</v>
      </c>
      <c r="I231" s="5" t="str">
        <f>IF(H231="","",VLOOKUP(H231,DB!A:B,2,0))</f>
        <v>Monitor Director 2</v>
      </c>
      <c r="J231" s="5"/>
      <c r="K231" s="6"/>
      <c r="L231" s="6" t="s">
        <v>245</v>
      </c>
      <c r="M231" s="5"/>
      <c r="N231" s="5"/>
      <c r="O231" s="6" t="s">
        <v>344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382</v>
      </c>
      <c r="F232" s="5"/>
      <c r="G232" s="5"/>
      <c r="H232" s="6" t="s">
        <v>383</v>
      </c>
      <c r="I232" s="5" t="str">
        <f>IF(H232="","",VLOOKUP(H232,DB!A:B,2,0))</f>
        <v>PC Pantalla</v>
      </c>
      <c r="J232" s="5"/>
      <c r="K232" s="6"/>
      <c r="L232" s="6" t="s">
        <v>245</v>
      </c>
      <c r="M232" s="5"/>
      <c r="N232" s="5"/>
      <c r="O232" s="6" t="s">
        <v>384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385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385</v>
      </c>
      <c r="B234" s="6" t="str">
        <f>IF(A234="","",VLOOKUP(A234,DB!A:B,2,0))</f>
        <v>AJA HD5DA</v>
      </c>
      <c r="C234" s="5"/>
      <c r="D234" s="5"/>
      <c r="E234" s="6" t="s">
        <v>203</v>
      </c>
      <c r="F234" s="6" t="s">
        <v>204</v>
      </c>
      <c r="G234" s="6" t="s">
        <v>106</v>
      </c>
      <c r="H234" s="6" t="s">
        <v>279</v>
      </c>
      <c r="I234" s="5" t="str">
        <f>IF(H234="","",VLOOKUP(H234,DB!A:B,2,0))</f>
        <v>Sony HXCU-100 Cam 1</v>
      </c>
      <c r="J234" s="5"/>
      <c r="K234" s="6"/>
      <c r="L234" s="6" t="s">
        <v>386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385</v>
      </c>
      <c r="B235" s="6" t="str">
        <f>IF(A235="","",VLOOKUP(A235,DB!A:B,2,0))</f>
        <v>AJA HD5DA</v>
      </c>
      <c r="C235" s="5"/>
      <c r="D235" s="5"/>
      <c r="E235" s="6" t="s">
        <v>207</v>
      </c>
      <c r="F235" s="6" t="s">
        <v>204</v>
      </c>
      <c r="G235" s="6" t="s">
        <v>106</v>
      </c>
      <c r="H235" s="6" t="s">
        <v>282</v>
      </c>
      <c r="I235" s="5" t="str">
        <f>IF(H235="","",VLOOKUP(H235,DB!A:B,2,0))</f>
        <v>Sony HXCU-100 Cam 2</v>
      </c>
      <c r="J235" s="5"/>
      <c r="K235" s="6"/>
      <c r="L235" s="6" t="s">
        <v>386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385</v>
      </c>
      <c r="B236" s="6" t="str">
        <f>IF(A236="","",VLOOKUP(A236,DB!A:B,2,0))</f>
        <v>AJA HD5DA</v>
      </c>
      <c r="C236" s="5"/>
      <c r="D236" s="5"/>
      <c r="E236" s="6" t="s">
        <v>311</v>
      </c>
      <c r="F236" s="6" t="s">
        <v>204</v>
      </c>
      <c r="G236" s="6" t="s">
        <v>106</v>
      </c>
      <c r="H236" s="6" t="s">
        <v>285</v>
      </c>
      <c r="I236" s="5" t="str">
        <f>IF(H236="","",VLOOKUP(H236,DB!A:B,2,0))</f>
        <v>Sony HXCU-100 Cam 3</v>
      </c>
      <c r="J236" s="5"/>
      <c r="K236" s="6"/>
      <c r="L236" s="6" t="s">
        <v>386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385</v>
      </c>
      <c r="B237" s="6" t="str">
        <f>IF(A237="","",VLOOKUP(A237,DB!A:B,2,0))</f>
        <v>AJA HD5DA</v>
      </c>
      <c r="C237" s="5"/>
      <c r="D237" s="5"/>
      <c r="E237" s="6" t="s">
        <v>314</v>
      </c>
      <c r="F237" s="6" t="s">
        <v>204</v>
      </c>
      <c r="G237" s="6" t="s">
        <v>106</v>
      </c>
      <c r="H237" s="6" t="s">
        <v>288</v>
      </c>
      <c r="I237" s="5" t="str">
        <f>IF(H237="","",VLOOKUP(H237,DB!A:B,2,0))</f>
        <v>Sony HXCU-100 Cam 4</v>
      </c>
      <c r="J237" s="5"/>
      <c r="K237" s="6"/>
      <c r="L237" s="6" t="s">
        <v>386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387</v>
      </c>
      <c r="B238" s="6" t="str">
        <f>IF(A238="","",VLOOKUP(A238,DB!A:B,2,0))</f>
        <v>Patch Estudio</v>
      </c>
      <c r="C238" s="5"/>
      <c r="D238" s="5"/>
      <c r="E238" s="6" t="s">
        <v>388</v>
      </c>
      <c r="F238" s="5"/>
      <c r="G238" s="5"/>
      <c r="H238" s="6" t="s">
        <v>264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264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264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264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264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264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264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264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264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264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264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264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264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244</v>
      </c>
      <c r="L254" s="6" t="s">
        <v>245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226</v>
      </c>
      <c r="B255" s="6" t="str">
        <f>IF(A255="","",VLOOKUP(A255,DB!A:B,2,0))</f>
        <v>AJA FS2</v>
      </c>
      <c r="C255" s="5"/>
      <c r="D255" s="6"/>
      <c r="E255" s="6" t="s">
        <v>389</v>
      </c>
      <c r="F255" s="5"/>
      <c r="G255" s="5"/>
      <c r="H255" s="6" t="s">
        <v>390</v>
      </c>
      <c r="I255" s="5" t="str">
        <f>IF(H255="","",VLOOKUP(H255,DB!A:B,2,0))</f>
        <v>Digiwave DSC-131</v>
      </c>
      <c r="J255" s="6"/>
      <c r="K255" s="6"/>
      <c r="L255" s="6" t="s">
        <v>391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390</v>
      </c>
      <c r="B256" s="6" t="str">
        <f>IF(A256="","",VLOOKUP(A256,DB!A:B,2,0))</f>
        <v>Digiwave DSC-131</v>
      </c>
      <c r="C256" s="5"/>
      <c r="D256" s="6"/>
      <c r="E256" s="6" t="s">
        <v>392</v>
      </c>
      <c r="F256" s="5"/>
      <c r="G256" s="5"/>
      <c r="H256" s="6" t="s">
        <v>393</v>
      </c>
      <c r="I256" s="5" t="str">
        <f>IF(H256="","",VLOOKUP(H256,DB!A:B,2,0))</f>
        <v>vidicraft vst2110</v>
      </c>
      <c r="J256" s="6"/>
      <c r="K256" s="6"/>
      <c r="L256" s="6" t="s">
        <v>394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395</v>
      </c>
      <c r="B257" s="6" t="str">
        <f>IF(A257="","",VLOOKUP(A257,DB!A:B,2,0))</f>
        <v>tc electronic Finalizer</v>
      </c>
      <c r="C257" s="5"/>
      <c r="D257" s="6"/>
      <c r="E257" s="6" t="s">
        <v>396</v>
      </c>
      <c r="F257" s="5"/>
      <c r="G257" s="5"/>
      <c r="H257" s="6" t="s">
        <v>226</v>
      </c>
      <c r="I257" s="5" t="str">
        <f>IF(H257="","",VLOOKUP(H257,DB!A:B,2,0))</f>
        <v>AJA FS2</v>
      </c>
      <c r="J257" s="6"/>
      <c r="K257" s="6"/>
      <c r="L257" s="6" t="s">
        <v>397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395</v>
      </c>
      <c r="B258" s="6" t="str">
        <f>IF(A258="","",VLOOKUP(A258,DB!A:B,2,0))</f>
        <v>tc electronic Finalizer</v>
      </c>
      <c r="C258" s="5"/>
      <c r="D258" s="6"/>
      <c r="E258" s="6" t="s">
        <v>398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242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395</v>
      </c>
      <c r="B259" s="6" t="str">
        <f>IF(A259="","",VLOOKUP(A259,DB!A:B,2,0))</f>
        <v>tc electronic Finalizer</v>
      </c>
      <c r="C259" s="5"/>
      <c r="D259" s="6"/>
      <c r="E259" s="6" t="s">
        <v>399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242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400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204</v>
      </c>
      <c r="G260" s="6" t="s">
        <v>18</v>
      </c>
      <c r="H260" s="6" t="s">
        <v>188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401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400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204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401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400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204</v>
      </c>
      <c r="G262" s="6" t="s">
        <v>18</v>
      </c>
      <c r="H262" s="6" t="s">
        <v>191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401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400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204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401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400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204</v>
      </c>
      <c r="G264" s="6" t="s">
        <v>18</v>
      </c>
      <c r="H264" s="6" t="s">
        <v>193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401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400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204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401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400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204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402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400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204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188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403</v>
      </c>
      <c r="F268" s="5"/>
      <c r="G268" s="5"/>
      <c r="H268" s="6" t="s">
        <v>356</v>
      </c>
      <c r="I268" s="5" t="str">
        <f>IF(H268="","",VLOOKUP(H268,DB!A:B,2,0))</f>
        <v>Yamaha QL5</v>
      </c>
      <c r="J268" s="6"/>
      <c r="K268" s="6"/>
      <c r="L268" s="6" t="s">
        <v>404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181</v>
      </c>
      <c r="B269" s="6" t="str">
        <f>IF(A269="","",VLOOKUP(A269,DB!A:B,2,0))</f>
        <v>openGear X</v>
      </c>
      <c r="C269" s="6">
        <v>1.0</v>
      </c>
      <c r="D269" s="6" t="s">
        <v>318</v>
      </c>
      <c r="E269" s="6" t="s">
        <v>405</v>
      </c>
      <c r="F269" s="6" t="s">
        <v>204</v>
      </c>
      <c r="G269" s="6" t="s">
        <v>320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181</v>
      </c>
      <c r="B270" s="6" t="str">
        <f>IF(A270="","",VLOOKUP(A270,DB!A:B,2,0))</f>
        <v>openGear X</v>
      </c>
      <c r="C270" s="6">
        <v>1.0</v>
      </c>
      <c r="D270" s="6" t="s">
        <v>318</v>
      </c>
      <c r="E270" s="6" t="s">
        <v>406</v>
      </c>
      <c r="F270" s="6" t="s">
        <v>204</v>
      </c>
      <c r="G270" s="6" t="s">
        <v>320</v>
      </c>
      <c r="H270" s="6" t="s">
        <v>407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408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181</v>
      </c>
      <c r="B271" s="6" t="str">
        <f>IF(A271="","",VLOOKUP(A271,DB!A:B,2,0))</f>
        <v>openGear X</v>
      </c>
      <c r="C271" s="6">
        <v>1.0</v>
      </c>
      <c r="D271" s="6" t="s">
        <v>318</v>
      </c>
      <c r="E271" s="6" t="s">
        <v>409</v>
      </c>
      <c r="F271" s="6" t="s">
        <v>204</v>
      </c>
      <c r="G271" s="6" t="s">
        <v>320</v>
      </c>
      <c r="H271" s="6" t="s">
        <v>211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410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181</v>
      </c>
      <c r="B272" s="6" t="str">
        <f>IF(A272="","",VLOOKUP(A272,DB!A:B,2,0))</f>
        <v>openGear X</v>
      </c>
      <c r="C272" s="6">
        <v>1.0</v>
      </c>
      <c r="D272" s="6" t="s">
        <v>318</v>
      </c>
      <c r="E272" s="6" t="s">
        <v>411</v>
      </c>
      <c r="F272" s="6" t="s">
        <v>204</v>
      </c>
      <c r="G272" s="6" t="s">
        <v>320</v>
      </c>
      <c r="H272" s="6" t="s">
        <v>181</v>
      </c>
      <c r="I272" s="5" t="str">
        <f>IF(H272="","",VLOOKUP(H272,DB!A:B,2,0))</f>
        <v>openGear X</v>
      </c>
      <c r="J272" s="6">
        <v>3.0</v>
      </c>
      <c r="K272" s="13" t="s">
        <v>182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181</v>
      </c>
      <c r="B273" s="6" t="str">
        <f>IF(A273="","",VLOOKUP(A273,DB!A:B,2,0))</f>
        <v>openGear X</v>
      </c>
      <c r="C273" s="6">
        <v>1.0</v>
      </c>
      <c r="D273" s="6" t="s">
        <v>318</v>
      </c>
      <c r="E273" s="6" t="s">
        <v>412</v>
      </c>
      <c r="F273" s="6" t="s">
        <v>204</v>
      </c>
      <c r="G273" s="6" t="s">
        <v>320</v>
      </c>
      <c r="H273" s="6" t="s">
        <v>181</v>
      </c>
      <c r="I273" s="5" t="str">
        <f>IF(H273="","",VLOOKUP(H273,DB!A:B,2,0))</f>
        <v>openGear X</v>
      </c>
      <c r="J273" s="6">
        <v>2.0</v>
      </c>
      <c r="K273" s="13" t="s">
        <v>182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181</v>
      </c>
      <c r="B274" s="6" t="str">
        <f>IF(A274="","",VLOOKUP(A274,DB!A:B,2,0))</f>
        <v>openGear X</v>
      </c>
      <c r="C274" s="6">
        <v>1.0</v>
      </c>
      <c r="D274" s="6" t="s">
        <v>318</v>
      </c>
      <c r="E274" s="6" t="s">
        <v>413</v>
      </c>
      <c r="F274" s="6" t="s">
        <v>204</v>
      </c>
      <c r="G274" s="6" t="s">
        <v>320</v>
      </c>
      <c r="H274" s="6" t="s">
        <v>181</v>
      </c>
      <c r="I274" s="5" t="str">
        <f>IF(H274="","",VLOOKUP(H274,DB!A:B,2,0))</f>
        <v>openGear X</v>
      </c>
      <c r="J274" s="6">
        <v>5.0</v>
      </c>
      <c r="K274" s="13" t="s">
        <v>182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181</v>
      </c>
      <c r="B275" s="6" t="str">
        <f>IF(A275="","",VLOOKUP(A275,DB!A:B,2,0))</f>
        <v>openGear X</v>
      </c>
      <c r="C275" s="6">
        <v>1.0</v>
      </c>
      <c r="D275" s="6" t="s">
        <v>318</v>
      </c>
      <c r="E275" s="6" t="s">
        <v>414</v>
      </c>
      <c r="F275" s="6" t="s">
        <v>204</v>
      </c>
      <c r="G275" s="6" t="s">
        <v>320</v>
      </c>
      <c r="H275" s="6" t="s">
        <v>415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416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181</v>
      </c>
      <c r="B276" s="6" t="str">
        <f>IF(A276="","",VLOOKUP(A276,DB!A:B,2,0))</f>
        <v>openGear X</v>
      </c>
      <c r="C276" s="6">
        <v>1.0</v>
      </c>
      <c r="D276" s="6" t="s">
        <v>318</v>
      </c>
      <c r="E276" s="6" t="s">
        <v>417</v>
      </c>
      <c r="F276" s="6" t="s">
        <v>204</v>
      </c>
      <c r="G276" s="6" t="s">
        <v>320</v>
      </c>
      <c r="H276" s="6" t="s">
        <v>351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181</v>
      </c>
      <c r="B277" s="6" t="str">
        <f>IF(A277="","",VLOOKUP(A277,DB!A:B,2,0))</f>
        <v>openGear X</v>
      </c>
      <c r="C277" s="6">
        <v>1.0</v>
      </c>
      <c r="D277" s="6" t="s">
        <v>318</v>
      </c>
      <c r="E277" s="6" t="s">
        <v>418</v>
      </c>
      <c r="F277" s="6" t="s">
        <v>204</v>
      </c>
      <c r="G277" s="6" t="s">
        <v>320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215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419</v>
      </c>
      <c r="B278" s="6" t="str">
        <f>IF(A278="","",VLOOKUP(A278,DB!A:B,2,0))</f>
        <v>Leader Sync Generator</v>
      </c>
      <c r="C278" s="5"/>
      <c r="D278" s="6"/>
      <c r="E278" s="6" t="s">
        <v>420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421</v>
      </c>
      <c r="L278" s="6" t="s">
        <v>401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419</v>
      </c>
      <c r="B279" s="6" t="str">
        <f>IF(A279="","",VLOOKUP(A279,DB!A:B,2,0))</f>
        <v>Leader Sync Generator</v>
      </c>
      <c r="C279" s="5"/>
      <c r="D279" s="6"/>
      <c r="E279" s="6" t="s">
        <v>422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401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419</v>
      </c>
      <c r="B280" s="6" t="str">
        <f>IF(A280="","",VLOOKUP(A280,DB!A:B,2,0))</f>
        <v>Leader Sync Generator</v>
      </c>
      <c r="C280" s="5"/>
      <c r="D280" s="6"/>
      <c r="E280" s="6" t="s">
        <v>423</v>
      </c>
      <c r="F280" s="5"/>
      <c r="G280" s="5"/>
      <c r="H280" s="6" t="s">
        <v>424</v>
      </c>
      <c r="I280" s="5" t="str">
        <f>IF(H280="","",VLOOKUP(H280,DB!A:B,2,0))</f>
        <v>Miranda Densite3</v>
      </c>
      <c r="J280" s="6">
        <v>7.0</v>
      </c>
      <c r="K280" s="6" t="s">
        <v>425</v>
      </c>
      <c r="L280" s="6" t="s">
        <v>394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419</v>
      </c>
      <c r="B281" s="6" t="str">
        <f>IF(A281="","",VLOOKUP(A281,DB!A:B,2,0))</f>
        <v>Leader Sync Generator</v>
      </c>
      <c r="C281" s="5"/>
      <c r="D281" s="6"/>
      <c r="E281" s="6" t="s">
        <v>426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419</v>
      </c>
      <c r="B282" s="6" t="str">
        <f>IF(A282="","",VLOOKUP(A282,DB!A:B,2,0))</f>
        <v>Leader Sync Generator</v>
      </c>
      <c r="C282" s="5"/>
      <c r="D282" s="6"/>
      <c r="E282" s="6" t="s">
        <v>427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419</v>
      </c>
      <c r="B283" s="6" t="str">
        <f>IF(A283="","",VLOOKUP(A283,DB!A:B,2,0))</f>
        <v>Leader Sync Generator</v>
      </c>
      <c r="C283" s="5"/>
      <c r="D283" s="6"/>
      <c r="E283" s="6" t="s">
        <v>428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424</v>
      </c>
      <c r="B284" s="6" t="str">
        <f>IF(A284="","",VLOOKUP(A284,DB!A:B,2,0))</f>
        <v>Miranda Densite3</v>
      </c>
      <c r="C284" s="6">
        <v>7.0</v>
      </c>
      <c r="D284" s="6" t="s">
        <v>425</v>
      </c>
      <c r="E284" s="6" t="s">
        <v>429</v>
      </c>
      <c r="F284" s="6" t="s">
        <v>204</v>
      </c>
      <c r="G284" s="6" t="s">
        <v>394</v>
      </c>
      <c r="H284" s="6" t="s">
        <v>390</v>
      </c>
      <c r="I284" s="5" t="str">
        <f>IF(H284="","",VLOOKUP(H284,DB!A:B,2,0))</f>
        <v>Digiwave DSC-131</v>
      </c>
      <c r="J284" s="6"/>
      <c r="K284" s="6"/>
      <c r="L284" s="6" t="s">
        <v>401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424</v>
      </c>
      <c r="B285" s="6" t="str">
        <f>IF(A285="","",VLOOKUP(A285,DB!A:B,2,0))</f>
        <v>Miranda Densite3</v>
      </c>
      <c r="C285" s="6">
        <v>7.0</v>
      </c>
      <c r="D285" s="6" t="s">
        <v>425</v>
      </c>
      <c r="E285" s="6" t="s">
        <v>430</v>
      </c>
      <c r="F285" s="6" t="s">
        <v>204</v>
      </c>
      <c r="G285" s="6" t="s">
        <v>394</v>
      </c>
      <c r="H285" s="6" t="s">
        <v>400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424</v>
      </c>
      <c r="B286" s="6" t="str">
        <f>IF(A286="","",VLOOKUP(A286,DB!A:B,2,0))</f>
        <v>Miranda Densite3</v>
      </c>
      <c r="C286" s="6">
        <v>7.0</v>
      </c>
      <c r="D286" s="6" t="s">
        <v>425</v>
      </c>
      <c r="E286" s="6" t="s">
        <v>431</v>
      </c>
      <c r="F286" s="6" t="s">
        <v>204</v>
      </c>
      <c r="G286" s="6" t="s">
        <v>394</v>
      </c>
      <c r="H286" s="6" t="s">
        <v>279</v>
      </c>
      <c r="I286" s="5" t="str">
        <f>IF(H286="","",VLOOKUP(H286,DB!A:B,2,0))</f>
        <v>Sony HXCU-100 Cam 1</v>
      </c>
      <c r="J286" s="6"/>
      <c r="K286" s="6"/>
      <c r="L286" s="6" t="s">
        <v>401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424</v>
      </c>
      <c r="B287" s="6" t="str">
        <f>IF(A287="","",VLOOKUP(A287,DB!A:B,2,0))</f>
        <v>Miranda Densite3</v>
      </c>
      <c r="C287" s="6">
        <v>7.0</v>
      </c>
      <c r="D287" s="6" t="s">
        <v>425</v>
      </c>
      <c r="E287" s="6" t="s">
        <v>432</v>
      </c>
      <c r="F287" s="6" t="s">
        <v>204</v>
      </c>
      <c r="G287" s="6" t="s">
        <v>394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424</v>
      </c>
      <c r="B288" s="6" t="str">
        <f>IF(A288="","",VLOOKUP(A288,DB!A:B,2,0))</f>
        <v>Miranda Densite3</v>
      </c>
      <c r="C288" s="6">
        <v>7.0</v>
      </c>
      <c r="D288" s="6" t="s">
        <v>425</v>
      </c>
      <c r="E288" s="6" t="s">
        <v>433</v>
      </c>
      <c r="F288" s="6" t="s">
        <v>204</v>
      </c>
      <c r="G288" s="6" t="s">
        <v>394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424</v>
      </c>
      <c r="B289" s="6" t="str">
        <f>IF(A289="","",VLOOKUP(A289,DB!A:B,2,0))</f>
        <v>Miranda Densite3</v>
      </c>
      <c r="C289" s="6">
        <v>7.0</v>
      </c>
      <c r="D289" s="6" t="s">
        <v>425</v>
      </c>
      <c r="E289" s="6" t="s">
        <v>434</v>
      </c>
      <c r="F289" s="6" t="s">
        <v>204</v>
      </c>
      <c r="G289" s="6" t="s">
        <v>394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424</v>
      </c>
      <c r="B290" s="6" t="str">
        <f>IF(A290="","",VLOOKUP(A290,DB!A:B,2,0))</f>
        <v>Miranda Densite3</v>
      </c>
      <c r="C290" s="6">
        <v>7.0</v>
      </c>
      <c r="D290" s="6" t="s">
        <v>425</v>
      </c>
      <c r="E290" s="6" t="s">
        <v>435</v>
      </c>
      <c r="F290" s="6" t="s">
        <v>204</v>
      </c>
      <c r="G290" s="6" t="s">
        <v>394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424</v>
      </c>
      <c r="B291" s="6" t="str">
        <f>IF(A291="","",VLOOKUP(A291,DB!A:B,2,0))</f>
        <v>Miranda Densite3</v>
      </c>
      <c r="C291" s="6">
        <v>7.0</v>
      </c>
      <c r="D291" s="6" t="s">
        <v>425</v>
      </c>
      <c r="E291" s="6" t="s">
        <v>436</v>
      </c>
      <c r="F291" s="6" t="s">
        <v>204</v>
      </c>
      <c r="G291" s="6" t="s">
        <v>394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424</v>
      </c>
      <c r="B292" s="6" t="str">
        <f>IF(A292="","",VLOOKUP(A292,DB!A:B,2,0))</f>
        <v>Miranda Densite3</v>
      </c>
      <c r="C292" s="6">
        <v>7.0</v>
      </c>
      <c r="D292" s="6" t="s">
        <v>425</v>
      </c>
      <c r="E292" s="6" t="s">
        <v>437</v>
      </c>
      <c r="F292" s="6" t="s">
        <v>204</v>
      </c>
      <c r="G292" s="6" t="s">
        <v>394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438</v>
      </c>
      <c r="F293" s="6" t="s">
        <v>204</v>
      </c>
      <c r="G293" s="6" t="s">
        <v>401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401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279</v>
      </c>
      <c r="B294" s="6" t="str">
        <f>IF(A294="","",VLOOKUP(A294,DB!A:B,2,0))</f>
        <v>Sony HXCU-100 Cam 1</v>
      </c>
      <c r="C294" s="5"/>
      <c r="D294" s="6"/>
      <c r="E294" s="6" t="s">
        <v>438</v>
      </c>
      <c r="F294" s="6" t="s">
        <v>204</v>
      </c>
      <c r="G294" s="6" t="s">
        <v>401</v>
      </c>
      <c r="H294" s="6" t="s">
        <v>282</v>
      </c>
      <c r="I294" s="5" t="str">
        <f>IF(H294="","",VLOOKUP(H294,DB!A:B,2,0))</f>
        <v>Sony HXCU-100 Cam 2</v>
      </c>
      <c r="J294" s="6"/>
      <c r="K294" s="6"/>
      <c r="L294" s="6" t="s">
        <v>401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282</v>
      </c>
      <c r="B295" s="6" t="str">
        <f>IF(A295="","",VLOOKUP(A295,DB!A:B,2,0))</f>
        <v>Sony HXCU-100 Cam 2</v>
      </c>
      <c r="C295" s="5"/>
      <c r="D295" s="6"/>
      <c r="E295" s="6" t="s">
        <v>438</v>
      </c>
      <c r="F295" s="6" t="s">
        <v>204</v>
      </c>
      <c r="G295" s="6" t="s">
        <v>401</v>
      </c>
      <c r="H295" s="6" t="s">
        <v>285</v>
      </c>
      <c r="I295" s="5" t="str">
        <f>IF(H295="","",VLOOKUP(H295,DB!A:B,2,0))</f>
        <v>Sony HXCU-100 Cam 3</v>
      </c>
      <c r="J295" s="6"/>
      <c r="K295" s="6"/>
      <c r="L295" s="6" t="s">
        <v>401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285</v>
      </c>
      <c r="B296" s="6" t="str">
        <f>IF(A296="","",VLOOKUP(A296,DB!A:B,2,0))</f>
        <v>Sony HXCU-100 Cam 3</v>
      </c>
      <c r="C296" s="5"/>
      <c r="D296" s="6"/>
      <c r="E296" s="6" t="s">
        <v>438</v>
      </c>
      <c r="F296" s="6" t="s">
        <v>204</v>
      </c>
      <c r="G296" s="6" t="s">
        <v>401</v>
      </c>
      <c r="H296" s="6" t="s">
        <v>288</v>
      </c>
      <c r="I296" s="5" t="str">
        <f>IF(H296="","",VLOOKUP(H296,DB!A:B,2,0))</f>
        <v>Sony HXCU-100 Cam 4</v>
      </c>
      <c r="J296" s="6"/>
      <c r="K296" s="6"/>
      <c r="L296" s="6" t="s">
        <v>401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288</v>
      </c>
      <c r="B297" s="6" t="str">
        <f>IF(A297="","",VLOOKUP(A297,DB!A:B,2,0))</f>
        <v>Sony HXCU-100 Cam 4</v>
      </c>
      <c r="C297" s="5"/>
      <c r="D297" s="6"/>
      <c r="E297" s="6" t="s">
        <v>438</v>
      </c>
      <c r="F297" s="6" t="s">
        <v>204</v>
      </c>
      <c r="G297" s="6" t="s">
        <v>401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401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330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421</v>
      </c>
      <c r="E299" s="6" t="s">
        <v>438</v>
      </c>
      <c r="F299" s="6" t="s">
        <v>204</v>
      </c>
      <c r="G299" s="6" t="s">
        <v>401</v>
      </c>
      <c r="H299" s="6" t="s">
        <v>185</v>
      </c>
      <c r="I299" s="5" t="str">
        <f>IF(H299="","",VLOOKUP(H299,DB!A:B,2,0))</f>
        <v>openGear X</v>
      </c>
      <c r="J299" s="6">
        <v>0.0</v>
      </c>
      <c r="K299" s="6" t="s">
        <v>421</v>
      </c>
      <c r="L299" s="6" t="s">
        <v>401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185</v>
      </c>
      <c r="B300" s="6" t="str">
        <f>IF(A300="","",VLOOKUP(A300,DB!A:B,2,0))</f>
        <v>openGear X</v>
      </c>
      <c r="C300" s="6">
        <v>0.0</v>
      </c>
      <c r="D300" s="6" t="s">
        <v>421</v>
      </c>
      <c r="E300" s="6" t="s">
        <v>438</v>
      </c>
      <c r="F300" s="6" t="s">
        <v>204</v>
      </c>
      <c r="G300" s="6" t="s">
        <v>401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401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438</v>
      </c>
      <c r="F301" s="6" t="s">
        <v>204</v>
      </c>
      <c r="G301" s="6" t="s">
        <v>401</v>
      </c>
      <c r="H301" s="6" t="s">
        <v>226</v>
      </c>
      <c r="I301" s="5" t="str">
        <f>IF(H301="","",VLOOKUP(H301,DB!A:B,2,0))</f>
        <v>AJA FS2</v>
      </c>
      <c r="J301" s="6"/>
      <c r="K301" s="6"/>
      <c r="L301" s="6" t="s">
        <v>401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439</v>
      </c>
      <c r="F302" s="6" t="s">
        <v>204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440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320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226</v>
      </c>
      <c r="B304" s="6" t="str">
        <f>IF(A304="","",VLOOKUP(A304,DB!A:B,2,0))</f>
        <v>AJA FS2</v>
      </c>
      <c r="C304" s="5"/>
      <c r="D304" s="6"/>
      <c r="E304" s="6" t="s">
        <v>438</v>
      </c>
      <c r="F304" s="6" t="s">
        <v>204</v>
      </c>
      <c r="G304" s="6" t="s">
        <v>401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185</v>
      </c>
      <c r="I305" s="5" t="str">
        <f>IF(H305="","",VLOOKUP(H305,DB!A:B,2,0))</f>
        <v>openGear X</v>
      </c>
      <c r="J305" s="6">
        <v>1.0</v>
      </c>
      <c r="K305" s="11" t="s">
        <v>196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185</v>
      </c>
      <c r="I306" s="5" t="str">
        <f>IF(H306="","",VLOOKUP(H306,DB!A:B,2,0))</f>
        <v>openGear X</v>
      </c>
      <c r="J306" s="6">
        <v>2.0</v>
      </c>
      <c r="K306" s="11" t="s">
        <v>196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356</v>
      </c>
      <c r="B307" s="6" t="str">
        <f>IF(A307="","",VLOOKUP(A307,DB!A:B,2,0))</f>
        <v>Yamaha QL5</v>
      </c>
      <c r="C307" s="5"/>
      <c r="D307" s="6"/>
      <c r="E307" s="6" t="s">
        <v>441</v>
      </c>
      <c r="F307" s="5"/>
      <c r="G307" s="5"/>
      <c r="H307" s="6" t="s">
        <v>442</v>
      </c>
      <c r="I307" s="5" t="str">
        <f>IF(H307="","",VLOOKUP(H307,DB!A:B,2,0))</f>
        <v>Split 1</v>
      </c>
      <c r="J307" s="5"/>
      <c r="K307" s="5"/>
      <c r="L307" s="6" t="s">
        <v>443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442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204</v>
      </c>
      <c r="G308" s="6" t="s">
        <v>443</v>
      </c>
      <c r="H308" s="6" t="s">
        <v>185</v>
      </c>
      <c r="I308" s="5" t="str">
        <f>IF(H308="","",VLOOKUP(H308,DB!A:B,2,0))</f>
        <v>openGear X</v>
      </c>
      <c r="J308" s="6">
        <v>1.0</v>
      </c>
      <c r="K308" s="11" t="s">
        <v>196</v>
      </c>
      <c r="L308" s="6" t="s">
        <v>444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442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204</v>
      </c>
      <c r="G309" s="6" t="s">
        <v>443</v>
      </c>
      <c r="H309" s="6" t="s">
        <v>185</v>
      </c>
      <c r="I309" s="5" t="str">
        <f>IF(H309="","",VLOOKUP(H309,DB!A:B,2,0))</f>
        <v>openGear X</v>
      </c>
      <c r="J309" s="6">
        <v>1.0</v>
      </c>
      <c r="K309" s="11" t="s">
        <v>196</v>
      </c>
      <c r="L309" s="6" t="s">
        <v>445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442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204</v>
      </c>
      <c r="G310" s="6" t="s">
        <v>443</v>
      </c>
      <c r="H310" s="6" t="s">
        <v>185</v>
      </c>
      <c r="I310" s="5" t="str">
        <f>IF(H310="","",VLOOKUP(H310,DB!A:B,2,0))</f>
        <v>openGear X</v>
      </c>
      <c r="J310" s="6">
        <v>2.0</v>
      </c>
      <c r="K310" s="11" t="s">
        <v>196</v>
      </c>
      <c r="L310" s="6" t="s">
        <v>444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442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204</v>
      </c>
      <c r="G311" s="6" t="s">
        <v>443</v>
      </c>
      <c r="H311" s="6" t="s">
        <v>185</v>
      </c>
      <c r="I311" s="5" t="str">
        <f>IF(H311="","",VLOOKUP(H311,DB!A:B,2,0))</f>
        <v>openGear X</v>
      </c>
      <c r="J311" s="6">
        <v>2.0</v>
      </c>
      <c r="K311" s="11" t="s">
        <v>196</v>
      </c>
      <c r="L311" s="6" t="s">
        <v>445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446</v>
      </c>
      <c r="B312" s="6" t="str">
        <f>IF(A312="","",VLOOKUP(A312,DB!A:B,2,0))</f>
        <v>VIDEOTRON</v>
      </c>
      <c r="C312" s="6">
        <v>3.0</v>
      </c>
      <c r="D312" s="6" t="s">
        <v>447</v>
      </c>
      <c r="E312" s="6" t="s">
        <v>16</v>
      </c>
      <c r="F312" s="6" t="s">
        <v>204</v>
      </c>
      <c r="G312" s="6" t="s">
        <v>448</v>
      </c>
      <c r="H312" s="6" t="s">
        <v>449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446</v>
      </c>
      <c r="B313" s="6" t="str">
        <f>IF(A313="","",VLOOKUP(A313,DB!A:B,2,0))</f>
        <v>VIDEOTRON</v>
      </c>
      <c r="C313" s="6">
        <v>4.0</v>
      </c>
      <c r="D313" s="6" t="s">
        <v>450</v>
      </c>
      <c r="E313" s="6" t="s">
        <v>29</v>
      </c>
      <c r="F313" s="6" t="s">
        <v>204</v>
      </c>
      <c r="G313" s="6" t="s">
        <v>448</v>
      </c>
      <c r="H313" s="6" t="s">
        <v>449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446</v>
      </c>
      <c r="B314" s="6" t="str">
        <f>IF(A314="","",VLOOKUP(A314,DB!A:B,2,0))</f>
        <v>VIDEOTRON</v>
      </c>
      <c r="C314" s="6">
        <v>4.0</v>
      </c>
      <c r="D314" s="6" t="s">
        <v>450</v>
      </c>
      <c r="E314" s="6" t="s">
        <v>32</v>
      </c>
      <c r="F314" s="6" t="s">
        <v>204</v>
      </c>
      <c r="G314" s="6" t="s">
        <v>448</v>
      </c>
      <c r="H314" s="6" t="s">
        <v>451</v>
      </c>
      <c r="I314" s="5" t="str">
        <f>IF(H314="","",VLOOKUP(H314,DB!A:B,2,0))</f>
        <v>VIDEObit V2A-FIBER-5T</v>
      </c>
      <c r="J314" s="6"/>
      <c r="K314" s="6"/>
      <c r="L314" s="6" t="s">
        <v>452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390</v>
      </c>
      <c r="B315" s="6" t="str">
        <f>IF(A315="","",VLOOKUP(A315,DB!A:B,2,0))</f>
        <v>Digiwave DSC-131</v>
      </c>
      <c r="C315" s="5"/>
      <c r="D315" s="6"/>
      <c r="E315" s="6" t="s">
        <v>453</v>
      </c>
      <c r="F315" s="6" t="s">
        <v>204</v>
      </c>
      <c r="G315" s="6" t="s">
        <v>454</v>
      </c>
      <c r="H315" s="6" t="s">
        <v>446</v>
      </c>
      <c r="I315" s="5" t="str">
        <f>IF(H315="","",VLOOKUP(H315,DB!A:B,2,0))</f>
        <v>VIDEOTRON</v>
      </c>
      <c r="J315" s="6">
        <v>3.0</v>
      </c>
      <c r="K315" s="6" t="s">
        <v>447</v>
      </c>
      <c r="L315" s="6" t="s">
        <v>448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393</v>
      </c>
      <c r="B316" s="6" t="str">
        <f>IF(A316="","",VLOOKUP(A316,DB!A:B,2,0))</f>
        <v>vidicraft vst2110</v>
      </c>
      <c r="C316" s="5"/>
      <c r="D316" s="6"/>
      <c r="E316" s="6" t="s">
        <v>455</v>
      </c>
      <c r="F316" s="6" t="s">
        <v>204</v>
      </c>
      <c r="G316" s="6" t="s">
        <v>394</v>
      </c>
      <c r="H316" s="6" t="s">
        <v>446</v>
      </c>
      <c r="I316" s="5" t="str">
        <f>IF(H316="","",VLOOKUP(H316,DB!A:B,2,0))</f>
        <v>VIDEOTRON</v>
      </c>
      <c r="J316" s="6">
        <v>4.0</v>
      </c>
      <c r="K316" s="6" t="s">
        <v>450</v>
      </c>
      <c r="L316" s="6" t="s">
        <v>448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351</v>
      </c>
      <c r="B317" s="6" t="str">
        <f>IF(A317="","",VLOOKUP(A317,DB!A:B,2,0))</f>
        <v>VIDEObit 3G-LINK-TD</v>
      </c>
      <c r="C317" s="5"/>
      <c r="D317" s="6"/>
      <c r="E317" s="6" t="s">
        <v>203</v>
      </c>
      <c r="F317" s="6" t="s">
        <v>204</v>
      </c>
      <c r="G317" s="6" t="s">
        <v>162</v>
      </c>
      <c r="H317" s="6" t="s">
        <v>456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351</v>
      </c>
      <c r="B318" s="6" t="str">
        <f>IF(A318="","",VLOOKUP(A318,DB!A:B,2,0))</f>
        <v>VIDEObit 3G-LINK-TD</v>
      </c>
      <c r="C318" s="5"/>
      <c r="D318" s="6"/>
      <c r="E318" s="6" t="s">
        <v>207</v>
      </c>
      <c r="F318" s="6" t="s">
        <v>204</v>
      </c>
      <c r="G318" s="6" t="s">
        <v>68</v>
      </c>
      <c r="H318" s="6" t="s">
        <v>457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371</v>
      </c>
      <c r="B319" s="6" t="str">
        <f>IF(A319="","",VLOOKUP(A319,DB!A:B,2,0))</f>
        <v>Cisco D9865</v>
      </c>
      <c r="C319" s="5"/>
      <c r="D319" s="6"/>
      <c r="E319" s="6" t="s">
        <v>458</v>
      </c>
      <c r="F319" s="5"/>
      <c r="G319" s="5"/>
      <c r="H319" s="6" t="s">
        <v>226</v>
      </c>
      <c r="I319" s="5" t="str">
        <f>IF(H319="","",VLOOKUP(H319,DB!A:B,2,0))</f>
        <v>AJA FS2</v>
      </c>
      <c r="J319" s="6"/>
      <c r="K319" s="6"/>
      <c r="L319" s="6" t="s">
        <v>459</v>
      </c>
      <c r="M319" s="5"/>
      <c r="N319" s="14" t="s">
        <v>460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371</v>
      </c>
      <c r="B320" s="6" t="str">
        <f>IF(A320="","",VLOOKUP(A320,DB!A:B,2,0))</f>
        <v>Cisco D9865</v>
      </c>
      <c r="C320" s="5"/>
      <c r="D320" s="6"/>
      <c r="E320" s="6" t="s">
        <v>461</v>
      </c>
      <c r="F320" s="5"/>
      <c r="G320" s="5"/>
      <c r="H320" s="6" t="s">
        <v>226</v>
      </c>
      <c r="I320" s="5" t="str">
        <f>IF(H320="","",VLOOKUP(H320,DB!A:B,2,0))</f>
        <v>AJA FS2</v>
      </c>
      <c r="J320" s="6"/>
      <c r="K320" s="6"/>
      <c r="L320" s="6" t="s">
        <v>462</v>
      </c>
      <c r="M320" s="5"/>
      <c r="N320" s="14" t="s">
        <v>460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463</v>
      </c>
      <c r="B321" s="6" t="str">
        <f>IF(A321="","",VLOOKUP(A321,DB!A:B,2,0))</f>
        <v>DiTel Demodulador</v>
      </c>
      <c r="C321" s="5"/>
      <c r="D321" s="6"/>
      <c r="E321" s="6" t="s">
        <v>458</v>
      </c>
      <c r="F321" s="5"/>
      <c r="G321" s="5"/>
      <c r="H321" s="6" t="s">
        <v>226</v>
      </c>
      <c r="I321" s="5" t="str">
        <f>IF(H321="","",VLOOKUP(H321,DB!A:B,2,0))</f>
        <v>AJA FS2</v>
      </c>
      <c r="J321" s="6"/>
      <c r="K321" s="6"/>
      <c r="L321" s="6" t="s">
        <v>464</v>
      </c>
      <c r="M321" s="5"/>
      <c r="N321" s="14" t="s">
        <v>460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463</v>
      </c>
      <c r="B322" s="6" t="str">
        <f>IF(A322="","",VLOOKUP(A322,DB!A:B,2,0))</f>
        <v>DiTel Demodulador</v>
      </c>
      <c r="C322" s="5"/>
      <c r="D322" s="6"/>
      <c r="E322" s="6" t="s">
        <v>461</v>
      </c>
      <c r="F322" s="5"/>
      <c r="G322" s="5"/>
      <c r="H322" s="6" t="s">
        <v>226</v>
      </c>
      <c r="I322" s="5" t="str">
        <f>IF(H322="","",VLOOKUP(H322,DB!A:B,2,0))</f>
        <v>AJA FS2</v>
      </c>
      <c r="J322" s="6"/>
      <c r="K322" s="6"/>
      <c r="L322" s="6" t="s">
        <v>465</v>
      </c>
      <c r="M322" s="5"/>
      <c r="N322" s="14" t="s">
        <v>460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466</v>
      </c>
      <c r="B323" s="6" t="str">
        <f>IF(A323="","",VLOOKUP(A323,DB!A:B,2,0))</f>
        <v>Mixer Audio TX</v>
      </c>
      <c r="C323" s="5"/>
      <c r="D323" s="6"/>
      <c r="E323" s="6" t="s">
        <v>467</v>
      </c>
      <c r="F323" s="6" t="s">
        <v>204</v>
      </c>
      <c r="G323" s="6" t="s">
        <v>468</v>
      </c>
      <c r="H323" s="6" t="s">
        <v>395</v>
      </c>
      <c r="I323" s="5" t="str">
        <f>IF(H323="","",VLOOKUP(H323,DB!A:B,2,0))</f>
        <v>tc electronic Finalizer</v>
      </c>
      <c r="J323" s="6"/>
      <c r="K323" s="6"/>
      <c r="L323" s="6" t="s">
        <v>469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466</v>
      </c>
      <c r="B324" s="6" t="str">
        <f>IF(A324="","",VLOOKUP(A324,DB!A:B,2,0))</f>
        <v>Mixer Audio TX</v>
      </c>
      <c r="C324" s="5"/>
      <c r="D324" s="6"/>
      <c r="E324" s="6" t="s">
        <v>470</v>
      </c>
      <c r="F324" s="6" t="s">
        <v>204</v>
      </c>
      <c r="G324" s="6" t="s">
        <v>468</v>
      </c>
      <c r="H324" s="6" t="s">
        <v>395</v>
      </c>
      <c r="I324" s="5" t="str">
        <f>IF(H324="","",VLOOKUP(H324,DB!A:B,2,0))</f>
        <v>tc electronic Finalizer</v>
      </c>
      <c r="J324" s="6"/>
      <c r="K324" s="6"/>
      <c r="L324" s="6" t="s">
        <v>471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185</v>
      </c>
      <c r="B325" s="6" t="str">
        <f>IF(A325="","",VLOOKUP(A325,DB!A:B,2,0))</f>
        <v>openGear X</v>
      </c>
      <c r="C325" s="6">
        <v>5.0</v>
      </c>
      <c r="D325" s="6" t="s">
        <v>330</v>
      </c>
      <c r="E325" s="6" t="s">
        <v>472</v>
      </c>
      <c r="F325" s="6" t="s">
        <v>204</v>
      </c>
      <c r="G325" s="6" t="s">
        <v>106</v>
      </c>
      <c r="H325" s="6" t="s">
        <v>466</v>
      </c>
      <c r="I325" s="5" t="str">
        <f>IF(H325="","",VLOOKUP(H325,DB!A:B,2,0))</f>
        <v>Mixer Audio TX</v>
      </c>
      <c r="J325" s="6"/>
      <c r="K325" s="6"/>
      <c r="L325" s="6" t="s">
        <v>468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185</v>
      </c>
      <c r="B326" s="6" t="str">
        <f>IF(A326="","",VLOOKUP(A326,DB!A:B,2,0))</f>
        <v>openGear X</v>
      </c>
      <c r="C326" s="6">
        <v>2.0</v>
      </c>
      <c r="D326" s="6" t="s">
        <v>196</v>
      </c>
      <c r="E326" s="6" t="s">
        <v>197</v>
      </c>
      <c r="F326" s="6" t="s">
        <v>204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473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279</v>
      </c>
      <c r="B331" s="6" t="str">
        <f>IF(A331="","",VLOOKUP(A331,DB!A:B,2,0))</f>
        <v>Sony HXCU-100 Cam 1</v>
      </c>
      <c r="C331" s="5"/>
      <c r="D331" s="6"/>
      <c r="E331" s="6" t="s">
        <v>474</v>
      </c>
      <c r="F331" s="5"/>
      <c r="G331" s="5"/>
      <c r="H331" s="6" t="s">
        <v>475</v>
      </c>
      <c r="I331" s="5" t="str">
        <f>IF(H331="","",VLOOKUP(H331,DB!A:B,2,0))</f>
        <v>RTS Zeus III</v>
      </c>
      <c r="J331" s="6"/>
      <c r="K331" s="6"/>
      <c r="L331" s="6" t="s">
        <v>476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282</v>
      </c>
      <c r="B332" s="6" t="str">
        <f>IF(A332="","",VLOOKUP(A332,DB!A:B,2,0))</f>
        <v>Sony HXCU-100 Cam 2</v>
      </c>
      <c r="C332" s="5"/>
      <c r="D332" s="6"/>
      <c r="E332" s="6" t="s">
        <v>474</v>
      </c>
      <c r="F332" s="5"/>
      <c r="G332" s="5"/>
      <c r="H332" s="6" t="s">
        <v>475</v>
      </c>
      <c r="I332" s="5" t="str">
        <f>IF(H332="","",VLOOKUP(H332,DB!A:B,2,0))</f>
        <v>RTS Zeus III</v>
      </c>
      <c r="J332" s="6"/>
      <c r="K332" s="6"/>
      <c r="L332" s="6" t="s">
        <v>477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285</v>
      </c>
      <c r="B333" s="6" t="str">
        <f>IF(A333="","",VLOOKUP(A333,DB!A:B,2,0))</f>
        <v>Sony HXCU-100 Cam 3</v>
      </c>
      <c r="C333" s="5"/>
      <c r="D333" s="6"/>
      <c r="E333" s="6" t="s">
        <v>474</v>
      </c>
      <c r="F333" s="5"/>
      <c r="G333" s="5"/>
      <c r="H333" s="6" t="s">
        <v>475</v>
      </c>
      <c r="I333" s="5" t="str">
        <f>IF(H333="","",VLOOKUP(H333,DB!A:B,2,0))</f>
        <v>RTS Zeus III</v>
      </c>
      <c r="J333" s="6"/>
      <c r="K333" s="6"/>
      <c r="L333" s="6" t="s">
        <v>478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288</v>
      </c>
      <c r="B334" s="6" t="str">
        <f>IF(A334="","",VLOOKUP(A334,DB!A:B,2,0))</f>
        <v>Sony HXCU-100 Cam 4</v>
      </c>
      <c r="C334" s="5"/>
      <c r="D334" s="6"/>
      <c r="E334" s="6" t="s">
        <v>474</v>
      </c>
      <c r="F334" s="5"/>
      <c r="G334" s="5"/>
      <c r="H334" s="6" t="s">
        <v>475</v>
      </c>
      <c r="I334" s="5" t="str">
        <f>IF(H334="","",VLOOKUP(H334,DB!A:B,2,0))</f>
        <v>RTS Zeus III</v>
      </c>
      <c r="J334" s="6"/>
      <c r="K334" s="6"/>
      <c r="L334" s="6" t="s">
        <v>479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475</v>
      </c>
      <c r="B335" s="6" t="str">
        <f>IF(A335="","",VLOOKUP(A335,DB!A:B,2,0))</f>
        <v>RTS Zeus III</v>
      </c>
      <c r="C335" s="5"/>
      <c r="D335" s="6"/>
      <c r="E335" s="6" t="s">
        <v>480</v>
      </c>
      <c r="F335" s="6" t="s">
        <v>204</v>
      </c>
      <c r="G335" s="6" t="s">
        <v>476</v>
      </c>
      <c r="H335" s="6" t="s">
        <v>279</v>
      </c>
      <c r="I335" s="5" t="str">
        <f>IF(H335="","",VLOOKUP(H335,DB!A:B,2,0))</f>
        <v>Sony HXCU-100 Cam 1</v>
      </c>
      <c r="J335" s="6"/>
      <c r="K335" s="6"/>
      <c r="L335" s="6" t="s">
        <v>481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475</v>
      </c>
      <c r="B336" s="6" t="str">
        <f>IF(A336="","",VLOOKUP(A336,DB!A:B,2,0))</f>
        <v>RTS Zeus III</v>
      </c>
      <c r="C336" s="5"/>
      <c r="D336" s="6"/>
      <c r="E336" s="6" t="s">
        <v>482</v>
      </c>
      <c r="F336" s="6" t="s">
        <v>204</v>
      </c>
      <c r="G336" s="6" t="s">
        <v>477</v>
      </c>
      <c r="H336" s="6" t="s">
        <v>282</v>
      </c>
      <c r="I336" s="5" t="str">
        <f>IF(H336="","",VLOOKUP(H336,DB!A:B,2,0))</f>
        <v>Sony HXCU-100 Cam 2</v>
      </c>
      <c r="J336" s="6"/>
      <c r="K336" s="6"/>
      <c r="L336" s="6" t="s">
        <v>481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475</v>
      </c>
      <c r="B337" s="6" t="str">
        <f>IF(A337="","",VLOOKUP(A337,DB!A:B,2,0))</f>
        <v>RTS Zeus III</v>
      </c>
      <c r="C337" s="5"/>
      <c r="D337" s="6"/>
      <c r="E337" s="6" t="s">
        <v>483</v>
      </c>
      <c r="F337" s="6" t="s">
        <v>204</v>
      </c>
      <c r="G337" s="6" t="s">
        <v>478</v>
      </c>
      <c r="H337" s="6" t="s">
        <v>285</v>
      </c>
      <c r="I337" s="5" t="str">
        <f>IF(H337="","",VLOOKUP(H337,DB!A:B,2,0))</f>
        <v>Sony HXCU-100 Cam 3</v>
      </c>
      <c r="J337" s="6"/>
      <c r="K337" s="6"/>
      <c r="L337" s="6" t="s">
        <v>481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475</v>
      </c>
      <c r="B338" s="6" t="str">
        <f>IF(A338="","",VLOOKUP(A338,DB!A:B,2,0))</f>
        <v>RTS Zeus III</v>
      </c>
      <c r="C338" s="5"/>
      <c r="D338" s="6"/>
      <c r="E338" s="6" t="s">
        <v>484</v>
      </c>
      <c r="F338" s="6" t="s">
        <v>204</v>
      </c>
      <c r="G338" s="6" t="s">
        <v>479</v>
      </c>
      <c r="H338" s="6" t="s">
        <v>288</v>
      </c>
      <c r="I338" s="5" t="str">
        <f>IF(H338="","",VLOOKUP(H338,DB!A:B,2,0))</f>
        <v>Sony HXCU-100 Cam 4</v>
      </c>
      <c r="J338" s="6"/>
      <c r="K338" s="6"/>
      <c r="L338" s="6" t="s">
        <v>481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485</v>
      </c>
      <c r="B339" s="6" t="str">
        <f>IF(A339="","",VLOOKUP(A339,DB!A:B,2,0))</f>
        <v>KP 3016 Asistente</v>
      </c>
      <c r="C339" s="5"/>
      <c r="D339" s="6"/>
      <c r="E339" s="6" t="s">
        <v>486</v>
      </c>
      <c r="F339" s="5"/>
      <c r="G339" s="5"/>
      <c r="H339" s="6" t="s">
        <v>475</v>
      </c>
      <c r="I339" s="5" t="str">
        <f>IF(H339="","",VLOOKUP(H339,DB!A:B,2,0))</f>
        <v>RTS Zeus III</v>
      </c>
      <c r="J339" s="6"/>
      <c r="K339" s="6"/>
      <c r="L339" s="6" t="s">
        <v>487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475</v>
      </c>
      <c r="B340" s="6" t="str">
        <f>IF(A340="","",VLOOKUP(A340,DB!A:B,2,0))</f>
        <v>RTS Zeus III</v>
      </c>
      <c r="C340" s="5"/>
      <c r="D340" s="6"/>
      <c r="E340" s="6" t="s">
        <v>488</v>
      </c>
      <c r="F340" s="6" t="s">
        <v>204</v>
      </c>
      <c r="G340" s="6" t="s">
        <v>487</v>
      </c>
      <c r="H340" s="6" t="s">
        <v>485</v>
      </c>
      <c r="I340" s="5" t="str">
        <f>IF(H340="","",VLOOKUP(H340,DB!A:B,2,0))</f>
        <v>KP 3016 Asistente</v>
      </c>
      <c r="J340" s="6"/>
      <c r="K340" s="6"/>
      <c r="L340" s="6" t="s">
        <v>489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475</v>
      </c>
      <c r="B341" s="6" t="str">
        <f>IF(A341="","",VLOOKUP(A341,DB!A:B,2,0))</f>
        <v>RTS Zeus III</v>
      </c>
      <c r="C341" s="5"/>
      <c r="D341" s="6"/>
      <c r="E341" s="6" t="s">
        <v>490</v>
      </c>
      <c r="F341" s="6" t="s">
        <v>204</v>
      </c>
      <c r="G341" s="6" t="s">
        <v>491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492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475</v>
      </c>
      <c r="I342" s="5" t="str">
        <f>IF(H342="","",VLOOKUP(H342,DB!A:B,2,0))</f>
        <v>RTS Zeus III</v>
      </c>
      <c r="J342" s="6"/>
      <c r="K342" s="6"/>
      <c r="L342" s="6" t="s">
        <v>493</v>
      </c>
      <c r="M342" s="5"/>
      <c r="N342" s="6" t="s">
        <v>492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475</v>
      </c>
      <c r="B343" s="6" t="str">
        <f>IF(A343="","",VLOOKUP(A343,DB!A:B,2,0))</f>
        <v>RTS Zeus III</v>
      </c>
      <c r="C343" s="5"/>
      <c r="D343" s="6"/>
      <c r="E343" s="6" t="s">
        <v>494</v>
      </c>
      <c r="F343" s="6" t="s">
        <v>204</v>
      </c>
      <c r="G343" s="6" t="s">
        <v>493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475</v>
      </c>
      <c r="I344" s="5" t="str">
        <f>IF(H344="","",VLOOKUP(H344,DB!A:B,2,0))</f>
        <v>RTS Zeus III</v>
      </c>
      <c r="J344" s="6"/>
      <c r="K344" s="6"/>
      <c r="L344" s="6" t="s">
        <v>491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475</v>
      </c>
      <c r="B345" s="6" t="str">
        <f>IF(A345="","",VLOOKUP(A345,DB!A:B,2,0))</f>
        <v>RTS Zeus III</v>
      </c>
      <c r="C345" s="5"/>
      <c r="D345" s="6"/>
      <c r="E345" s="6" t="s">
        <v>495</v>
      </c>
      <c r="F345" s="6" t="s">
        <v>204</v>
      </c>
      <c r="G345" s="6" t="s">
        <v>496</v>
      </c>
      <c r="H345" s="6" t="s">
        <v>497</v>
      </c>
      <c r="I345" s="5" t="str">
        <f>IF(H345="","",VLOOKUP(H345,DB!A:B,2,0))</f>
        <v>KP 3016 Sonidista</v>
      </c>
      <c r="J345" s="6"/>
      <c r="K345" s="6"/>
      <c r="L345" s="6" t="s">
        <v>489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475</v>
      </c>
      <c r="B346" s="6" t="str">
        <f>IF(A346="","",VLOOKUP(A346,DB!A:B,2,0))</f>
        <v>RTS Zeus III</v>
      </c>
      <c r="C346" s="5"/>
      <c r="D346" s="6"/>
      <c r="E346" s="6" t="s">
        <v>498</v>
      </c>
      <c r="F346" s="6" t="s">
        <v>204</v>
      </c>
      <c r="G346" s="6" t="s">
        <v>499</v>
      </c>
      <c r="H346" s="6" t="s">
        <v>500</v>
      </c>
      <c r="I346" s="5" t="str">
        <f>IF(H346="","",VLOOKUP(H346,DB!A:B,2,0))</f>
        <v>KP 3016 Titulador</v>
      </c>
      <c r="J346" s="6"/>
      <c r="K346" s="6"/>
      <c r="L346" s="6" t="s">
        <v>489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475</v>
      </c>
      <c r="B347" s="6" t="str">
        <f>IF(A347="","",VLOOKUP(A347,DB!A:B,2,0))</f>
        <v>RTS Zeus III</v>
      </c>
      <c r="C347" s="5"/>
      <c r="D347" s="6"/>
      <c r="E347" s="6" t="s">
        <v>501</v>
      </c>
      <c r="F347" s="6" t="s">
        <v>204</v>
      </c>
      <c r="G347" s="6" t="s">
        <v>502</v>
      </c>
      <c r="H347" s="6" t="s">
        <v>503</v>
      </c>
      <c r="I347" s="5" t="str">
        <f>IF(H347="","",VLOOKUP(H347,DB!A:B,2,0))</f>
        <v>KP 3016 Director</v>
      </c>
      <c r="J347" s="6"/>
      <c r="K347" s="6"/>
      <c r="L347" s="6" t="s">
        <v>489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475</v>
      </c>
      <c r="B348" s="6" t="str">
        <f>IF(A348="","",VLOOKUP(A348,DB!A:B,2,0))</f>
        <v>RTS Zeus III</v>
      </c>
      <c r="C348" s="5"/>
      <c r="D348" s="6"/>
      <c r="E348" s="6" t="s">
        <v>504</v>
      </c>
      <c r="F348" s="6" t="s">
        <v>204</v>
      </c>
      <c r="G348" s="6" t="s">
        <v>505</v>
      </c>
      <c r="H348" s="6" t="s">
        <v>506</v>
      </c>
      <c r="I348" s="5" t="str">
        <f>IF(H348="","",VLOOKUP(H348,DB!A:B,2,0))</f>
        <v>KP 3016 Productor</v>
      </c>
      <c r="J348" s="6"/>
      <c r="K348" s="6"/>
      <c r="L348" s="6" t="s">
        <v>489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497</v>
      </c>
      <c r="B349" s="6" t="str">
        <f>IF(A349="","",VLOOKUP(A349,DB!A:B,2,0))</f>
        <v>KP 3016 Sonidista</v>
      </c>
      <c r="C349" s="5"/>
      <c r="D349" s="6"/>
      <c r="E349" s="6" t="s">
        <v>486</v>
      </c>
      <c r="F349" s="5"/>
      <c r="G349" s="5"/>
      <c r="H349" s="6" t="s">
        <v>475</v>
      </c>
      <c r="I349" s="5" t="str">
        <f>IF(H349="","",VLOOKUP(H349,DB!A:B,2,0))</f>
        <v>RTS Zeus III</v>
      </c>
      <c r="J349" s="6"/>
      <c r="K349" s="6"/>
      <c r="L349" s="6" t="s">
        <v>496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500</v>
      </c>
      <c r="B350" s="6" t="str">
        <f>IF(A350="","",VLOOKUP(A350,DB!A:B,2,0))</f>
        <v>KP 3016 Titulador</v>
      </c>
      <c r="C350" s="5"/>
      <c r="D350" s="6"/>
      <c r="E350" s="6" t="s">
        <v>486</v>
      </c>
      <c r="F350" s="5"/>
      <c r="G350" s="5"/>
      <c r="H350" s="6" t="s">
        <v>475</v>
      </c>
      <c r="I350" s="5" t="str">
        <f>IF(H350="","",VLOOKUP(H350,DB!A:B,2,0))</f>
        <v>RTS Zeus III</v>
      </c>
      <c r="J350" s="6"/>
      <c r="K350" s="6"/>
      <c r="L350" s="6" t="s">
        <v>499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503</v>
      </c>
      <c r="B351" s="6" t="str">
        <f>IF(A351="","",VLOOKUP(A351,DB!A:B,2,0))</f>
        <v>KP 3016 Director</v>
      </c>
      <c r="C351" s="5"/>
      <c r="D351" s="6"/>
      <c r="E351" s="6" t="s">
        <v>486</v>
      </c>
      <c r="F351" s="5"/>
      <c r="G351" s="5"/>
      <c r="H351" s="6" t="s">
        <v>475</v>
      </c>
      <c r="I351" s="5" t="str">
        <f>IF(H351="","",VLOOKUP(H351,DB!A:B,2,0))</f>
        <v>RTS Zeus III</v>
      </c>
      <c r="J351" s="6"/>
      <c r="K351" s="6"/>
      <c r="L351" s="6" t="s">
        <v>502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506</v>
      </c>
      <c r="B352" s="6" t="str">
        <f>IF(A352="","",VLOOKUP(A352,DB!A:B,2,0))</f>
        <v>KP 3016 Productor</v>
      </c>
      <c r="C352" s="5"/>
      <c r="D352" s="6"/>
      <c r="E352" s="6" t="s">
        <v>486</v>
      </c>
      <c r="F352" s="5"/>
      <c r="G352" s="5"/>
      <c r="H352" s="6" t="s">
        <v>475</v>
      </c>
      <c r="I352" s="5" t="str">
        <f>IF(H352="","",VLOOKUP(H352,DB!A:B,2,0))</f>
        <v>RTS Zeus III</v>
      </c>
      <c r="J352" s="6"/>
      <c r="K352" s="6"/>
      <c r="L352" s="6" t="s">
        <v>505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475</v>
      </c>
      <c r="B353" s="6" t="str">
        <f>IF(A353="","",VLOOKUP(A353,DB!A:B,2,0))</f>
        <v>RTS Zeus III</v>
      </c>
      <c r="C353" s="5"/>
      <c r="D353" s="6"/>
      <c r="E353" s="6" t="s">
        <v>507</v>
      </c>
      <c r="F353" s="6" t="s">
        <v>204</v>
      </c>
      <c r="G353" s="6" t="s">
        <v>508</v>
      </c>
      <c r="H353" s="6" t="s">
        <v>509</v>
      </c>
      <c r="I353" s="5" t="str">
        <f>IF(H353="","",VLOOKUP(H353,DB!A:B,2,0))</f>
        <v>KP 3016 Transmision</v>
      </c>
      <c r="J353" s="6"/>
      <c r="K353" s="6"/>
      <c r="L353" s="6" t="s">
        <v>489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509</v>
      </c>
      <c r="B354" s="6" t="str">
        <f>IF(A354="","",VLOOKUP(A354,DB!A:B,2,0))</f>
        <v>KP 3016 Transmision</v>
      </c>
      <c r="C354" s="5"/>
      <c r="D354" s="6"/>
      <c r="E354" s="6" t="s">
        <v>486</v>
      </c>
      <c r="F354" s="5"/>
      <c r="G354" s="5"/>
      <c r="H354" s="6" t="s">
        <v>475</v>
      </c>
      <c r="I354" s="5" t="str">
        <f>IF(H354="","",VLOOKUP(H354,DB!A:B,2,0))</f>
        <v>RTS Zeus III</v>
      </c>
      <c r="J354" s="6"/>
      <c r="K354" s="6"/>
      <c r="L354" s="6" t="s">
        <v>508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475</v>
      </c>
      <c r="B355" s="6" t="str">
        <f>IF(A355="","",VLOOKUP(A355,DB!A:B,2,0))</f>
        <v>RTS Zeus III</v>
      </c>
      <c r="C355" s="5"/>
      <c r="D355" s="6"/>
      <c r="E355" s="6" t="s">
        <v>510</v>
      </c>
      <c r="F355" s="6" t="s">
        <v>204</v>
      </c>
      <c r="G355" s="6" t="s">
        <v>511</v>
      </c>
      <c r="H355" s="6" t="s">
        <v>512</v>
      </c>
      <c r="I355" s="5" t="str">
        <f>IF(H355="","",VLOOKUP(H355,DB!A:B,2,0))</f>
        <v>Servidor</v>
      </c>
      <c r="J355" s="6">
        <v>0.0</v>
      </c>
      <c r="K355" s="6" t="s">
        <v>513</v>
      </c>
      <c r="L355" s="6" t="s">
        <v>514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512</v>
      </c>
      <c r="B356" s="6" t="str">
        <f>IF(A356="","",VLOOKUP(A356,DB!A:B,2,0))</f>
        <v>Servidor</v>
      </c>
      <c r="C356" s="6">
        <v>0.0</v>
      </c>
      <c r="D356" s="6" t="s">
        <v>513</v>
      </c>
      <c r="E356" s="6" t="s">
        <v>515</v>
      </c>
      <c r="F356" s="5"/>
      <c r="G356" s="5"/>
      <c r="H356" s="6" t="s">
        <v>475</v>
      </c>
      <c r="I356" s="5" t="str">
        <f>IF(H356="","",VLOOKUP(H356,DB!A:B,2,0))</f>
        <v>RTS Zeus III</v>
      </c>
      <c r="J356" s="6"/>
      <c r="K356" s="6"/>
      <c r="L356" s="6" t="s">
        <v>511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226</v>
      </c>
      <c r="B357" s="6" t="str">
        <f>IF(A357="","",VLOOKUP(A357,DB!A:B,2,0))</f>
        <v>AJA FS2</v>
      </c>
      <c r="C357" s="5"/>
      <c r="D357" s="6"/>
      <c r="E357" s="6" t="s">
        <v>516</v>
      </c>
      <c r="F357" s="6" t="s">
        <v>204</v>
      </c>
      <c r="G357" s="15" t="s">
        <v>397</v>
      </c>
      <c r="H357" s="6" t="s">
        <v>475</v>
      </c>
      <c r="I357" s="5" t="str">
        <f>IF(H357="","",VLOOKUP(H357,DB!A:B,2,0))</f>
        <v>RTS Zeus III</v>
      </c>
      <c r="J357" s="6"/>
      <c r="K357" s="6"/>
      <c r="L357" s="6" t="s">
        <v>517</v>
      </c>
      <c r="M357" s="5"/>
      <c r="N357" s="6" t="s">
        <v>187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475</v>
      </c>
      <c r="B358" s="6" t="str">
        <f>IF(A358="","",VLOOKUP(A358,DB!A:B,2,0))</f>
        <v>RTS Zeus III</v>
      </c>
      <c r="C358" s="5"/>
      <c r="D358" s="6"/>
      <c r="E358" s="6" t="s">
        <v>518</v>
      </c>
      <c r="F358" s="6" t="s">
        <v>204</v>
      </c>
      <c r="G358" s="6" t="s">
        <v>517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151</v>
      </c>
      <c r="B359" s="6" t="str">
        <f>IF(A359="","",VLOOKUP(A359,DB!A:B,2,0))</f>
        <v>AJA FS2</v>
      </c>
      <c r="C359" s="5"/>
      <c r="D359" s="6"/>
      <c r="E359" s="6" t="s">
        <v>207</v>
      </c>
      <c r="F359" s="6" t="s">
        <v>204</v>
      </c>
      <c r="G359" s="6" t="s">
        <v>68</v>
      </c>
      <c r="H359" s="6" t="s">
        <v>181</v>
      </c>
      <c r="I359" s="5" t="str">
        <f>IF(H359="","",VLOOKUP(H359,DB!A:B,2,0))</f>
        <v>openGear X</v>
      </c>
      <c r="J359" s="6">
        <v>4.0</v>
      </c>
      <c r="K359" s="6" t="s">
        <v>182</v>
      </c>
      <c r="L359" s="6" t="s">
        <v>106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151</v>
      </c>
      <c r="I360" s="5" t="str">
        <f>IF(H360="","",VLOOKUP(H360,DB!A:B,2,0))</f>
        <v>AJA FS2</v>
      </c>
      <c r="J360" s="6"/>
      <c r="K360" s="6"/>
      <c r="L360" s="6" t="s">
        <v>162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6" t="str">
        <f>IF(A361="","",VLOOKUP(A361,DB!A:B,2,0))</f>
        <v/>
      </c>
      <c r="C361" s="5"/>
      <c r="D361" s="6"/>
      <c r="E361" s="5"/>
      <c r="F361" s="5"/>
      <c r="G361" s="5"/>
      <c r="H361" s="5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6" t="str">
        <f>IF(A362="","",VLOOKUP(A362,DB!A:B,2,0))</f>
        <v/>
      </c>
      <c r="C362" s="5"/>
      <c r="D362" s="6"/>
      <c r="E362" s="5"/>
      <c r="F362" s="5"/>
      <c r="G362" s="5"/>
      <c r="H362" s="5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519</v>
      </c>
      <c r="B1" s="17" t="s">
        <v>520</v>
      </c>
      <c r="C1" s="18" t="s">
        <v>521</v>
      </c>
      <c r="D1" s="19" t="s">
        <v>522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523</v>
      </c>
      <c r="B2" s="7" t="s">
        <v>524</v>
      </c>
      <c r="C2" s="20" t="s">
        <v>525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526</v>
      </c>
      <c r="C3" s="20" t="s">
        <v>527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528</v>
      </c>
      <c r="C4" s="20" t="s">
        <v>529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530</v>
      </c>
      <c r="C5" s="20" t="s">
        <v>531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532</v>
      </c>
      <c r="C6" s="21" t="s">
        <v>533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400</v>
      </c>
      <c r="B7" s="11" t="s">
        <v>534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535</v>
      </c>
      <c r="B9" s="7" t="s">
        <v>536</v>
      </c>
      <c r="C9" s="20" t="s">
        <v>537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538</v>
      </c>
      <c r="C10" s="20" t="s">
        <v>539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540</v>
      </c>
      <c r="C11" s="20" t="s">
        <v>541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542</v>
      </c>
      <c r="C12" s="20" t="s">
        <v>543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419</v>
      </c>
      <c r="B14" s="11" t="s">
        <v>544</v>
      </c>
      <c r="C14" s="21" t="s">
        <v>545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424</v>
      </c>
      <c r="B15" s="7" t="s">
        <v>546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547</v>
      </c>
      <c r="C16" s="20" t="s">
        <v>548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549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550</v>
      </c>
      <c r="C18" s="21" t="s">
        <v>415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551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551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374</v>
      </c>
      <c r="B22" s="11" t="s">
        <v>552</v>
      </c>
      <c r="C22" s="21" t="s">
        <v>553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376</v>
      </c>
      <c r="B23" s="11" t="s">
        <v>554</v>
      </c>
      <c r="C23" s="21" t="s">
        <v>555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556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217</v>
      </c>
      <c r="B26" s="7" t="s">
        <v>557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558</v>
      </c>
      <c r="B27" s="7" t="s">
        <v>559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220</v>
      </c>
      <c r="B28" s="7" t="s">
        <v>560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223</v>
      </c>
      <c r="B29" s="7" t="s">
        <v>560</v>
      </c>
      <c r="C29" s="21" t="s">
        <v>561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229</v>
      </c>
      <c r="B30" s="7" t="s">
        <v>562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206</v>
      </c>
      <c r="B31" s="7" t="s">
        <v>563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564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371</v>
      </c>
      <c r="B33" s="7" t="s">
        <v>559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564</v>
      </c>
      <c r="C34" s="20" t="s">
        <v>565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395</v>
      </c>
      <c r="B35" s="7" t="s">
        <v>566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567</v>
      </c>
      <c r="C36" s="21" t="s">
        <v>568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569</v>
      </c>
      <c r="C37" s="21" t="s">
        <v>570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226</v>
      </c>
      <c r="B38" s="7" t="s">
        <v>569</v>
      </c>
      <c r="C38" s="20" t="s">
        <v>571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390</v>
      </c>
      <c r="B39" s="7" t="s">
        <v>572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393</v>
      </c>
      <c r="B40" s="7" t="s">
        <v>573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236</v>
      </c>
      <c r="B41" s="7" t="s">
        <v>574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463</v>
      </c>
      <c r="B43" s="11" t="s">
        <v>575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576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577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578</v>
      </c>
      <c r="C46" s="20" t="s">
        <v>579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580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581</v>
      </c>
      <c r="B49" s="7" t="s">
        <v>582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583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584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585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586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587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588</v>
      </c>
      <c r="C55" s="21" t="s">
        <v>415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385</v>
      </c>
      <c r="B56" s="7" t="s">
        <v>589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349</v>
      </c>
      <c r="B58" s="11" t="s">
        <v>590</v>
      </c>
      <c r="C58" s="21" t="s">
        <v>591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350</v>
      </c>
      <c r="B59" s="11" t="s">
        <v>592</v>
      </c>
      <c r="C59" s="21" t="s">
        <v>593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594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446</v>
      </c>
      <c r="B63" s="6" t="s">
        <v>595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596</v>
      </c>
      <c r="B64" s="11" t="s">
        <v>597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451</v>
      </c>
      <c r="B65" s="11" t="s">
        <v>598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351</v>
      </c>
      <c r="B66" s="11" t="s">
        <v>599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211</v>
      </c>
      <c r="B67" s="11" t="s">
        <v>600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407</v>
      </c>
      <c r="B68" s="11" t="s">
        <v>600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457</v>
      </c>
      <c r="B69" s="6" t="s">
        <v>601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449</v>
      </c>
      <c r="B70" s="6" t="s">
        <v>602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603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181</v>
      </c>
      <c r="B72" s="7" t="s">
        <v>564</v>
      </c>
      <c r="C72" s="20" t="s">
        <v>604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456</v>
      </c>
      <c r="B73" s="11" t="s">
        <v>605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606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607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259</v>
      </c>
      <c r="B79" s="7" t="s">
        <v>608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387</v>
      </c>
      <c r="B80" s="7" t="s">
        <v>609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354</v>
      </c>
      <c r="B81" s="7" t="s">
        <v>610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485</v>
      </c>
      <c r="B82" s="11" t="s">
        <v>611</v>
      </c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348</v>
      </c>
      <c r="B84" s="7" t="s">
        <v>612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356</v>
      </c>
      <c r="B85" s="7" t="s">
        <v>613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352</v>
      </c>
      <c r="B86" s="7" t="s">
        <v>614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379</v>
      </c>
      <c r="B87" s="7" t="s">
        <v>615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616</v>
      </c>
      <c r="B88" s="7" t="s">
        <v>617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381</v>
      </c>
      <c r="B89" s="7" t="s">
        <v>618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619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353</v>
      </c>
      <c r="B91" s="7" t="s">
        <v>620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383</v>
      </c>
      <c r="B92" s="7" t="s">
        <v>621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622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378</v>
      </c>
      <c r="B94" s="11" t="s">
        <v>623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497</v>
      </c>
      <c r="B95" s="11" t="s">
        <v>624</v>
      </c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500</v>
      </c>
      <c r="B96" s="11" t="s">
        <v>625</v>
      </c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503</v>
      </c>
      <c r="B97" s="11" t="s">
        <v>626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506</v>
      </c>
      <c r="B98" s="11" t="s">
        <v>627</v>
      </c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628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415</v>
      </c>
      <c r="B102" s="11" t="s">
        <v>629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347</v>
      </c>
      <c r="B106" s="6" t="s">
        <v>630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346</v>
      </c>
      <c r="B107" s="6" t="s">
        <v>631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343</v>
      </c>
      <c r="B108" s="6" t="s">
        <v>632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466</v>
      </c>
      <c r="B109" s="6" t="s">
        <v>633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509</v>
      </c>
      <c r="B110" s="6" t="s">
        <v>634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442</v>
      </c>
      <c r="B112" s="6" t="s">
        <v>635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636</v>
      </c>
      <c r="B113" s="6" t="s">
        <v>637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638</v>
      </c>
      <c r="B114" s="6" t="s">
        <v>639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640</v>
      </c>
      <c r="B115" s="6" t="s">
        <v>641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642</v>
      </c>
      <c r="B117" s="6" t="s">
        <v>643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644</v>
      </c>
      <c r="B118" s="6" t="s">
        <v>645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646</v>
      </c>
      <c r="B119" s="6" t="s">
        <v>647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648</v>
      </c>
      <c r="B120" s="6" t="s">
        <v>649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475</v>
      </c>
      <c r="B122" s="6" t="s">
        <v>650</v>
      </c>
      <c r="C122" s="6" t="s">
        <v>651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512</v>
      </c>
      <c r="B123" s="6" t="s">
        <v>652</v>
      </c>
      <c r="C123" s="6" t="s">
        <v>415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653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IFERROR(__xludf.DUMMYFUNCTION("""COMPUTED_VALUE"""),1.0)</f>
        <v>1</v>
      </c>
      <c r="D3" s="5" t="str">
        <f>IFERROR(__xludf.DUMMYFUNCTION("""COMPUTED_VALUE"""),"Embedder")</f>
        <v>Embedder</v>
      </c>
      <c r="E3" s="5" t="str">
        <f>IFERROR(__xludf.DUMMYFUNCTION("""COMPUTED_VALUE"""),"SDI Out")</f>
        <v>SDI Out</v>
      </c>
      <c r="F3" s="5" t="str">
        <f>IFERROR(__xludf.DUMMYFUNCTION("""COMPUTED_VALUE"""),"M")</f>
        <v>M</v>
      </c>
      <c r="G3" s="5" t="str">
        <f>IFERROR(__xludf.DUMMYFUNCTION("""COMPUTED_VALUE"""),"SDI In,A1,A2")</f>
        <v>SDI In,A1,A2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5")</f>
        <v>In 5</v>
      </c>
      <c r="M3" s="5" t="str">
        <f>IFERROR(__xludf.DUMMYFUNCTION("""COMPUTED_VALUE"""),"FOR A PGM")</f>
        <v>FOR A PGM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IFERROR(__xludf.DUMMYFUNCTION("""COMPUTED_VALUE"""),6.0)</f>
        <v>6</v>
      </c>
      <c r="D4" s="5" t="str">
        <f>IFERROR(__xludf.DUMMYFUNCTION("""COMPUTED_VALUE"""),"Dist. Amp. 1x9")</f>
        <v>Dist. Amp. 1x9</v>
      </c>
      <c r="E4" s="5" t="str">
        <f>IFERROR(__xludf.DUMMYFUNCTION("""COMPUTED_VALUE"""),"J3")</f>
        <v>J3</v>
      </c>
      <c r="F4" s="5" t="str">
        <f>IFERROR(__xludf.DUMMYFUNCTION("""COMPUTED_VALUE"""),"T")</f>
        <v>T</v>
      </c>
      <c r="G4" s="5" t="str">
        <f>IFERROR(__xludf.DUMMYFUNCTION("""COMPUTED_VALUE"""),"J1 (in)")</f>
        <v>J1 (in)</v>
      </c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62")</f>
        <v>In 62</v>
      </c>
      <c r="M4" s="5" t="str">
        <f>IFERROR(__xludf.DUMMYFUNCTION("""COMPUTED_VALUE"""),"LINEA 1X9")</f>
        <v>LINEA 1X9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IFERROR(__xludf.DUMMYFUNCTION("""COMPUTED_VALUE"""),5.0)</f>
        <v>5</v>
      </c>
      <c r="D5" s="5" t="str">
        <f>IFERROR(__xludf.DUMMYFUNCTION("""COMPUTED_VALUE"""),"De-embedder")</f>
        <v>De-embedder</v>
      </c>
      <c r="E5" s="5" t="str">
        <f>IFERROR(__xludf.DUMMYFUNCTION("""COMPUTED_VALUE"""),"SDI Out")</f>
        <v>SDI Out</v>
      </c>
      <c r="F5" s="5" t="str">
        <f>IFERROR(__xludf.DUMMYFUNCTION("""COMPUTED_VALUE"""),"T")</f>
        <v>T</v>
      </c>
      <c r="G5" s="5" t="str">
        <f>IFERROR(__xludf.DUMMYFUNCTION("""COMPUTED_VALUE"""),"SDI In")</f>
        <v>SDI In</v>
      </c>
      <c r="H5" s="5" t="str">
        <f>IFERROR(__xludf.DUMMYFUNCTION("""COMPUTED_VALUE"""),"D.13")</f>
        <v>D.13</v>
      </c>
      <c r="I5" s="5" t="str">
        <f>IFERROR(__xludf.DUMMYFUNCTION("""COMPUTED_VALUE"""),"AJA FS2")</f>
        <v>AJA FS2</v>
      </c>
      <c r="J5" s="5"/>
      <c r="K5" s="5"/>
      <c r="L5" s="5" t="str">
        <f>IFERROR(__xludf.DUMMYFUNCTION("""COMPUTED_VALUE"""),"SDI In 1")</f>
        <v>SDI In 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IFERROR(__xludf.DUMMYFUNCTION("""COMPUTED_VALUE"""),6.0)</f>
        <v>6</v>
      </c>
      <c r="D6" s="5" t="str">
        <f>IFERROR(__xludf.DUMMYFUNCTION("""COMPUTED_VALUE"""),"Dist. Amp. 1x9")</f>
        <v>Dist. Amp. 1x9</v>
      </c>
      <c r="E6" s="5" t="str">
        <f>IFERROR(__xludf.DUMMYFUNCTION("""COMPUTED_VALUE"""),"J5")</f>
        <v>J5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IFERROR(__xludf.DUMMYFUNCTION("""COMPUTED_VALUE"""),"L.7")</f>
        <v>L.7</v>
      </c>
      <c r="I6" s="5" t="str">
        <f>IFERROR(__xludf.DUMMYFUNCTION("""COMPUTED_VALUE"""),"openGear X")</f>
        <v>openGear X</v>
      </c>
      <c r="J6" s="5">
        <f>IFERROR(__xludf.DUMMYFUNCTION("""COMPUTED_VALUE"""),1.0)</f>
        <v>1</v>
      </c>
      <c r="K6" s="5" t="str">
        <f>IFERROR(__xludf.DUMMYFUNCTION("""COMPUTED_VALUE"""),"Dist. Amp. 1x9")</f>
        <v>Dist. Amp. 1x9</v>
      </c>
      <c r="L6" s="5" t="str">
        <f>IFERROR(__xludf.DUMMYFUNCTION("""COMPUTED_VALUE"""),"J1 (in)")</f>
        <v>J1 (in)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IFERROR(__xludf.DUMMYFUNCTION("""COMPUTED_VALUE"""),"Dist. Amp. 1x9")</f>
        <v>Dist. Amp. 1x9</v>
      </c>
      <c r="E7" s="5" t="str">
        <f>IFERROR(__xludf.DUMMYFUNCTION("""COMPUTED_VALUE"""),"J2")</f>
        <v>J2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IFERROR(__xludf.DUMMYFUNCTION("""COMPUTED_VALUE"""),"N/C")</f>
        <v>N/C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IFERROR(__xludf.DUMMYFUNCTION("""COMPUTED_VALUE"""),6.0)</f>
        <v>6</v>
      </c>
      <c r="D8" s="5" t="str">
        <f>IFERROR(__xludf.DUMMYFUNCTION("""COMPUTED_VALUE"""),"Dist. Amp. 1x9")</f>
        <v>Dist. Amp. 1x9</v>
      </c>
      <c r="E8" s="5" t="str">
        <f>IFERROR(__xludf.DUMMYFUNCTION("""COMPUTED_VALUE"""),"J4")</f>
        <v>J4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IFERROR(__xludf.DUMMYFUNCTION("""COMPUTED_VALUE"""),"N/C")</f>
        <v>N/C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IFERROR(__xludf.DUMMYFUNCTION("""COMPUTED_VALUE"""),6.0)</f>
        <v>6</v>
      </c>
      <c r="D9" s="5" t="str">
        <f>IFERROR(__xludf.DUMMYFUNCTION("""COMPUTED_VALUE"""),"Dist. Amp. 1x9")</f>
        <v>Dist. Amp. 1x9</v>
      </c>
      <c r="E9" s="5" t="str">
        <f>IFERROR(__xludf.DUMMYFUNCTION("""COMPUTED_VALUE"""),"J6")</f>
        <v>J6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IFERROR(__xludf.DUMMYFUNCTION("""COMPUTED_VALUE"""),"N/C")</f>
        <v>N/C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IFERROR(__xludf.DUMMYFUNCTION("""COMPUTED_VALUE"""),"J7")</f>
        <v>J7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IFERROR(__xludf.DUMMYFUNCTION("""COMPUTED_VALUE"""),"N/C")</f>
        <v>N/C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IFERROR(__xludf.DUMMYFUNCTION("""COMPUTED_VALUE"""),6.0)</f>
        <v>6</v>
      </c>
      <c r="D11" s="5" t="str">
        <f>IFERROR(__xludf.DUMMYFUNCTION("""COMPUTED_VALUE"""),"Dist. Amp. 1x9")</f>
        <v>Dist. Amp. 1x9</v>
      </c>
      <c r="E11" s="5" t="str">
        <f>IFERROR(__xludf.DUMMYFUNCTION("""COMPUTED_VALUE"""),"J8")</f>
        <v>J8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IFERROR(__xludf.DUMMYFUNCTION("""COMPUTED_VALUE"""),"N/C")</f>
        <v>N/C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IFERROR(__xludf.DUMMYFUNCTION("""COMPUTED_VALUE"""),6.0)</f>
        <v>6</v>
      </c>
      <c r="D12" s="5" t="str">
        <f>IFERROR(__xludf.DUMMYFUNCTION("""COMPUTED_VALUE"""),"Dist. Amp. 1x9")</f>
        <v>Dist. Amp. 1x9</v>
      </c>
      <c r="E12" s="5" t="str">
        <f>IFERROR(__xludf.DUMMYFUNCTION("""COMPUTED_VALUE"""),"J9")</f>
        <v>J9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IFERROR(__xludf.DUMMYFUNCTION("""COMPUTED_VALUE"""),"N/C")</f>
        <v>N/C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IFERROR(__xludf.DUMMYFUNCTION("""COMPUTED_VALUE"""),6.0)</f>
        <v>6</v>
      </c>
      <c r="D13" s="5" t="str">
        <f>IFERROR(__xludf.DUMMYFUNCTION("""COMPUTED_VALUE"""),"Dist. Amp. 1x9")</f>
        <v>Dist. Amp. 1x9</v>
      </c>
      <c r="E13" s="5" t="str">
        <f>IFERROR(__xludf.DUMMYFUNCTION("""COMPUTED_VALUE"""),"J10")</f>
        <v>J10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IFERROR(__xludf.DUMMYFUNCTION("""COMPUTED_VALUE"""),"N/C")</f>
        <v>N/C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IFERROR(__xludf.DUMMYFUNCTION("""COMPUTED_VALUE"""),"D.9")</f>
        <v>D.9</v>
      </c>
      <c r="B14" s="5" t="str">
        <f>IFERROR(__xludf.DUMMYFUNCTION("""COMPUTED_VALUE"""),"openGear X")</f>
        <v>openGear X</v>
      </c>
      <c r="C14" s="5">
        <f>IFERROR(__xludf.DUMMYFUNCTION("""COMPUTED_VALUE"""),0.0)</f>
        <v>0</v>
      </c>
      <c r="D14" s="5" t="str">
        <f>IFERROR(__xludf.DUMMYFUNCTION("""COMPUTED_VALUE"""),"Main")</f>
        <v>Main</v>
      </c>
      <c r="E14" s="5" t="str">
        <f>IFERROR(__xludf.DUMMYFUNCTION("""COMPUTED_VALUE"""),"REF Out")</f>
        <v>REF Out</v>
      </c>
      <c r="F14" s="5" t="str">
        <f>IFERROR(__xludf.DUMMYFUNCTION("""COMPUTED_VALUE"""),"T")</f>
        <v>T</v>
      </c>
      <c r="G14" s="5" t="str">
        <f>IFERROR(__xludf.DUMMYFUNCTION("""COMPUTED_VALUE"""),"REF In")</f>
        <v>REF In</v>
      </c>
      <c r="H14" s="5" t="str">
        <f>IFERROR(__xludf.DUMMYFUNCTION("""COMPUTED_VALUE"""),"D.11")</f>
        <v>D.11</v>
      </c>
      <c r="I14" s="5" t="str">
        <f>IFERROR(__xludf.DUMMYFUNCTION("""COMPUTED_VALUE"""),"AJA FS4")</f>
        <v>AJA FS4</v>
      </c>
      <c r="J14" s="5"/>
      <c r="K14" s="5"/>
      <c r="L14" s="5" t="str">
        <f>IFERROR(__xludf.DUMMYFUNCTION("""COMPUTED_VALUE"""),"REF In")</f>
        <v>REF In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IFERROR(__xludf.DUMMYFUNCTION("""COMPUTED_VALUE"""),"D.9")</f>
        <v>D.9</v>
      </c>
      <c r="B15" s="5" t="str">
        <f>IFERROR(__xludf.DUMMYFUNCTION("""COMPUTED_VALUE"""),"openGear X")</f>
        <v>openGear X</v>
      </c>
      <c r="C15" s="5">
        <f>IFERROR(__xludf.DUMMYFUNCTION("""COMPUTED_VALUE"""),5.0)</f>
        <v>5</v>
      </c>
      <c r="D15" s="5" t="str">
        <f>IFERROR(__xludf.DUMMYFUNCTION("""COMPUTED_VALUE"""),"De-embedder")</f>
        <v>De-embedder</v>
      </c>
      <c r="E15" s="5" t="str">
        <f>IFERROR(__xludf.DUMMYFUNCTION("""COMPUTED_VALUE"""),"Audio Out 2")</f>
        <v>Audio Out 2</v>
      </c>
      <c r="F15" s="5" t="str">
        <f>IFERROR(__xludf.DUMMYFUNCTION("""COMPUTED_VALUE"""),"T")</f>
        <v>T</v>
      </c>
      <c r="G15" s="5" t="str">
        <f>IFERROR(__xludf.DUMMYFUNCTION("""COMPUTED_VALUE"""),"SDI In")</f>
        <v>SDI In</v>
      </c>
      <c r="H15" s="5" t="str">
        <f>IFERROR(__xludf.DUMMYFUNCTION("""COMPUTED_VALUE"""),"TX.4")</f>
        <v>TX.4</v>
      </c>
      <c r="I15" s="5" t="str">
        <f>IFERROR(__xludf.DUMMYFUNCTION("""COMPUTED_VALUE"""),"Mixer Audio TX")</f>
        <v>Mixer Audio TX</v>
      </c>
      <c r="J15" s="5"/>
      <c r="K15" s="5"/>
      <c r="L15" s="5" t="str">
        <f>IFERROR(__xludf.DUMMYFUNCTION("""COMPUTED_VALUE"""),"Audio In")</f>
        <v>Audio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IFERROR(__xludf.DUMMYFUNCTION("""COMPUTED_VALUE"""),"D.9")</f>
        <v>D.9</v>
      </c>
      <c r="B16" s="5" t="str">
        <f>IFERROR(__xludf.DUMMYFUNCTION("""COMPUTED_VALUE"""),"openGear X")</f>
        <v>openGear X</v>
      </c>
      <c r="C16" s="5">
        <f>IFERROR(__xludf.DUMMYFUNCTION("""COMPUTED_VALUE"""),2.0)</f>
        <v>2</v>
      </c>
      <c r="D16" s="5" t="str">
        <f>IFERROR(__xludf.DUMMYFUNCTION("""COMPUTED_VALUE"""),"Embedder")</f>
        <v>Embedder</v>
      </c>
      <c r="E16" s="5" t="str">
        <f>IFERROR(__xludf.DUMMYFUNCTION("""COMPUTED_VALUE"""),"SDI Out")</f>
        <v>SDI Out</v>
      </c>
      <c r="F16" s="5" t="str">
        <f>IFERROR(__xludf.DUMMYFUNCTION("""COMPUTED_VALUE"""),"T")</f>
        <v>T</v>
      </c>
      <c r="G16" s="5" t="str">
        <f>IFERROR(__xludf.DUMMYFUNCTION("""COMPUTED_VALUE"""),"SDI In")</f>
        <v>SDI In</v>
      </c>
      <c r="H16" s="5" t="str">
        <f>IFERROR(__xludf.DUMMYFUNCTION("""COMPUTED_VALUE"""),"N/C")</f>
        <v>N/C</v>
      </c>
      <c r="I16" s="5"/>
      <c r="J16" s="5"/>
      <c r="K16" s="5"/>
      <c r="L16" s="5"/>
      <c r="M16" s="5"/>
      <c r="N16" s="5" t="str">
        <f>IFERROR(__xludf.DUMMYFUNCTION("""COMPUTED_VALUE"""),"Cable suelto en Rack C")</f>
        <v>Cable suelto en Rack C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