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<sst xmlns="http://schemas.openxmlformats.org/spreadsheetml/2006/main" count="1129" uniqueCount="265">
  <si>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</si>
  <si>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</si>
  <si>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</si>
  <si>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</si>
  <si>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</si>
  <si>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</si>
  <si>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</si>
  <si>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</si>
  <si>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</si>
  <si>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</si>
  <si>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</si>
  <si>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</si>
  <si>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</si>
  <si>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</si>
  <si>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</si>
  <si>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</si>
  <si>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</si>
  <si>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</si>
  <si>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</si>
  <si>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</si>
  <si>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</si>
  <si>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</si>
  <si>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</si>
  <si>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</si>
  <si>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</si>
  <si>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</si>
  <si>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</si>
  <si>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</si>
  <si>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</si>
  <si>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</si>
  <si>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</si>
  <si>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</si>
  <si>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</si>
  <si>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</si>
  <si>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</si>
  <si>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</si>
  <si>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</si>
  <si>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</si>
  <si>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</si>
  <si>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</si>
  <si>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</si>
  <si>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</si>
  <si>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</si>
  <si>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</si>
  <si>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</si>
  <si>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</si>
  <si>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</si>
  <si>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</si>
  <si>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</si>
  <si>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</si>
  <si>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</si>
  <si>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</si>
  <si>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</si>
  <si>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</si>
  <si>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</si>
  <si>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</si>
  <si>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</si>
  <si>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</si>
  <si>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</si>
  <si>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</si>
  <si>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</si>
  <si>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</si>
  <si>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</si>
  <si>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</si>
  <si>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</si>
  <si>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</si>
  <si>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</si>
  <si>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</si>
  <si>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</si>
  <si>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</si>
  <si>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</si>
  <si>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</si>
  <si>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</si>
  <si>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</si>
  <si>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</si>
  <si>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</si>
  <si>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</si>
  <si>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</si>
  <si>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</si>
  <si>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</si>
  <si>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</si>
  <si>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</si>
  <si>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</si>
  <si>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</si>
  <si>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</si>
  <si>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</si>
  <si>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</si>
  <si>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</si>
  <si>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</si>
  <si>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</si>
  <si>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</si>
  <si>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</si>
  <si>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</si>
  <si>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</si>
  <si>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</si>
  <si>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</si>
  <si>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</si>
  <si>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</si>
  <si>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</si>
  <si>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</si>
  <si>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</si>
  <si>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</si>
  <si>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</si>
  <si>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</si>
  <si>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</si>
  <si>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</si>
  <si>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</si>
  <si>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</si>
  <si>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</si>
  <si>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</si>
  <si>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</si>
  <si>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</si>
  <si>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</si>
  <si>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</si>
  <si>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</si>
  <si>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</si>
  <si>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</si>
  <si>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</si>
  <si>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</si>
  <si>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</si>
  <si>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</si>
  <si>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</si>
  <si>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</si>
  <si>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</si>
  <si>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</si>
  <si>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</si>
  <si>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</si>
  <si>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</si>
  <si>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</si>
  <si>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</si>
  <si>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</si>
  <si>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</si>
  <si>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</si>
  <si>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</si>
  <si>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</si>
  <si>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</si>
  <si>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</si>
  <si>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</si>
  <si>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</si>
  <si>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</si>
  <si>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</si>
  <si>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</si>
  <si>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</si>
  <si>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</si>
  <si>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</si>
  <si>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</si>
  <si>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</si>
  <si>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</si>
  <si>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</si>
  <si>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</si>
  <si>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</si>
  <si>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</si>
  <si>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</si>
  <si>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</si>
  <si>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</si>
  <si>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</si>
  <si>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</si>
  <si>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</si>
  <si>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</si>
  <si>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</si>
  <si>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</si>
  <si>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</si>
  <si>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</si>
  <si>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</si>
  <si>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</si>
  <si>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</si>
  <si>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</si>
  <si>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</si>
  <si>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</si>
  <si>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</si>
  <si>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</si>
  <si>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</si>
  <si>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</si>
  <si>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</si>
  <si>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</si>
  <si>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</si>
  <si>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</si>
  <si>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</si>
  <si>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</si>
  <si>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</si>
  <si>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</si>
  <si>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</si>
  <si>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</si>
  <si>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</si>
  <si>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</si>
  <si>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</si>
  <si>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</si>
  <si>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</si>
  <si>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</si>
  <si>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</si>
  <si>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</si>
  <si>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</si>
  <si>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</si>
  <si>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</si>
  <si>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</si>
  <si>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</si>
  <si>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</si>
  <si>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</si>
  <si>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</si>
  <si>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</si>
  <si>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</si>
  <si>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</si>
  <si>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</si>
  <si>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</si>
  <si>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</si>
  <si>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</si>
  <si>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</si>
  <si>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</si>
  <si>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</si>
  <si>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</si>
  <si>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</si>
  <si>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</si>
  <si>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</si>
  <si>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</si>
  <si>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</si>
  <si>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</si>
  <si>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</si>
  <si>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</si>
  <si>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</si>
  <si>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</si>
  <si>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</si>
  <si>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</si>
  <si>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</si>
  <si>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</si>
  <si>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</si>
  <si>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</si>
  <si>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</si>
  <si>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</si>
  <si>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</si>
  <si>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</si>
  <si>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</si>
  <si>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</si>
  <si>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</si>
  <si>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</si>
  <si>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</si>
  <si>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</si>
  <si>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</si>
  <si>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</si>
  <si>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C.1</t>
  </si>
  <si>
    <t>RF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</si>
  <si>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</si>
  <si>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</si>
  <si>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</si>
  <si>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</si>
  <si>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</si>
  <si>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</si>
  <si>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</si>
  <si>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</si>
  <si>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</si>
  <si>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</si>
  <si>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</si>
  <si>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</si>
  <si>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</si>
  <si>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</si>
  <si>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</si>
  <si>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D.8</t>
  </si>
  <si>
    <t>Monitor Multiview</t>
  </si>
  <si>
    <t>D.9</t>
  </si>
  <si>
    <t>Monitor Audio R</t>
  </si>
  <si>
    <t>Patch Ext. Video</t>
  </si>
  <si>
    <t>Patch Ext. Audio</t>
  </si>
  <si>
    <t>VACANTE</t>
  </si>
  <si>
    <t>N/D</t>
  </si>
  <si>
    <t>Ordenar por Columna:</t>
  </si>
  <si>
    <t>Blackmagic SmartView HD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</si>
</sst>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122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106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156</v>
      </c>
      <c r="M65" s="8" t="s">
        <v>106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157</v>
      </c>
      <c r="M66" s="8" t="s">
        <v>158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159</v>
      </c>
      <c r="M67" s="8" t="s">
        <v>158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160</v>
      </c>
      <c r="M69" s="7" t="s">
        <v>161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84</v>
      </c>
      <c r="F70" s="7" t="s">
        <v>17</v>
      </c>
      <c r="G70" s="7" t="s">
        <v>155</v>
      </c>
      <c r="H70" s="7"/>
      <c r="I70" s="6" t="str">
        <f>IF(H70="","",VLOOKUP(H70,DB!A:B,2,0))</f>
        <v/>
      </c>
      <c r="J70" s="6"/>
      <c r="K70" s="6"/>
      <c r="L70" s="7"/>
      <c r="M70" s="8" t="s">
        <v>106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84</v>
      </c>
      <c r="F71" s="7" t="s">
        <v>17</v>
      </c>
      <c r="G71" s="7" t="s">
        <v>156</v>
      </c>
      <c r="H71" s="7"/>
      <c r="I71" s="6" t="str">
        <f>IF(H71="","",VLOOKUP(H71,DB!A:B,2,0))</f>
        <v/>
      </c>
      <c r="J71" s="6"/>
      <c r="K71" s="6"/>
      <c r="L71" s="7"/>
      <c r="M71" s="8" t="s">
        <v>106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84</v>
      </c>
      <c r="F72" s="7" t="s">
        <v>17</v>
      </c>
      <c r="G72" s="7" t="s">
        <v>157</v>
      </c>
      <c r="H72" s="7"/>
      <c r="I72" s="6" t="str">
        <f>IF(H72="","",VLOOKUP(H72,DB!A:B,2,0))</f>
        <v/>
      </c>
      <c r="J72" s="6"/>
      <c r="K72" s="6"/>
      <c r="L72" s="7"/>
      <c r="M72" s="8" t="s">
        <v>158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84</v>
      </c>
      <c r="F73" s="7" t="s">
        <v>17</v>
      </c>
      <c r="G73" s="7" t="s">
        <v>159</v>
      </c>
      <c r="H73" s="7"/>
      <c r="I73" s="6" t="str">
        <f>IF(H73="","",VLOOKUP(H73,DB!A:B,2,0))</f>
        <v/>
      </c>
      <c r="J73" s="6"/>
      <c r="K73" s="6"/>
      <c r="L73" s="7"/>
      <c r="M73" s="8" t="s">
        <v>158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104</v>
      </c>
      <c r="B74" s="7" t="str">
        <f>IF(A74="","",VLOOKUP(A74,DB!A:B,2,0))</f>
        <v>SmartScope Duo</v>
      </c>
      <c r="C74" s="6"/>
      <c r="D74" s="6"/>
      <c r="E74" s="7" t="s">
        <v>84</v>
      </c>
      <c r="F74" s="7" t="s">
        <v>17</v>
      </c>
      <c r="G74" s="7" t="s">
        <v>115</v>
      </c>
      <c r="H74" s="7" t="s">
        <v>104</v>
      </c>
      <c r="I74" s="6" t="str">
        <f>IF(H74="","",VLOOKUP(H74,DB!A:B,2,0))</f>
        <v>SmartScope Duo</v>
      </c>
      <c r="J74" s="6"/>
      <c r="K74" s="6"/>
      <c r="L74" s="7" t="s">
        <v>105</v>
      </c>
      <c r="M74" s="8" t="s">
        <v>162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163</v>
      </c>
      <c r="F75" s="7" t="s">
        <v>17</v>
      </c>
      <c r="G75" s="7" t="s">
        <v>163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164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165</v>
      </c>
      <c r="F76" s="7" t="s">
        <v>17</v>
      </c>
      <c r="G76" s="7" t="s">
        <v>165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166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167</v>
      </c>
      <c r="F77" s="7" t="s">
        <v>17</v>
      </c>
      <c r="G77" s="7" t="s">
        <v>167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166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168</v>
      </c>
      <c r="F78" s="7" t="s">
        <v>17</v>
      </c>
      <c r="G78" s="7" t="s">
        <v>168</v>
      </c>
      <c r="H78" s="7" t="s">
        <v>83</v>
      </c>
      <c r="I78" s="6" t="str">
        <f>IF(H78="","",VLOOKUP(H78,DB!A:B,2,0))</f>
        <v>CopperHead ProHD 1</v>
      </c>
      <c r="J78" s="6"/>
      <c r="K78" s="6"/>
      <c r="L78" s="7" t="s">
        <v>166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169</v>
      </c>
      <c r="F79" s="7" t="s">
        <v>17</v>
      </c>
      <c r="G79" s="7" t="s">
        <v>169</v>
      </c>
      <c r="H79" s="7" t="s">
        <v>86</v>
      </c>
      <c r="I79" s="6" t="str">
        <f>IF(H79="","",VLOOKUP(H79,DB!A:B,2,0))</f>
        <v>CopperHead ProHD 2</v>
      </c>
      <c r="J79" s="6"/>
      <c r="K79" s="6"/>
      <c r="L79" s="7" t="s">
        <v>166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96</v>
      </c>
      <c r="B80" s="7" t="str">
        <f>IF(A80="","",VLOOKUP(A80,DB!A:B,2,0))</f>
        <v>Patch Ext. Video</v>
      </c>
      <c r="C80" s="6"/>
      <c r="D80" s="6"/>
      <c r="E80" s="7" t="s">
        <v>170</v>
      </c>
      <c r="F80" s="7" t="s">
        <v>17</v>
      </c>
      <c r="G80" s="7" t="s">
        <v>170</v>
      </c>
      <c r="H80" s="7" t="s">
        <v>88</v>
      </c>
      <c r="I80" s="6" t="str">
        <f>IF(H80="","",VLOOKUP(H80,DB!A:B,2,0))</f>
        <v>CopperHead ProHD 3</v>
      </c>
      <c r="J80" s="6"/>
      <c r="K80" s="6"/>
      <c r="L80" s="7" t="s">
        <v>166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96</v>
      </c>
      <c r="B81" s="7" t="str">
        <f>IF(A81="","",VLOOKUP(A81,DB!A:B,2,0))</f>
        <v>Patch Ext. Video</v>
      </c>
      <c r="C81" s="6"/>
      <c r="D81" s="6"/>
      <c r="E81" s="7" t="s">
        <v>171</v>
      </c>
      <c r="F81" s="7" t="s">
        <v>17</v>
      </c>
      <c r="G81" s="7" t="s">
        <v>171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94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96</v>
      </c>
      <c r="B82" s="7" t="str">
        <f>IF(A82="","",VLOOKUP(A82,DB!A:B,2,0))</f>
        <v>Patch Ext. Video</v>
      </c>
      <c r="C82" s="6"/>
      <c r="D82" s="6"/>
      <c r="E82" s="7" t="s">
        <v>172</v>
      </c>
      <c r="F82" s="7" t="s">
        <v>17</v>
      </c>
      <c r="G82" s="7" t="s">
        <v>172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95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173</v>
      </c>
      <c r="B83" s="10" t="str">
        <f>IF(A83="","",VLOOKUP(A83,DB!A:B,2,0))</f>
        <v>Patch Ext. Audio</v>
      </c>
      <c r="C83" s="11"/>
      <c r="D83" s="10"/>
      <c r="E83" s="12" t="s">
        <v>122</v>
      </c>
      <c r="F83" s="7" t="s">
        <v>17</v>
      </c>
      <c r="G83" s="12" t="s">
        <v>122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173</v>
      </c>
      <c r="B84" s="14" t="str">
        <f>IF(A84="","",VLOOKUP(A84,DB!A:B,2,0))</f>
        <v>Patch Ext. Audio</v>
      </c>
      <c r="C84" s="14"/>
      <c r="D84" s="14"/>
      <c r="E84" s="12" t="s">
        <v>127</v>
      </c>
      <c r="F84" s="7" t="s">
        <v>17</v>
      </c>
      <c r="G84" s="12" t="s">
        <v>127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175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173</v>
      </c>
      <c r="B85" s="14" t="str">
        <f>IF(A85="","",VLOOKUP(A85,DB!A:B,2,0))</f>
        <v>Patch Ext. Audio</v>
      </c>
      <c r="C85" s="14"/>
      <c r="D85" s="14"/>
      <c r="E85" s="12" t="s">
        <v>128</v>
      </c>
      <c r="F85" s="7" t="s">
        <v>17</v>
      </c>
      <c r="G85" s="12" t="s">
        <v>128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176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173</v>
      </c>
      <c r="B86" s="14" t="str">
        <f>IF(A86="","",VLOOKUP(A86,DB!A:B,2,0))</f>
        <v>Patch Ext. Audio</v>
      </c>
      <c r="C86" s="14"/>
      <c r="D86" s="14"/>
      <c r="E86" s="12" t="s">
        <v>177</v>
      </c>
      <c r="F86" s="7" t="s">
        <v>17</v>
      </c>
      <c r="G86" s="12" t="s">
        <v>177</v>
      </c>
      <c r="H86" s="12" t="s">
        <v>146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178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173</v>
      </c>
      <c r="B87" s="10" t="str">
        <f>IF(A87="","",VLOOKUP(A87,DB!A:B,2,0))</f>
        <v>Patch Ext. Audio</v>
      </c>
      <c r="C87" s="10"/>
      <c r="D87" s="10"/>
      <c r="E87" s="12" t="s">
        <v>179</v>
      </c>
      <c r="F87" s="7" t="s">
        <v>17</v>
      </c>
      <c r="G87" s="12" t="s">
        <v>179</v>
      </c>
      <c r="H87" s="12" t="s">
        <v>146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180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173</v>
      </c>
      <c r="B88" s="14" t="str">
        <f>IF(A88="","",VLOOKUP(A88,DB!A:B,2,0))</f>
        <v>Patch Ext. Audio</v>
      </c>
      <c r="C88" s="14"/>
      <c r="D88" s="14"/>
      <c r="E88" s="12" t="s">
        <v>181</v>
      </c>
      <c r="F88" s="7" t="s">
        <v>17</v>
      </c>
      <c r="G88" s="12" t="s">
        <v>181</v>
      </c>
      <c r="H88" s="12" t="s">
        <v>146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182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173</v>
      </c>
      <c r="B89" s="7" t="str">
        <f>IF(A89="","",VLOOKUP(A89,DB!A:B,2,0))</f>
        <v>Patch Ext. Audio</v>
      </c>
      <c r="C89" s="6"/>
      <c r="D89" s="6"/>
      <c r="E89" s="12" t="s">
        <v>183</v>
      </c>
      <c r="F89" s="7" t="s">
        <v>17</v>
      </c>
      <c r="G89" s="12" t="s">
        <v>183</v>
      </c>
      <c r="H89" s="12" t="s">
        <v>146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94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173</v>
      </c>
      <c r="B90" s="7" t="str">
        <f>IF(A90="","",VLOOKUP(A90,DB!A:B,2,0))</f>
        <v>Patch Ext. Audio</v>
      </c>
      <c r="C90" s="6"/>
      <c r="D90" s="6"/>
      <c r="E90" s="12" t="s">
        <v>184</v>
      </c>
      <c r="F90" s="7" t="s">
        <v>17</v>
      </c>
      <c r="G90" s="12" t="s">
        <v>184</v>
      </c>
      <c r="H90" s="12" t="s">
        <v>146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173</v>
      </c>
      <c r="B91" s="7" t="str">
        <f>IF(A91="","",VLOOKUP(A91,DB!A:B,2,0))</f>
        <v>Patch Ext. Audio</v>
      </c>
      <c r="C91" s="6"/>
      <c r="D91" s="6"/>
      <c r="E91" s="12" t="s">
        <v>185</v>
      </c>
      <c r="F91" s="7" t="s">
        <v>17</v>
      </c>
      <c r="G91" s="12" t="s">
        <v>185</v>
      </c>
      <c r="H91" s="7" t="s">
        <v>146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98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10.0</v>
      </c>
      <c r="D92" s="7" t="s">
        <v>154</v>
      </c>
      <c r="E92" s="7" t="s">
        <v>46</v>
      </c>
      <c r="F92" s="7" t="s">
        <v>17</v>
      </c>
      <c r="G92" s="7" t="s">
        <v>18</v>
      </c>
      <c r="H92" s="7" t="s">
        <v>173</v>
      </c>
      <c r="I92" s="6" t="str">
        <f>IF(H92="","",VLOOKUP(H92,DB!A:B,2,0))</f>
        <v>Patch Ext. Audio</v>
      </c>
      <c r="J92" s="6"/>
      <c r="K92" s="6"/>
      <c r="L92" s="7" t="s">
        <v>186</v>
      </c>
      <c r="M92" s="8" t="s">
        <v>187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10.0</v>
      </c>
      <c r="D93" s="7" t="s">
        <v>154</v>
      </c>
      <c r="E93" s="7" t="s">
        <v>46</v>
      </c>
      <c r="F93" s="7" t="s">
        <v>17</v>
      </c>
      <c r="G93" s="7" t="s">
        <v>18</v>
      </c>
      <c r="H93" s="7" t="s">
        <v>173</v>
      </c>
      <c r="I93" s="6" t="str">
        <f>IF(H93="","",VLOOKUP(H93,DB!A:B,2,0))</f>
        <v>Patch Ext. Audio</v>
      </c>
      <c r="J93" s="6"/>
      <c r="K93" s="6"/>
      <c r="L93" s="7" t="s">
        <v>188</v>
      </c>
      <c r="M93" s="8" t="s">
        <v>187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10.0</v>
      </c>
      <c r="D94" s="7" t="s">
        <v>154</v>
      </c>
      <c r="E94" s="7" t="s">
        <v>46</v>
      </c>
      <c r="F94" s="7" t="s">
        <v>17</v>
      </c>
      <c r="G94" s="7" t="s">
        <v>18</v>
      </c>
      <c r="H94" s="7" t="s">
        <v>173</v>
      </c>
      <c r="I94" s="6" t="str">
        <f>IF(H94="","",VLOOKUP(H94,DB!A:B,2,0))</f>
        <v>Patch Ext. Audio</v>
      </c>
      <c r="J94" s="6"/>
      <c r="K94" s="6"/>
      <c r="L94" s="7" t="s">
        <v>189</v>
      </c>
      <c r="M94" s="8" t="s">
        <v>187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154</v>
      </c>
      <c r="E95" s="7" t="s">
        <v>46</v>
      </c>
      <c r="F95" s="7" t="s">
        <v>17</v>
      </c>
      <c r="G95" s="7" t="s">
        <v>18</v>
      </c>
      <c r="H95" s="7" t="s">
        <v>173</v>
      </c>
      <c r="I95" s="6" t="str">
        <f>IF(H95="","",VLOOKUP(H95,DB!A:B,2,0))</f>
        <v>Patch Ext. Audio</v>
      </c>
      <c r="J95" s="6"/>
      <c r="K95" s="6"/>
      <c r="L95" s="7" t="s">
        <v>190</v>
      </c>
      <c r="M95" s="8" t="s">
        <v>187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7.0</v>
      </c>
      <c r="D96" s="7" t="s">
        <v>154</v>
      </c>
      <c r="E96" s="7" t="s">
        <v>23</v>
      </c>
      <c r="F96" s="7" t="s">
        <v>17</v>
      </c>
      <c r="G96" s="7" t="s">
        <v>18</v>
      </c>
      <c r="H96" s="7" t="s">
        <v>173</v>
      </c>
      <c r="I96" s="6" t="str">
        <f>IF(H96="","",VLOOKUP(H96,DB!A:B,2,0))</f>
        <v>Patch Ext. Audio</v>
      </c>
      <c r="J96" s="6"/>
      <c r="K96" s="6"/>
      <c r="L96" s="7" t="s">
        <v>191</v>
      </c>
      <c r="M96" s="8" t="s">
        <v>106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7.0</v>
      </c>
      <c r="D97" s="7" t="s">
        <v>154</v>
      </c>
      <c r="E97" s="7" t="s">
        <v>38</v>
      </c>
      <c r="F97" s="7" t="s">
        <v>17</v>
      </c>
      <c r="G97" s="7" t="s">
        <v>24</v>
      </c>
      <c r="H97" s="7" t="s">
        <v>173</v>
      </c>
      <c r="I97" s="6" t="str">
        <f>IF(H97="","",VLOOKUP(H97,DB!A:B,2,0))</f>
        <v>Patch Ext. Audio</v>
      </c>
      <c r="J97" s="6"/>
      <c r="K97" s="6"/>
      <c r="L97" s="7" t="s">
        <v>192</v>
      </c>
      <c r="M97" s="8" t="s">
        <v>106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8.0</v>
      </c>
      <c r="D98" s="7" t="s">
        <v>154</v>
      </c>
      <c r="E98" s="7" t="s">
        <v>38</v>
      </c>
      <c r="F98" s="6"/>
      <c r="G98" s="6"/>
      <c r="H98" s="7" t="s">
        <v>173</v>
      </c>
      <c r="I98" s="6" t="str">
        <f>IF(H98="","",VLOOKUP(H98,DB!A:B,2,0))</f>
        <v>Patch Ext. Audio</v>
      </c>
      <c r="J98" s="6"/>
      <c r="K98" s="6"/>
      <c r="L98" s="7" t="s">
        <v>193</v>
      </c>
      <c r="M98" s="8" t="s">
        <v>158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16</v>
      </c>
      <c r="F99" s="6"/>
      <c r="G99" s="6"/>
      <c r="H99" s="7" t="s">
        <v>173</v>
      </c>
      <c r="I99" s="7" t="str">
        <f>IF(H99="","",VLOOKUP(H99,DB!A:B,2,0))</f>
        <v>Patch Ext. Audio</v>
      </c>
      <c r="J99" s="6"/>
      <c r="K99" s="6"/>
      <c r="L99" s="7" t="s">
        <v>194</v>
      </c>
      <c r="M99" s="8" t="s">
        <v>195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Densite3</v>
      </c>
      <c r="C100" s="7">
        <v>9.0</v>
      </c>
      <c r="D100" s="7" t="s">
        <v>154</v>
      </c>
      <c r="E100" s="7" t="s">
        <v>35</v>
      </c>
      <c r="F100" s="6"/>
      <c r="G100" s="6"/>
      <c r="H100" s="7" t="s">
        <v>173</v>
      </c>
      <c r="I100" s="7" t="str">
        <f>IF(H100="","",VLOOKUP(H100,DB!A:B,2,0))</f>
        <v>Patch Ext. Audio</v>
      </c>
      <c r="J100" s="6"/>
      <c r="K100" s="6"/>
      <c r="L100" s="7" t="s">
        <v>196</v>
      </c>
      <c r="M100" s="8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Densite3</v>
      </c>
      <c r="C101" s="7">
        <v>9.0</v>
      </c>
      <c r="D101" s="7" t="s">
        <v>154</v>
      </c>
      <c r="E101" s="7" t="s">
        <v>16</v>
      </c>
      <c r="F101" s="6"/>
      <c r="G101" s="6"/>
      <c r="H101" s="7" t="s">
        <v>173</v>
      </c>
      <c r="I101" s="7" t="str">
        <f>IF(H101="","",VLOOKUP(H101,DB!A:B,2,0))</f>
        <v>Patch Ext. Audio</v>
      </c>
      <c r="J101" s="6"/>
      <c r="K101" s="6"/>
      <c r="L101" s="7" t="s">
        <v>197</v>
      </c>
      <c r="M101" s="7" t="s">
        <v>125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9.0</v>
      </c>
      <c r="D102" s="7" t="s">
        <v>154</v>
      </c>
      <c r="E102" s="7" t="s">
        <v>38</v>
      </c>
      <c r="F102" s="6"/>
      <c r="G102" s="6"/>
      <c r="H102" s="7" t="s">
        <v>173</v>
      </c>
      <c r="I102" s="7" t="str">
        <f>IF(H102="","",VLOOKUP(H102,DB!A:B,2,0))</f>
        <v>Patch Ext. Audio</v>
      </c>
      <c r="J102" s="6"/>
      <c r="K102" s="6"/>
      <c r="L102" s="7" t="s">
        <v>198</v>
      </c>
      <c r="M102" s="7" t="s">
        <v>124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8.0</v>
      </c>
      <c r="D103" s="7" t="s">
        <v>154</v>
      </c>
      <c r="E103" s="7" t="s">
        <v>23</v>
      </c>
      <c r="F103" s="6"/>
      <c r="G103" s="6"/>
      <c r="H103" s="7" t="s">
        <v>173</v>
      </c>
      <c r="I103" s="7" t="str">
        <f>IF(H103="","",VLOOKUP(H103,DB!A:B,2,0))</f>
        <v>Patch Ext. Audio</v>
      </c>
      <c r="J103" s="6"/>
      <c r="K103" s="6"/>
      <c r="L103" s="7" t="s">
        <v>199</v>
      </c>
      <c r="M103" s="7" t="s">
        <v>195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173</v>
      </c>
      <c r="B104" s="7" t="str">
        <f>IF(A104="","",VLOOKUP(A104,DB!A:B,2,0))</f>
        <v>Patch Ext. Audio</v>
      </c>
      <c r="C104" s="6"/>
      <c r="D104" s="6"/>
      <c r="E104" s="7" t="s">
        <v>200</v>
      </c>
      <c r="F104" s="7" t="s">
        <v>17</v>
      </c>
      <c r="G104" s="7" t="s">
        <v>200</v>
      </c>
      <c r="H104" s="7" t="s">
        <v>83</v>
      </c>
      <c r="I104" s="6" t="str">
        <f>IF(H104="","",VLOOKUP(H104,DB!A:B,2,0))</f>
        <v>CopperHead ProHD 1</v>
      </c>
      <c r="J104" s="6"/>
      <c r="K104" s="6"/>
      <c r="L104" s="7" t="s">
        <v>145</v>
      </c>
      <c r="M104" s="7" t="s">
        <v>201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173</v>
      </c>
      <c r="B105" s="7" t="str">
        <f>IF(A105="","",VLOOKUP(A105,DB!A:B,2,0))</f>
        <v>Patch Ext. Audio</v>
      </c>
      <c r="C105" s="6"/>
      <c r="D105" s="6"/>
      <c r="E105" s="7" t="s">
        <v>202</v>
      </c>
      <c r="F105" s="7" t="s">
        <v>17</v>
      </c>
      <c r="G105" s="7" t="s">
        <v>202</v>
      </c>
      <c r="H105" s="7" t="s">
        <v>83</v>
      </c>
      <c r="I105" s="6" t="str">
        <f>IF(H105="","",VLOOKUP(H105,DB!A:B,2,0))</f>
        <v>CopperHead ProHD 1</v>
      </c>
      <c r="J105" s="6"/>
      <c r="K105" s="6"/>
      <c r="L105" s="7" t="s">
        <v>151</v>
      </c>
      <c r="M105" s="7" t="s">
        <v>203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173</v>
      </c>
      <c r="B106" s="7" t="str">
        <f>IF(A106="","",VLOOKUP(A106,DB!A:B,2,0))</f>
        <v>Patch Ext. Audio</v>
      </c>
      <c r="C106" s="6"/>
      <c r="D106" s="6"/>
      <c r="E106" s="7" t="s">
        <v>204</v>
      </c>
      <c r="F106" s="7" t="s">
        <v>17</v>
      </c>
      <c r="G106" s="7" t="s">
        <v>204</v>
      </c>
      <c r="H106" s="7" t="s">
        <v>86</v>
      </c>
      <c r="I106" s="6" t="str">
        <f>IF(H106="","",VLOOKUP(H106,DB!A:B,2,0))</f>
        <v>CopperHead ProHD 2</v>
      </c>
      <c r="J106" s="6"/>
      <c r="K106" s="6"/>
      <c r="L106" s="7" t="s">
        <v>145</v>
      </c>
      <c r="M106" s="7" t="s">
        <v>205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173</v>
      </c>
      <c r="B107" s="7" t="str">
        <f>IF(A107="","",VLOOKUP(A107,DB!A:B,2,0))</f>
        <v>Patch Ext. Audio</v>
      </c>
      <c r="C107" s="6"/>
      <c r="D107" s="6"/>
      <c r="E107" s="7" t="s">
        <v>206</v>
      </c>
      <c r="F107" s="7" t="s">
        <v>17</v>
      </c>
      <c r="G107" s="7" t="s">
        <v>206</v>
      </c>
      <c r="H107" s="7" t="s">
        <v>86</v>
      </c>
      <c r="I107" s="6" t="str">
        <f>IF(H107="","",VLOOKUP(H107,DB!A:B,2,0))</f>
        <v>CopperHead ProHD 2</v>
      </c>
      <c r="J107" s="6"/>
      <c r="K107" s="6"/>
      <c r="L107" s="7" t="s">
        <v>151</v>
      </c>
      <c r="M107" s="7" t="s">
        <v>207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173</v>
      </c>
      <c r="B108" s="7" t="str">
        <f>IF(A108="","",VLOOKUP(A108,DB!A:B,2,0))</f>
        <v>Patch Ext. Audio</v>
      </c>
      <c r="C108" s="6"/>
      <c r="D108" s="6"/>
      <c r="E108" s="7" t="s">
        <v>208</v>
      </c>
      <c r="F108" s="7" t="s">
        <v>17</v>
      </c>
      <c r="G108" s="7" t="s">
        <v>208</v>
      </c>
      <c r="H108" s="7" t="s">
        <v>88</v>
      </c>
      <c r="I108" s="6" t="str">
        <f>IF(H108="","",VLOOKUP(H108,DB!A:B,2,0))</f>
        <v>CopperHead ProHD 3</v>
      </c>
      <c r="J108" s="6"/>
      <c r="K108" s="6"/>
      <c r="L108" s="7" t="s">
        <v>145</v>
      </c>
      <c r="M108" s="7" t="s">
        <v>209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173</v>
      </c>
      <c r="B109" s="7" t="str">
        <f>IF(A109="","",VLOOKUP(A109,DB!A:B,2,0))</f>
        <v>Patch Ext. Audio</v>
      </c>
      <c r="C109" s="6"/>
      <c r="D109" s="6"/>
      <c r="E109" s="7" t="s">
        <v>210</v>
      </c>
      <c r="F109" s="7" t="s">
        <v>17</v>
      </c>
      <c r="G109" s="7" t="s">
        <v>210</v>
      </c>
      <c r="H109" s="7" t="s">
        <v>88</v>
      </c>
      <c r="I109" s="6" t="str">
        <f>IF(H109="","",VLOOKUP(H109,DB!A:B,2,0))</f>
        <v>CopperHead ProHD 3</v>
      </c>
      <c r="J109" s="6"/>
      <c r="K109" s="6"/>
      <c r="L109" s="7" t="s">
        <v>151</v>
      </c>
      <c r="M109" s="7" t="s">
        <v>211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173</v>
      </c>
      <c r="B110" s="7" t="str">
        <f>IF(A110="","",VLOOKUP(A110,DB!A:B,2,0))</f>
        <v>Patch Ext. Audio</v>
      </c>
      <c r="C110" s="6"/>
      <c r="D110" s="6"/>
      <c r="E110" s="7" t="s">
        <v>212</v>
      </c>
      <c r="F110" s="7" t="s">
        <v>17</v>
      </c>
      <c r="G110" s="7" t="s">
        <v>212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145</v>
      </c>
      <c r="M110" s="7" t="s">
        <v>213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173</v>
      </c>
      <c r="B111" s="7" t="str">
        <f>IF(A111="","",VLOOKUP(A111,DB!A:B,2,0))</f>
        <v>Patch Ext. Audio</v>
      </c>
      <c r="C111" s="6"/>
      <c r="D111" s="6"/>
      <c r="E111" s="7" t="s">
        <v>214</v>
      </c>
      <c r="F111" s="7" t="s">
        <v>17</v>
      </c>
      <c r="G111" s="7" t="s">
        <v>214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151</v>
      </c>
      <c r="M111" s="7" t="s">
        <v>215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173</v>
      </c>
      <c r="B112" s="7" t="str">
        <f>IF(A112="","",VLOOKUP(A112,DB!A:B,2,0))</f>
        <v>Patch Ext. Audio</v>
      </c>
      <c r="C112" s="6"/>
      <c r="D112" s="6"/>
      <c r="E112" s="7" t="s">
        <v>216</v>
      </c>
      <c r="F112" s="7" t="s">
        <v>17</v>
      </c>
      <c r="G112" s="7" t="s">
        <v>216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145</v>
      </c>
      <c r="M112" s="7" t="s">
        <v>217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173</v>
      </c>
      <c r="B113" s="14" t="str">
        <f>IF(A113="","",VLOOKUP(A113,DB!A:B,2,0))</f>
        <v>Patch Ext. Audio</v>
      </c>
      <c r="C113" s="15"/>
      <c r="D113" s="14"/>
      <c r="E113" s="7" t="s">
        <v>218</v>
      </c>
      <c r="F113" s="7" t="s">
        <v>17</v>
      </c>
      <c r="G113" s="7" t="s">
        <v>218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151</v>
      </c>
      <c r="M113" s="16" t="s">
        <v>219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M/E</v>
      </c>
      <c r="C114" s="6"/>
      <c r="D114" s="6"/>
      <c r="E114" s="7" t="s">
        <v>220</v>
      </c>
      <c r="F114" s="6"/>
      <c r="G114" s="6"/>
      <c r="H114" s="7" t="s">
        <v>221</v>
      </c>
      <c r="I114" s="6" t="str">
        <f>IF(H114="","",VLOOKUP(H114,DB!A:B,2,0))</f>
        <v>SmartView HD</v>
      </c>
      <c r="J114" s="6"/>
      <c r="K114" s="6"/>
      <c r="L114" s="7" t="s">
        <v>93</v>
      </c>
      <c r="M114" s="8" t="s">
        <v>222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221</v>
      </c>
      <c r="B115" s="7" t="str">
        <f>IF(A115="","",VLOOKUP(A115,DB!A:B,2,0))</f>
        <v>SmartView HD</v>
      </c>
      <c r="C115" s="6"/>
      <c r="D115" s="6"/>
      <c r="E115" s="7" t="s">
        <v>92</v>
      </c>
      <c r="F115" s="7" t="s">
        <v>17</v>
      </c>
      <c r="G115" s="7" t="s">
        <v>93</v>
      </c>
      <c r="H115" s="7" t="s">
        <v>223</v>
      </c>
      <c r="I115" s="6" t="str">
        <f>IF(H115="","",VLOOKUP(H115,DB!A:B,2,0))</f>
        <v>SmartScope Duo</v>
      </c>
      <c r="J115" s="6"/>
      <c r="K115" s="6"/>
      <c r="L115" s="7" t="s">
        <v>115</v>
      </c>
      <c r="M115" s="8" t="s">
        <v>224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223</v>
      </c>
      <c r="B116" s="7" t="str">
        <f>IF(A116="","",VLOOKUP(A116,DB!A:B,2,0))</f>
        <v>SmartScope Duo</v>
      </c>
      <c r="C116" s="6"/>
      <c r="D116" s="6"/>
      <c r="E116" s="7" t="s">
        <v>84</v>
      </c>
      <c r="F116" s="7" t="s">
        <v>17</v>
      </c>
      <c r="G116" s="7" t="s">
        <v>115</v>
      </c>
      <c r="H116" s="7" t="s">
        <v>223</v>
      </c>
      <c r="I116" s="6" t="str">
        <f>IF(H116="","",VLOOKUP(H116,DB!A:B,2,0))</f>
        <v>SmartScope Duo</v>
      </c>
      <c r="J116" s="6"/>
      <c r="K116" s="6"/>
      <c r="L116" s="7" t="s">
        <v>105</v>
      </c>
      <c r="M116" s="8" t="s">
        <v>225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37</v>
      </c>
      <c r="B123" s="7" t="str">
        <f>IF(A123="","",VLOOKUP(A123,DB!A:B,2,0))</f>
        <v/>
      </c>
      <c r="C123" s="6"/>
      <c r="D123" s="6"/>
      <c r="E123" s="6"/>
      <c r="F123" s="6"/>
      <c r="G123" s="6"/>
      <c r="H123" s="7" t="s">
        <v>96</v>
      </c>
      <c r="I123" s="6" t="str">
        <f>IF(H123="","",VLOOKUP(H123,DB!A:B,2,0))</f>
        <v>Patch Ext. Video</v>
      </c>
      <c r="J123" s="6"/>
      <c r="K123" s="6"/>
      <c r="L123" s="7" t="s">
        <v>171</v>
      </c>
      <c r="M123" s="8" t="s">
        <v>94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37</v>
      </c>
      <c r="B124" s="7" t="str">
        <f>IF(A124="","",VLOOKUP(A124,DB!A:B,2,0))</f>
        <v/>
      </c>
      <c r="C124" s="6"/>
      <c r="D124" s="6"/>
      <c r="E124" s="6"/>
      <c r="F124" s="6"/>
      <c r="G124" s="6"/>
      <c r="H124" s="7" t="s">
        <v>96</v>
      </c>
      <c r="I124" s="6" t="str">
        <f>IF(H124="","",VLOOKUP(H124,DB!A:B,2,0))</f>
        <v>Patch Ext. Video</v>
      </c>
      <c r="J124" s="6"/>
      <c r="K124" s="6"/>
      <c r="L124" s="7" t="s">
        <v>172</v>
      </c>
      <c r="M124" s="8" t="s">
        <v>95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97</v>
      </c>
      <c r="M125" s="8" t="s">
        <v>98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109</v>
      </c>
      <c r="M126" s="8" t="s">
        <v>111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163</v>
      </c>
      <c r="M127" s="8" t="s">
        <v>164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96</v>
      </c>
      <c r="B128" s="7" t="str">
        <f>IF(A128="","",VLOOKUP(A128,DB!A:B,2,0))</f>
        <v>Patch Ext. Video</v>
      </c>
      <c r="C128" s="6"/>
      <c r="D128" s="6"/>
      <c r="E128" s="7" t="s">
        <v>133</v>
      </c>
      <c r="F128" s="7" t="s">
        <v>17</v>
      </c>
      <c r="G128" s="7" t="s">
        <v>133</v>
      </c>
      <c r="H128" s="7" t="s">
        <v>37</v>
      </c>
      <c r="I128" s="6" t="str">
        <f>IF(H128="","",VLOOKUP(H128,DB!A:B,2,0))</f>
        <v/>
      </c>
      <c r="J128" s="6"/>
      <c r="K128" s="6"/>
      <c r="L128" s="6"/>
      <c r="M128" s="8" t="s">
        <v>106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96</v>
      </c>
      <c r="B129" s="7" t="str">
        <f>IF(A129="","",VLOOKUP(A129,DB!A:B,2,0))</f>
        <v>Patch Ext. Video</v>
      </c>
      <c r="C129" s="6"/>
      <c r="D129" s="6"/>
      <c r="E129" s="7" t="s">
        <v>137</v>
      </c>
      <c r="F129" s="7" t="s">
        <v>17</v>
      </c>
      <c r="G129" s="7" t="s">
        <v>137</v>
      </c>
      <c r="H129" s="7" t="s">
        <v>37</v>
      </c>
      <c r="I129" s="6" t="str">
        <f>IF(H129="","",VLOOKUP(H129,DB!A:B,2,0))</f>
        <v/>
      </c>
      <c r="J129" s="6"/>
      <c r="K129" s="6"/>
      <c r="L129" s="6"/>
      <c r="M129" s="8" t="s">
        <v>106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141</v>
      </c>
      <c r="F130" s="7" t="s">
        <v>17</v>
      </c>
      <c r="G130" s="7" t="s">
        <v>141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160</v>
      </c>
      <c r="F131" s="7" t="s">
        <v>17</v>
      </c>
      <c r="G131" s="7" t="s">
        <v>160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161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134</v>
      </c>
      <c r="F132" s="7" t="s">
        <v>17</v>
      </c>
      <c r="G132" s="7" t="s">
        <v>134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135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129</v>
      </c>
      <c r="F133" s="7" t="s">
        <v>17</v>
      </c>
      <c r="G133" s="7" t="s">
        <v>129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124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139</v>
      </c>
      <c r="F134" s="7" t="s">
        <v>17</v>
      </c>
      <c r="G134" s="7" t="s">
        <v>139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131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138</v>
      </c>
      <c r="F135" s="7" t="s">
        <v>17</v>
      </c>
      <c r="G135" s="7" t="s">
        <v>138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125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37</v>
      </c>
      <c r="B136" s="7" t="str">
        <f>IF(A136="","",VLOOKUP(A136,DB!A:B,2,0))</f>
        <v/>
      </c>
      <c r="C136" s="6"/>
      <c r="D136" s="6"/>
      <c r="E136" s="6"/>
      <c r="F136" s="6"/>
      <c r="G136" s="6"/>
      <c r="H136" s="7" t="s">
        <v>96</v>
      </c>
      <c r="I136" s="6" t="str">
        <f>IF(H136="","",VLOOKUP(H136,DB!A:B,2,0))</f>
        <v>Patch Ext. Video</v>
      </c>
      <c r="J136" s="6"/>
      <c r="K136" s="6"/>
      <c r="L136" s="7" t="s">
        <v>165</v>
      </c>
      <c r="M136" s="8" t="s">
        <v>81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96</v>
      </c>
      <c r="I137" s="6" t="str">
        <f>IF(H137="","",VLOOKUP(H137,DB!A:B,2,0))</f>
        <v>Patch Ext. Video</v>
      </c>
      <c r="J137" s="6"/>
      <c r="K137" s="6"/>
      <c r="L137" s="7" t="s">
        <v>167</v>
      </c>
      <c r="M137" s="8" t="s">
        <v>82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168</v>
      </c>
      <c r="M138" s="8" t="s">
        <v>85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169</v>
      </c>
      <c r="M139" s="8" t="s">
        <v>87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170</v>
      </c>
      <c r="M140" s="8" t="s">
        <v>89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173</v>
      </c>
      <c r="I144" s="6" t="str">
        <f>IF(H144="","",VLOOKUP(H144,DB!A:B,2,0))</f>
        <v>Patch Ext. Audio</v>
      </c>
      <c r="J144" s="6"/>
      <c r="K144" s="6"/>
      <c r="L144" s="7" t="s">
        <v>122</v>
      </c>
      <c r="M144" s="13" t="s">
        <v>174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173</v>
      </c>
      <c r="I145" s="6" t="str">
        <f>IF(H145="","",VLOOKUP(H145,DB!A:B,2,0))</f>
        <v>Patch Ext. Audio</v>
      </c>
      <c r="J145" s="6"/>
      <c r="K145" s="6"/>
      <c r="L145" s="7" t="s">
        <v>127</v>
      </c>
      <c r="M145" s="13" t="s">
        <v>175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173</v>
      </c>
      <c r="I146" s="6" t="str">
        <f>IF(H146="","",VLOOKUP(H146,DB!A:B,2,0))</f>
        <v>Patch Ext. Audio</v>
      </c>
      <c r="J146" s="6"/>
      <c r="K146" s="6"/>
      <c r="L146" s="7" t="s">
        <v>128</v>
      </c>
      <c r="M146" s="13" t="s">
        <v>176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173</v>
      </c>
      <c r="I147" s="6" t="str">
        <f>IF(H147="","",VLOOKUP(H147,DB!A:B,2,0))</f>
        <v>Patch Ext. Audio</v>
      </c>
      <c r="J147" s="6"/>
      <c r="K147" s="6"/>
      <c r="L147" s="7" t="s">
        <v>177</v>
      </c>
      <c r="M147" s="13" t="s">
        <v>178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173</v>
      </c>
      <c r="I148" s="6" t="str">
        <f>IF(H148="","",VLOOKUP(H148,DB!A:B,2,0))</f>
        <v>Patch Ext. Audio</v>
      </c>
      <c r="J148" s="6"/>
      <c r="K148" s="6"/>
      <c r="L148" s="7" t="s">
        <v>179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173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173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94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173</v>
      </c>
      <c r="I151" s="6" t="str">
        <f>IF(H151="","",VLOOKUP(H151,DB!A:B,2,0))</f>
        <v>Patch Ext. Audio</v>
      </c>
      <c r="J151" s="6"/>
      <c r="K151" s="6"/>
      <c r="L151" s="7" t="s">
        <v>184</v>
      </c>
      <c r="M151" s="13" t="s">
        <v>95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173</v>
      </c>
      <c r="I152" s="6" t="str">
        <f>IF(H152="","",VLOOKUP(H152,DB!A:B,2,0))</f>
        <v>Patch Ext. Audio</v>
      </c>
      <c r="J152" s="6"/>
      <c r="K152" s="6"/>
      <c r="L152" s="7" t="s">
        <v>185</v>
      </c>
      <c r="M152" s="13" t="s">
        <v>98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173</v>
      </c>
      <c r="B153" s="7" t="str">
        <f>IF(A153="","",VLOOKUP(A153,DB!A:B,2,0))</f>
        <v>Patch Ext. Audio</v>
      </c>
      <c r="C153" s="6"/>
      <c r="D153" s="6"/>
      <c r="E153" s="7" t="s">
        <v>186</v>
      </c>
      <c r="F153" s="7" t="s">
        <v>17</v>
      </c>
      <c r="G153" s="7" t="s">
        <v>186</v>
      </c>
      <c r="H153" s="7" t="s">
        <v>37</v>
      </c>
      <c r="I153" s="6" t="str">
        <f>IF(H153="","",VLOOKUP(H153,DB!A:B,2,0))</f>
        <v/>
      </c>
      <c r="J153" s="6"/>
      <c r="K153" s="6"/>
      <c r="L153" s="6"/>
      <c r="M153" s="8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173</v>
      </c>
      <c r="B154" s="7" t="str">
        <f>IF(A154="","",VLOOKUP(A154,DB!A:B,2,0))</f>
        <v>Patch Ext. Audio</v>
      </c>
      <c r="C154" s="6"/>
      <c r="D154" s="6"/>
      <c r="E154" s="7" t="s">
        <v>188</v>
      </c>
      <c r="F154" s="7" t="s">
        <v>17</v>
      </c>
      <c r="G154" s="7" t="s">
        <v>188</v>
      </c>
      <c r="H154" s="7" t="s">
        <v>37</v>
      </c>
      <c r="I154" s="6" t="str">
        <f>IF(H154="","",VLOOKUP(H154,DB!A:B,2,0))</f>
        <v/>
      </c>
      <c r="J154" s="6"/>
      <c r="K154" s="6"/>
      <c r="L154" s="6"/>
      <c r="M154" s="8" t="s">
        <v>187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173</v>
      </c>
      <c r="B155" s="7" t="str">
        <f>IF(A155="","",VLOOKUP(A155,DB!A:B,2,0))</f>
        <v>Patch Ext. Audio</v>
      </c>
      <c r="C155" s="6"/>
      <c r="D155" s="6"/>
      <c r="E155" s="7" t="s">
        <v>189</v>
      </c>
      <c r="F155" s="7" t="s">
        <v>17</v>
      </c>
      <c r="G155" s="7" t="s">
        <v>189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173</v>
      </c>
      <c r="B156" s="7" t="str">
        <f>IF(A156="","",VLOOKUP(A156,DB!A:B,2,0))</f>
        <v>Patch Ext. Audio</v>
      </c>
      <c r="C156" s="6"/>
      <c r="D156" s="6"/>
      <c r="E156" s="7" t="s">
        <v>190</v>
      </c>
      <c r="F156" s="7" t="s">
        <v>17</v>
      </c>
      <c r="G156" s="7" t="s">
        <v>190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187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173</v>
      </c>
      <c r="B157" s="7" t="str">
        <f>IF(A157="","",VLOOKUP(A157,DB!A:B,2,0))</f>
        <v>Patch Ext. Audio</v>
      </c>
      <c r="C157" s="6"/>
      <c r="D157" s="6"/>
      <c r="E157" s="7" t="s">
        <v>191</v>
      </c>
      <c r="F157" s="7" t="s">
        <v>17</v>
      </c>
      <c r="G157" s="7" t="s">
        <v>191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106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173</v>
      </c>
      <c r="B158" s="7" t="str">
        <f>IF(A158="","",VLOOKUP(A158,DB!A:B,2,0))</f>
        <v>Patch Ext. Audio</v>
      </c>
      <c r="C158" s="6"/>
      <c r="D158" s="6"/>
      <c r="E158" s="7" t="s">
        <v>192</v>
      </c>
      <c r="F158" s="7" t="s">
        <v>17</v>
      </c>
      <c r="G158" s="7" t="s">
        <v>192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106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173</v>
      </c>
      <c r="B159" s="7" t="str">
        <f>IF(A159="","",VLOOKUP(A159,DB!A:B,2,0))</f>
        <v>Patch Ext. Audio</v>
      </c>
      <c r="C159" s="6"/>
      <c r="D159" s="6"/>
      <c r="E159" s="7" t="s">
        <v>193</v>
      </c>
      <c r="F159" s="7" t="s">
        <v>17</v>
      </c>
      <c r="G159" s="7" t="s">
        <v>193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158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173</v>
      </c>
      <c r="B160" s="7" t="str">
        <f>IF(A160="","",VLOOKUP(A160,DB!A:B,2,0))</f>
        <v>Patch Ext. Audio</v>
      </c>
      <c r="C160" s="6"/>
      <c r="D160" s="6"/>
      <c r="E160" s="7" t="s">
        <v>194</v>
      </c>
      <c r="F160" s="7" t="s">
        <v>17</v>
      </c>
      <c r="G160" s="7" t="s">
        <v>194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173</v>
      </c>
      <c r="B161" s="7" t="str">
        <f>IF(A161="","",VLOOKUP(A161,DB!A:B,2,0))</f>
        <v>Patch Ext. Audio</v>
      </c>
      <c r="C161" s="6"/>
      <c r="D161" s="6"/>
      <c r="E161" s="7" t="s">
        <v>196</v>
      </c>
      <c r="F161" s="7" t="s">
        <v>17</v>
      </c>
      <c r="G161" s="7" t="s">
        <v>196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124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173</v>
      </c>
      <c r="B162" s="7" t="str">
        <f>IF(A162="","",VLOOKUP(A162,DB!A:B,2,0))</f>
        <v>Patch Ext. Audio</v>
      </c>
      <c r="C162" s="6"/>
      <c r="D162" s="6"/>
      <c r="E162" s="7" t="s">
        <v>197</v>
      </c>
      <c r="F162" s="7" t="s">
        <v>17</v>
      </c>
      <c r="G162" s="7" t="s">
        <v>197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7" t="s">
        <v>125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173</v>
      </c>
      <c r="B163" s="7" t="str">
        <f>IF(A163="","",VLOOKUP(A163,DB!A:B,2,0))</f>
        <v>Patch Ext. Audio</v>
      </c>
      <c r="C163" s="6"/>
      <c r="D163" s="6"/>
      <c r="E163" s="7" t="s">
        <v>198</v>
      </c>
      <c r="F163" s="7" t="s">
        <v>17</v>
      </c>
      <c r="G163" s="7" t="s">
        <v>198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7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173</v>
      </c>
      <c r="B164" s="7" t="str">
        <f>IF(A164="","",VLOOKUP(A164,DB!A:B,2,0))</f>
        <v>Patch Ext. Audio</v>
      </c>
      <c r="C164" s="6"/>
      <c r="D164" s="6"/>
      <c r="E164" s="7" t="s">
        <v>199</v>
      </c>
      <c r="F164" s="7" t="s">
        <v>17</v>
      </c>
      <c r="G164" s="7" t="s">
        <v>199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195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37</v>
      </c>
      <c r="B165" s="7" t="str">
        <f>IF(A165="","",VLOOKUP(A165,DB!A:B,2,0))</f>
        <v/>
      </c>
      <c r="C165" s="6"/>
      <c r="D165" s="6"/>
      <c r="E165" s="6"/>
      <c r="F165" s="6"/>
      <c r="G165" s="6"/>
      <c r="H165" s="7" t="s">
        <v>173</v>
      </c>
      <c r="I165" s="6" t="str">
        <f>IF(H165="","",VLOOKUP(H165,DB!A:B,2,0))</f>
        <v>Patch Ext. Audio</v>
      </c>
      <c r="J165" s="6"/>
      <c r="K165" s="6"/>
      <c r="L165" s="7" t="s">
        <v>200</v>
      </c>
      <c r="M165" s="7" t="s">
        <v>201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37</v>
      </c>
      <c r="B166" s="7" t="str">
        <f>IF(A166="","",VLOOKUP(A166,DB!A:B,2,0))</f>
        <v/>
      </c>
      <c r="C166" s="6"/>
      <c r="D166" s="6"/>
      <c r="E166" s="6"/>
      <c r="F166" s="6"/>
      <c r="G166" s="6"/>
      <c r="H166" s="7" t="s">
        <v>173</v>
      </c>
      <c r="I166" s="6" t="str">
        <f>IF(H166="","",VLOOKUP(H166,DB!A:B,2,0))</f>
        <v>Patch Ext. Audio</v>
      </c>
      <c r="J166" s="6"/>
      <c r="K166" s="6"/>
      <c r="L166" s="7" t="s">
        <v>202</v>
      </c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173</v>
      </c>
      <c r="I167" s="6" t="str">
        <f>IF(H167="","",VLOOKUP(H167,DB!A:B,2,0))</f>
        <v>Patch Ext. Audio</v>
      </c>
      <c r="J167" s="6"/>
      <c r="K167" s="6"/>
      <c r="L167" s="7" t="s">
        <v>204</v>
      </c>
      <c r="M167" s="7" t="s">
        <v>205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173</v>
      </c>
      <c r="I168" s="6" t="str">
        <f>IF(H168="","",VLOOKUP(H168,DB!A:B,2,0))</f>
        <v>Patch Ext. Audio</v>
      </c>
      <c r="J168" s="6"/>
      <c r="K168" s="6"/>
      <c r="L168" s="7" t="s">
        <v>206</v>
      </c>
      <c r="M168" s="7" t="s">
        <v>207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173</v>
      </c>
      <c r="I169" s="6" t="str">
        <f>IF(H169="","",VLOOKUP(H169,DB!A:B,2,0))</f>
        <v>Patch Ext. Audio</v>
      </c>
      <c r="J169" s="6"/>
      <c r="K169" s="6"/>
      <c r="L169" s="7" t="s">
        <v>208</v>
      </c>
      <c r="M169" s="7" t="s">
        <v>209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173</v>
      </c>
      <c r="I170" s="6" t="str">
        <f>IF(H170="","",VLOOKUP(H170,DB!A:B,2,0))</f>
        <v>Patch Ext. Audio</v>
      </c>
      <c r="J170" s="6"/>
      <c r="K170" s="6"/>
      <c r="L170" s="7" t="s">
        <v>210</v>
      </c>
      <c r="M170" s="7" t="s">
        <v>211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173</v>
      </c>
      <c r="I171" s="6" t="str">
        <f>IF(H171="","",VLOOKUP(H171,DB!A:B,2,0))</f>
        <v>Patch Ext. Audio</v>
      </c>
      <c r="J171" s="6"/>
      <c r="K171" s="6"/>
      <c r="L171" s="7" t="s">
        <v>212</v>
      </c>
      <c r="M171" s="7" t="s">
        <v>213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173</v>
      </c>
      <c r="I172" s="6" t="str">
        <f>IF(H172="","",VLOOKUP(H172,DB!A:B,2,0))</f>
        <v>Patch Ext. Audio</v>
      </c>
      <c r="J172" s="6"/>
      <c r="K172" s="6"/>
      <c r="L172" s="7" t="s">
        <v>214</v>
      </c>
      <c r="M172" s="7" t="s">
        <v>215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173</v>
      </c>
      <c r="I173" s="6" t="str">
        <f>IF(H173="","",VLOOKUP(H173,DB!A:B,2,0))</f>
        <v>Patch Ext. Audio</v>
      </c>
      <c r="J173" s="6"/>
      <c r="K173" s="6"/>
      <c r="L173" s="7" t="s">
        <v>216</v>
      </c>
      <c r="M173" s="7" t="s">
        <v>217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173</v>
      </c>
      <c r="I174" s="6" t="str">
        <f>IF(H174="","",VLOOKUP(H174,DB!A:B,2,0))</f>
        <v>Patch Ext. Audio</v>
      </c>
      <c r="J174" s="6"/>
      <c r="K174" s="6"/>
      <c r="L174" s="7" t="s">
        <v>218</v>
      </c>
      <c r="M174" s="16" t="s">
        <v>219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7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7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7"/>
      <c r="K288" s="7"/>
      <c r="L288" s="7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7"/>
      <c r="K289" s="7"/>
      <c r="L289" s="7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7"/>
      <c r="E294" s="7"/>
      <c r="F294" s="6"/>
      <c r="G294" s="6"/>
      <c r="H294" s="7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7"/>
      <c r="E295" s="7"/>
      <c r="F295" s="6"/>
      <c r="G295" s="6"/>
      <c r="H295" s="7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</sheetData>
  <conditionalFormatting sqref="A1:AC484">
    <cfRule type="cellIs" dxfId="0" priority="1" operator="equal">
      <formula>"N/D"</formula>
    </cfRule>
  </conditionalFormatting>
  <conditionalFormatting sqref="A1:AC484">
    <cfRule type="cellIs" dxfId="1" priority="2" operator="equal">
      <formula>"N/C"</formula>
    </cfRule>
  </conditionalFormatting>
  <conditionalFormatting sqref="A1:AC484">
    <cfRule type="expression" dxfId="2" priority="3">
      <formula>ISEVEN(ROW())</formula>
    </cfRule>
  </conditionalFormatting>
  <dataValidations>
    <dataValidation type="list" allowBlank="1" showErrorMessage="1" sqref="A2:A484 H2:H484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226</v>
      </c>
      <c r="B1" s="18" t="s">
        <v>227</v>
      </c>
      <c r="C1" s="19" t="s">
        <v>228</v>
      </c>
      <c r="D1" s="20" t="s">
        <v>229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230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231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232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233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234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235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236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237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238</v>
      </c>
      <c r="B13" s="12" t="s">
        <v>239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240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241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242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240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243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244</v>
      </c>
      <c r="B19" s="7" t="s">
        <v>245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246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247</v>
      </c>
      <c r="B22" s="23" t="s">
        <v>248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249</v>
      </c>
      <c r="B23" s="10" t="s">
        <v>250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251</v>
      </c>
      <c r="B24" s="16" t="s">
        <v>252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221</v>
      </c>
      <c r="B25" s="12" t="s">
        <v>253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223</v>
      </c>
      <c r="B26" s="16" t="s">
        <v>243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254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255</v>
      </c>
      <c r="B28" s="14" t="s">
        <v>256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257</v>
      </c>
      <c r="B29" s="10" t="s">
        <v>258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259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173</v>
      </c>
      <c r="B32" s="12" t="s">
        <v>260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261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262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263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7" t="s">
        <v>264</v>
      </c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Conexiones!A2:O484,
    IF(A2="""", ROW(Conexiones!A2:A484)^0, ISNUMBER(SEARCH(A2, Conexiones!A2:A484))),
    IF(B2="""", ROW(Conexiones!B2:B484)^0, ISNUMBER(SEARCH(B2, Conexiones!B2:B484))),
    IF(C2="""", ROW(Conexiones!C2:C484)^0, "&amp;"ISNUMBER(SEARCH(C2, Conexiones!C2:C484))),
    IF(D2="""", ROW(Conexiones!D2:D484)^0, ISNUMBER(SEARCH(D2, Conexiones!D2:D484))),
    IF(E2="""", ROW(Conexiones!E2:E484)^0, ISNUMBER(SEARCH(E2, Conexiones!E2:E484))),
    IF(L2="""", ROW(Conexiones!L2:L484)^"&amp;"0, ISNUMBER(SEARCH(L2, Conexiones!L2:L484))),
    IF(F2="""", ROW(Conexiones!F2:F484)^0, ISNUMBER(SEARCH(F2, Conexiones!F2:F484))),
    IF(G2="""", ROW(Conexiones!G2:G484)^0, ISNUMBER(SEARCH(G2, Conexiones!G2:G484))),
    IF(H2="""", ROW(Conexiones!H2:H48"&amp;"4)^0, ISNUMBER(SEARCH(H2, Conexiones!H2:H484))),
    IF(B2="""", ROW(Conexiones!H2:H484)^0, ISNUMBER(SEARCH(B2, Conexiones!H2:H484))),
    IF(I2="""", ROW(Conexiones!I2:I484)^0, ISNUMBER(SEARCH(I2, Conexiones!I2:I484))),
    IF(J2="""", ROW(Conexiones!J2:"&amp;"J484)^0, ISNUMBER(SEARCH(J2, Conexiones!J2:J484))),
    IF(K2="""", ROW(Conexiones!L2:L484)^0, ISNUMBER(SEARCH(K2, Conexiones!L2:L484))),
    IF(M2="""", ROW(Conexiones!M2:M484)^0, ISNUMBER(SEARCH(M2, Conexiones!M2:M484))),
    IF(N2="""", ROW(Conexiones!"&amp;"N2:N484)^0, ISNUMBER(SEARCH(N2, Conexiones!N2:N484))),
    IF(O2="""", ROW(Conexiones!O2:O484)^0, ISNUMBER(SEARCH(O2, Conexiones!O2:O484)))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