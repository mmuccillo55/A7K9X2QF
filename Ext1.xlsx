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<sst xmlns="http://schemas.openxmlformats.org/spreadsheetml/2006/main" count="1412" uniqueCount="331">
  <si>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</si>
  <si>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</si>
  <si>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</si>
  <si>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</si>
  <si>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</si>
  <si>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</si>
  <si>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</si>
  <si>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</si>
  <si>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</si>
  <si>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</si>
  <si>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</si>
  <si>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</si>
  <si>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</si>
  <si>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</si>
  <si>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</si>
  <si>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</si>
  <si>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</si>
  <si>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</si>
  <si>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</si>
  <si>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</si>
  <si>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</si>
  <si>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</si>
  <si>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</si>
  <si>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</si>
  <si>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</si>
  <si>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</si>
  <si>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</si>
  <si>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</si>
  <si>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</si>
  <si>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</si>
  <si>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</si>
  <si>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</si>
  <si>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</si>
  <si>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</si>
  <si>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</si>
  <si>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</si>
  <si>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</si>
  <si>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</si>
  <si>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</si>
  <si>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</si>
  <si>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</si>
  <si>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</si>
  <si>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</si>
  <si>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</si>
  <si>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</si>
  <si>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</si>
  <si>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</si>
  <si>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</si>
  <si>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</si>
  <si>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</si>
  <si>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</si>
  <si>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</si>
  <si>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</si>
  <si>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</si>
  <si>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</si>
  <si>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</si>
  <si>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</si>
  <si>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</si>
  <si>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</si>
  <si>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</si>
  <si>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</si>
  <si>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</si>
  <si>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</si>
  <si>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</si>
  <si>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</si>
  <si>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</si>
  <si>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</si>
  <si>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</si>
  <si>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</si>
  <si>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</si>
  <si>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</si>
  <si>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</si>
  <si>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</si>
  <si>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</si>
  <si>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</si>
  <si>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</si>
  <si>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</si>
  <si>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</si>
  <si>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</si>
  <si>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</si>
  <si>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</si>
  <si>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</si>
  <si>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</si>
  <si>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</si>
  <si>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</si>
  <si>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</si>
  <si>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</si>
  <si>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</si>
  <si>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</si>
  <si>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</si>
  <si>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</si>
  <si>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</si>
  <si>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</si>
  <si>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</si>
  <si>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</si>
  <si>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</si>
  <si>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</si>
  <si>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BNC 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</si>
  <si>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</si>
  <si>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</si>
  <si>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</si>
  <si>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</si>
  <si>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</si>
  <si>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</si>
  <si>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</si>
  <si>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</si>
  <si>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</si>
  <si>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</si>
  <si>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</si>
  <si>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BNC 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</si>
  <si>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</si>
  <si>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</si>
  <si>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</si>
  <si>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</si>
  <si>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</si>
  <si>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</si>
  <si>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</si>
  <si>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</si>
  <si>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</si>
  <si>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</si>
  <si>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</si>
  <si>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</si>
  <si>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</si>
  <si>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</si>
  <si>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</si>
  <si>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</si>
  <si>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</si>
  <si>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</si>
  <si>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</si>
  <si>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BNC 11</t>
  </si>
  <si>
    <t>B1</t>
  </si>
  <si>
    <t>AUX 2</t>
  </si>
  <si>
    <t>B2</t>
  </si>
  <si>
    <t>BNC 6</t>
  </si>
  <si>
    <t>BNC 10</t>
  </si>
  <si>
    <t>AIRE OUT</t>
  </si>
  <si>
    <t>B3</t>
  </si>
  <si>
    <t>BNC 7</t>
  </si>
  <si>
    <t>BNC 13</t>
  </si>
  <si>
    <t>BNC 12</t>
  </si>
  <si>
    <t>B4</t>
  </si>
  <si>
    <t>BNC 8</t>
  </si>
  <si>
    <t>DC.7</t>
  </si>
  <si>
    <t>BM SDI to HDMI</t>
  </si>
  <si>
    <t>CG</t>
  </si>
  <si>
    <t>Audio Out L</t>
  </si>
  <si>
    <t>DC.1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</si>
  <si>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</si>
  <si>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</si>
  <si>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</si>
  <si>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</si>
  <si>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</si>
  <si>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</si>
  <si>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</si>
  <si>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</si>
  <si>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</si>
  <si>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</si>
  <si>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</si>
  <si>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</si>
  <si>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S.2</t>
  </si>
  <si>
    <t>In</t>
  </si>
  <si>
    <t>Audio In 3</t>
  </si>
  <si>
    <t>SUB 1</t>
  </si>
  <si>
    <t>Audio In 4</t>
  </si>
  <si>
    <t>BNC 9</t>
  </si>
  <si>
    <t>PGM Sin CG</t>
  </si>
  <si>
    <t>PGM (AUDIO)</t>
  </si>
  <si>
    <t>BNC 5</t>
  </si>
  <si>
    <t>AIRE IN</t>
  </si>
  <si>
    <t>Fiber 17</t>
  </si>
  <si>
    <t>Fiber I/O</t>
  </si>
  <si>
    <t>Fiber 18</t>
  </si>
  <si>
    <t>Fiber 14</t>
  </si>
  <si>
    <t>Fiber 15</t>
  </si>
  <si>
    <t>Fiber 16</t>
  </si>
  <si>
    <t>BNC 1</t>
  </si>
  <si>
    <t>BNC 2</t>
  </si>
  <si>
    <t>Ext.2</t>
  </si>
  <si>
    <t>XLR 1</t>
  </si>
  <si>
    <t>IN 1</t>
  </si>
  <si>
    <t>XLR 2</t>
  </si>
  <si>
    <t>IN 2</t>
  </si>
  <si>
    <t>XLR 3</t>
  </si>
  <si>
    <t>IN 3</t>
  </si>
  <si>
    <t>XLR 4</t>
  </si>
  <si>
    <t>IN 4</t>
  </si>
  <si>
    <t>XLR 5</t>
  </si>
  <si>
    <t>IN 5</t>
  </si>
  <si>
    <t>XLR 6</t>
  </si>
  <si>
    <t>IN 6</t>
  </si>
  <si>
    <t>XLR 7</t>
  </si>
  <si>
    <t>XLR 8</t>
  </si>
  <si>
    <t>XLR 9</t>
  </si>
  <si>
    <t>S.3</t>
  </si>
  <si>
    <t>XLR 13</t>
  </si>
  <si>
    <t>ORDEN</t>
  </si>
  <si>
    <t>XLR 14</t>
  </si>
  <si>
    <t>XLR 15</t>
  </si>
  <si>
    <t>XLR 16</t>
  </si>
  <si>
    <t>XLR 17</t>
  </si>
  <si>
    <t>XLR 18</t>
  </si>
  <si>
    <t>XLR 19</t>
  </si>
  <si>
    <t>XLR 20</t>
  </si>
  <si>
    <t>SUB 3</t>
  </si>
  <si>
    <t>XLR 21</t>
  </si>
  <si>
    <t>XLR 22</t>
  </si>
  <si>
    <t>XLR 23</t>
  </si>
  <si>
    <t>XLR 24</t>
  </si>
  <si>
    <t>XLR 25</t>
  </si>
  <si>
    <t>C1A1</t>
  </si>
  <si>
    <t>XLR 26</t>
  </si>
  <si>
    <t>C1A2</t>
  </si>
  <si>
    <t>XLR 27</t>
  </si>
  <si>
    <t>C2A1</t>
  </si>
  <si>
    <t>XLR 28</t>
  </si>
  <si>
    <t>C2A2</t>
  </si>
  <si>
    <t>XLR 29</t>
  </si>
  <si>
    <t>C3A1</t>
  </si>
  <si>
    <t>XLR 30</t>
  </si>
  <si>
    <t>C3A2</t>
  </si>
  <si>
    <t>XLR 31</t>
  </si>
  <si>
    <t>C4A1</t>
  </si>
  <si>
    <t>XLR 32</t>
  </si>
  <si>
    <t>C4A2</t>
  </si>
  <si>
    <t>XLR 33</t>
  </si>
  <si>
    <t>C5A1</t>
  </si>
  <si>
    <t>XLR 34</t>
  </si>
  <si>
    <t>C5A2</t>
  </si>
  <si>
    <t>Preview</t>
  </si>
  <si>
    <t>DC.5</t>
  </si>
  <si>
    <t>PVW</t>
  </si>
  <si>
    <t>DC.6</t>
  </si>
  <si>
    <t>PVW (VS)</t>
  </si>
  <si>
    <t>PVW (WF)</t>
  </si>
  <si>
    <t>HDMI Out (MV)</t>
  </si>
  <si>
    <t>DC.8</t>
  </si>
  <si>
    <t>HDMI In</t>
  </si>
  <si>
    <t>Multiview</t>
  </si>
  <si>
    <t>Monitor Out L</t>
  </si>
  <si>
    <t>DC.2</t>
  </si>
  <si>
    <t>Line In</t>
  </si>
  <si>
    <t>MON L</t>
  </si>
  <si>
    <t>Monitor Out R</t>
  </si>
  <si>
    <t>DC.9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</si>
  <si>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</si>
  <si>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</si>
  <si>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</si>
  <si>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</si>
  <si>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</si>
  <si>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</si>
  <si>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</si>
  <si>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</si>
  <si>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</si>
  <si>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S.1</t>
  </si>
  <si>
    <t>Aux Out 3</t>
  </si>
  <si>
    <t>Aux Out 4</t>
  </si>
  <si>
    <t>C.1</t>
  </si>
  <si>
    <t>RF</t>
  </si>
  <si>
    <t>Soundcard</t>
  </si>
  <si>
    <t>Speaker Out</t>
  </si>
  <si>
    <t>Onboard</t>
  </si>
  <si>
    <t>PC VID</t>
  </si>
  <si>
    <t>C.7</t>
  </si>
  <si>
    <t>PC AUD</t>
  </si>
  <si>
    <t>PC AUDIO</t>
  </si>
  <si>
    <t>Incom Out</t>
  </si>
  <si>
    <t>DC.3</t>
  </si>
  <si>
    <t>INCOM JVC 1</t>
  </si>
  <si>
    <t>INCOM JVC 2</t>
  </si>
  <si>
    <t>INCOM JVC 3</t>
  </si>
  <si>
    <t>INCOM IKE 4</t>
  </si>
  <si>
    <t>INCOM IKE 5</t>
  </si>
  <si>
    <t>Incom In</t>
  </si>
  <si>
    <t>INTERCOM</t>
  </si>
  <si>
    <t>Out</t>
  </si>
  <si>
    <t>DC.4</t>
  </si>
  <si>
    <t>SPK</t>
  </si>
  <si>
    <t>HEADSET</t>
  </si>
  <si>
    <t>MIC</t>
  </si>
  <si>
    <t>MIC ORD</t>
  </si>
  <si>
    <t>C.0</t>
  </si>
  <si>
    <t>REF Out 1</t>
  </si>
  <si>
    <t>Analog Dist. Amp.</t>
  </si>
  <si>
    <t>Video In</t>
  </si>
  <si>
    <t>REF</t>
  </si>
  <si>
    <t>REF Out 2</t>
  </si>
  <si>
    <t>REF Out 3</t>
  </si>
  <si>
    <t>REF Out 4</t>
  </si>
  <si>
    <t>REF In</t>
  </si>
  <si>
    <t>REF Out 5</t>
  </si>
  <si>
    <t>REF Out 6</t>
  </si>
  <si>
    <t>REF Out</t>
  </si>
  <si>
    <t>Rack</t>
  </si>
  <si>
    <t>Equipo</t>
  </si>
  <si>
    <t>IP</t>
  </si>
  <si>
    <t>Tipo</t>
  </si>
  <si>
    <t>Patch panel</t>
  </si>
  <si>
    <t>Passthrough</t>
  </si>
  <si>
    <t>ATEM 1 M/E</t>
  </si>
  <si>
    <t>CopperHead ProHD 1</t>
  </si>
  <si>
    <t>CopperHead ProHD 2</t>
  </si>
  <si>
    <t>CopperHead ProHD 3</t>
  </si>
  <si>
    <t>HyperDeck Studio Pro</t>
  </si>
  <si>
    <t>SmartView (AIRE/PGM)</t>
  </si>
  <si>
    <t>PC Video</t>
  </si>
  <si>
    <t>Sync Generator</t>
  </si>
  <si>
    <t>Miranda D3 (Video)</t>
  </si>
  <si>
    <t>Ikegami BS-80 4</t>
  </si>
  <si>
    <t>Ikegami BS-80 5</t>
  </si>
  <si>
    <t>Miranda D3 (Audio)</t>
  </si>
  <si>
    <t>SmartScope (PGM)</t>
  </si>
  <si>
    <t>PC Audio</t>
  </si>
  <si>
    <t>Yamaha MG166</t>
  </si>
  <si>
    <t>Monitor Audio L</t>
  </si>
  <si>
    <t>Mixer Intercom</t>
  </si>
  <si>
    <t>Headset Director</t>
  </si>
  <si>
    <t>SmartView (PVW)</t>
  </si>
  <si>
    <t>SmartScope (PVW)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</si>
  <si>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</si>
  <si>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</si>
  <si>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</si>
  <si>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</si>
  <si>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</si>
  <si>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</si>
  <si>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</si>
  <si>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Split 1</t>
  </si>
  <si>
    <t>Split</t>
  </si>
  <si>
    <t>Split 2</t>
  </si>
  <si>
    <t>Split 3</t>
  </si>
  <si>
    <t>Ordenar por Columna:</t>
  </si>
  <si>
    <t>dc.1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</si>
</sst>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6" fontId="2" numFmtId="0" xfId="0" applyAlignment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D3 (Video)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D3 (Video)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D3 (Video)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D3 (Audio)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D3 (Audio)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2.0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(PGM)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D3 (Audio)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(AIRE/PGM)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(PGM)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2.0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(AIRE/PGM)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D3 (Video)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D3 (Video)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D3 (Video)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(AIRE/PGM)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D3 (Video)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D3 (Video)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2.0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D3 (Video)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D3 (Video)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D3 (Video)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D3 (Video)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D3 (Video)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D3 (Video)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D3 (Video)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D3 (Video)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D3 (Video)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D3 (Video)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D3 (Video)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D3 (Video)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D3 (Audio)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D3 (Audio)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D3 (Audio)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D3 (Audio)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D3 (Audio)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D3 (Audio)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D3 (Audio)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D3 (Audio)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D3 (Audio)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159</v>
      </c>
      <c r="I66" s="6" t="str">
        <f>IF(H66="","",VLOOKUP(H66,DB!A:B,2,0))</f>
        <v>Split 2</v>
      </c>
      <c r="J66" s="7"/>
      <c r="K66" s="7"/>
      <c r="L66" s="7" t="s">
        <v>160</v>
      </c>
      <c r="M66" s="8"/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159</v>
      </c>
      <c r="B67" s="7" t="str">
        <f>IF(A67="","",VLOOKUP(A67,DB!A:B,2,0))</f>
        <v>Split 2</v>
      </c>
      <c r="C67" s="6"/>
      <c r="D67" s="6"/>
      <c r="E67" s="7" t="s">
        <v>16</v>
      </c>
      <c r="F67" s="7" t="s">
        <v>17</v>
      </c>
      <c r="G67" s="7" t="s">
        <v>160</v>
      </c>
      <c r="H67" s="7" t="s">
        <v>90</v>
      </c>
      <c r="I67" s="6" t="str">
        <f>IF(H67="","",VLOOKUP(H67,DB!A:B,2,0))</f>
        <v>Miranda D3 (Audio)</v>
      </c>
      <c r="J67" s="7">
        <v>1.0</v>
      </c>
      <c r="K67" s="7" t="s">
        <v>113</v>
      </c>
      <c r="L67" s="7" t="s">
        <v>161</v>
      </c>
      <c r="M67" s="8" t="s">
        <v>162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159</v>
      </c>
      <c r="B68" s="7" t="str">
        <f>IF(A68="","",VLOOKUP(A68,DB!A:B,2,0))</f>
        <v>Split 2</v>
      </c>
      <c r="C68" s="6"/>
      <c r="D68" s="6"/>
      <c r="E68" s="7" t="s">
        <v>23</v>
      </c>
      <c r="F68" s="7" t="s">
        <v>17</v>
      </c>
      <c r="G68" s="7" t="s">
        <v>160</v>
      </c>
      <c r="H68" s="7" t="s">
        <v>90</v>
      </c>
      <c r="I68" s="6" t="str">
        <f>IF(H68="","",VLOOKUP(H68,DB!A:B,2,0))</f>
        <v>Miranda D3 (Audio)</v>
      </c>
      <c r="J68" s="7">
        <v>1.0</v>
      </c>
      <c r="K68" s="7" t="s">
        <v>113</v>
      </c>
      <c r="L68" s="7" t="s">
        <v>163</v>
      </c>
      <c r="M68" s="8" t="s">
        <v>162</v>
      </c>
      <c r="N68" s="8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D3 (Audio)</v>
      </c>
      <c r="C69" s="7">
        <v>1.0</v>
      </c>
      <c r="D69" s="7" t="s">
        <v>113</v>
      </c>
      <c r="E69" s="7" t="s">
        <v>84</v>
      </c>
      <c r="F69" s="7" t="s">
        <v>17</v>
      </c>
      <c r="G69" s="7" t="s">
        <v>93</v>
      </c>
      <c r="H69" s="7" t="s">
        <v>51</v>
      </c>
      <c r="I69" s="6" t="str">
        <f>IF(H69="","",VLOOKUP(H69,DB!A:B,2,0))</f>
        <v>Miranda D3 (Video)</v>
      </c>
      <c r="J69" s="7">
        <v>1.0</v>
      </c>
      <c r="K69" s="7" t="s">
        <v>144</v>
      </c>
      <c r="L69" s="7" t="s">
        <v>93</v>
      </c>
      <c r="M69" s="8" t="s">
        <v>106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90</v>
      </c>
      <c r="B70" s="7" t="str">
        <f>IF(A70="","",VLOOKUP(A70,DB!A:B,2,0))</f>
        <v>Miranda D3 (Audio)</v>
      </c>
      <c r="C70" s="7">
        <v>1.0</v>
      </c>
      <c r="D70" s="7" t="s">
        <v>113</v>
      </c>
      <c r="E70" s="7" t="s">
        <v>80</v>
      </c>
      <c r="F70" s="7" t="s">
        <v>17</v>
      </c>
      <c r="G70" s="7" t="s">
        <v>93</v>
      </c>
      <c r="H70" s="7" t="s">
        <v>96</v>
      </c>
      <c r="I70" s="6" t="str">
        <f>IF(H70="","",VLOOKUP(H70,DB!A:B,2,0))</f>
        <v>Patch Ext. Video</v>
      </c>
      <c r="J70" s="6"/>
      <c r="K70" s="6"/>
      <c r="L70" s="7" t="s">
        <v>164</v>
      </c>
      <c r="M70" s="7" t="s">
        <v>165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104</v>
      </c>
      <c r="B71" s="7" t="str">
        <f>IF(A71="","",VLOOKUP(A71,DB!A:B,2,0))</f>
        <v>SmartScope (PGM)</v>
      </c>
      <c r="C71" s="6"/>
      <c r="D71" s="6"/>
      <c r="E71" s="7" t="s">
        <v>84</v>
      </c>
      <c r="F71" s="7" t="s">
        <v>17</v>
      </c>
      <c r="G71" s="7" t="s">
        <v>115</v>
      </c>
      <c r="H71" s="7" t="s">
        <v>104</v>
      </c>
      <c r="I71" s="6" t="str">
        <f>IF(H71="","",VLOOKUP(H71,DB!A:B,2,0))</f>
        <v>SmartScope (PGM)</v>
      </c>
      <c r="J71" s="6"/>
      <c r="K71" s="6"/>
      <c r="L71" s="7" t="s">
        <v>105</v>
      </c>
      <c r="M71" s="8" t="s">
        <v>166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167</v>
      </c>
      <c r="F72" s="7" t="s">
        <v>17</v>
      </c>
      <c r="G72" s="7" t="s">
        <v>167</v>
      </c>
      <c r="H72" s="7" t="s">
        <v>51</v>
      </c>
      <c r="I72" s="6" t="str">
        <f>IF(H72="","",VLOOKUP(H72,DB!A:B,2,0))</f>
        <v>Miranda D3 (Video)</v>
      </c>
      <c r="J72" s="7">
        <v>7.0</v>
      </c>
      <c r="K72" s="7" t="s">
        <v>52</v>
      </c>
      <c r="L72" s="7" t="s">
        <v>57</v>
      </c>
      <c r="M72" s="8" t="s">
        <v>168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169</v>
      </c>
      <c r="F73" s="7" t="s">
        <v>17</v>
      </c>
      <c r="G73" s="7" t="s">
        <v>169</v>
      </c>
      <c r="H73" s="7" t="s">
        <v>64</v>
      </c>
      <c r="I73" s="6" t="str">
        <f>IF(H73="","",VLOOKUP(H73,DB!A:B,2,0))</f>
        <v>Ikegami BS-80 4</v>
      </c>
      <c r="J73" s="6"/>
      <c r="K73" s="6"/>
      <c r="L73" s="7" t="s">
        <v>170</v>
      </c>
      <c r="M73" s="8" t="s">
        <v>81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171</v>
      </c>
      <c r="F74" s="7" t="s">
        <v>17</v>
      </c>
      <c r="G74" s="7" t="s">
        <v>171</v>
      </c>
      <c r="H74" s="7" t="s">
        <v>69</v>
      </c>
      <c r="I74" s="6" t="str">
        <f>IF(H74="","",VLOOKUP(H74,DB!A:B,2,0))</f>
        <v>Ikegami BS-80 5</v>
      </c>
      <c r="J74" s="6"/>
      <c r="K74" s="6"/>
      <c r="L74" s="7" t="s">
        <v>170</v>
      </c>
      <c r="M74" s="8" t="s">
        <v>82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172</v>
      </c>
      <c r="F75" s="7" t="s">
        <v>17</v>
      </c>
      <c r="G75" s="7" t="s">
        <v>172</v>
      </c>
      <c r="H75" s="7" t="s">
        <v>83</v>
      </c>
      <c r="I75" s="6" t="str">
        <f>IF(H75="","",VLOOKUP(H75,DB!A:B,2,0))</f>
        <v>CopperHead ProHD 1</v>
      </c>
      <c r="J75" s="6"/>
      <c r="K75" s="6"/>
      <c r="L75" s="7" t="s">
        <v>170</v>
      </c>
      <c r="M75" s="8" t="s">
        <v>85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173</v>
      </c>
      <c r="F76" s="7" t="s">
        <v>17</v>
      </c>
      <c r="G76" s="7" t="s">
        <v>173</v>
      </c>
      <c r="H76" s="7" t="s">
        <v>86</v>
      </c>
      <c r="I76" s="6" t="str">
        <f>IF(H76="","",VLOOKUP(H76,DB!A:B,2,0))</f>
        <v>CopperHead ProHD 2</v>
      </c>
      <c r="J76" s="6"/>
      <c r="K76" s="6"/>
      <c r="L76" s="7" t="s">
        <v>170</v>
      </c>
      <c r="M76" s="8" t="s">
        <v>87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174</v>
      </c>
      <c r="F77" s="7" t="s">
        <v>17</v>
      </c>
      <c r="G77" s="7" t="s">
        <v>174</v>
      </c>
      <c r="H77" s="7" t="s">
        <v>88</v>
      </c>
      <c r="I77" s="6" t="str">
        <f>IF(H77="","",VLOOKUP(H77,DB!A:B,2,0))</f>
        <v>CopperHead ProHD 3</v>
      </c>
      <c r="J77" s="6"/>
      <c r="K77" s="6"/>
      <c r="L77" s="7" t="s">
        <v>170</v>
      </c>
      <c r="M77" s="8" t="s">
        <v>89</v>
      </c>
      <c r="N77" s="9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175</v>
      </c>
      <c r="F78" s="7" t="s">
        <v>17</v>
      </c>
      <c r="G78" s="7" t="s">
        <v>175</v>
      </c>
      <c r="H78" s="7" t="s">
        <v>90</v>
      </c>
      <c r="I78" s="6" t="str">
        <f>IF(H78="","",VLOOKUP(H78,DB!A:B,2,0))</f>
        <v>Miranda D3 (Audio)</v>
      </c>
      <c r="J78" s="7">
        <v>5.0</v>
      </c>
      <c r="K78" s="7" t="s">
        <v>91</v>
      </c>
      <c r="L78" s="7" t="s">
        <v>93</v>
      </c>
      <c r="M78" s="8" t="s">
        <v>94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96</v>
      </c>
      <c r="B79" s="7" t="str">
        <f>IF(A79="","",VLOOKUP(A79,DB!A:B,2,0))</f>
        <v>Patch Ext. Video</v>
      </c>
      <c r="C79" s="6"/>
      <c r="D79" s="6"/>
      <c r="E79" s="7" t="s">
        <v>176</v>
      </c>
      <c r="F79" s="7" t="s">
        <v>17</v>
      </c>
      <c r="G79" s="7" t="s">
        <v>176</v>
      </c>
      <c r="H79" s="7" t="s">
        <v>90</v>
      </c>
      <c r="I79" s="6" t="str">
        <f>IF(H79="","",VLOOKUP(H79,DB!A:B,2,0))</f>
        <v>Miranda D3 (Audio)</v>
      </c>
      <c r="J79" s="7">
        <v>6.0</v>
      </c>
      <c r="K79" s="7" t="s">
        <v>91</v>
      </c>
      <c r="L79" s="7" t="s">
        <v>93</v>
      </c>
      <c r="M79" s="8" t="s">
        <v>95</v>
      </c>
      <c r="N79" s="8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0" t="str">
        <f>IF(A80="","",VLOOKUP(A80,DB!A:B,2,0))</f>
        <v>Patch Ext. Audio</v>
      </c>
      <c r="C80" s="11"/>
      <c r="D80" s="10"/>
      <c r="E80" s="12" t="s">
        <v>178</v>
      </c>
      <c r="F80" s="7" t="s">
        <v>17</v>
      </c>
      <c r="G80" s="12" t="s">
        <v>178</v>
      </c>
      <c r="H80" s="12" t="s">
        <v>146</v>
      </c>
      <c r="I80" s="10" t="str">
        <f>IF(H80="","",VLOOKUP(H80,DB!A:B,2,0))</f>
        <v>Yamaha MG166</v>
      </c>
      <c r="J80" s="10"/>
      <c r="K80" s="10"/>
      <c r="L80" s="12" t="s">
        <v>18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180</v>
      </c>
      <c r="F81" s="7" t="s">
        <v>17</v>
      </c>
      <c r="G81" s="12" t="s">
        <v>180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24</v>
      </c>
      <c r="M81" s="13" t="s">
        <v>181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182</v>
      </c>
      <c r="F82" s="7" t="s">
        <v>17</v>
      </c>
      <c r="G82" s="12" t="s">
        <v>182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28</v>
      </c>
      <c r="M82" s="13" t="s">
        <v>183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4" t="str">
        <f>IF(A83="","",VLOOKUP(A83,DB!A:B,2,0))</f>
        <v>Patch Ext. Audio</v>
      </c>
      <c r="C83" s="14"/>
      <c r="D83" s="14"/>
      <c r="E83" s="12" t="s">
        <v>184</v>
      </c>
      <c r="F83" s="7" t="s">
        <v>17</v>
      </c>
      <c r="G83" s="12" t="s">
        <v>184</v>
      </c>
      <c r="H83" s="12" t="s">
        <v>146</v>
      </c>
      <c r="I83" s="14" t="str">
        <f>IF(H83="","",VLOOKUP(H83,DB!A:B,2,0))</f>
        <v>Yamaha MG166</v>
      </c>
      <c r="J83" s="14"/>
      <c r="K83" s="14"/>
      <c r="L83" s="12" t="s">
        <v>32</v>
      </c>
      <c r="M83" s="13" t="s">
        <v>185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0" t="str">
        <f>IF(A84="","",VLOOKUP(A84,DB!A:B,2,0))</f>
        <v>Patch Ext. Audio</v>
      </c>
      <c r="C84" s="10"/>
      <c r="D84" s="10"/>
      <c r="E84" s="12" t="s">
        <v>186</v>
      </c>
      <c r="F84" s="7" t="s">
        <v>17</v>
      </c>
      <c r="G84" s="12" t="s">
        <v>186</v>
      </c>
      <c r="H84" s="12" t="s">
        <v>146</v>
      </c>
      <c r="I84" s="10" t="str">
        <f>IF(H84="","",VLOOKUP(H84,DB!A:B,2,0))</f>
        <v>Yamaha MG166</v>
      </c>
      <c r="J84" s="10"/>
      <c r="K84" s="10"/>
      <c r="L84" s="12" t="s">
        <v>36</v>
      </c>
      <c r="M84" s="13" t="s">
        <v>187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14" t="str">
        <f>IF(A85="","",VLOOKUP(A85,DB!A:B,2,0))</f>
        <v>Patch Ext. Audio</v>
      </c>
      <c r="C85" s="14"/>
      <c r="D85" s="14"/>
      <c r="E85" s="12" t="s">
        <v>188</v>
      </c>
      <c r="F85" s="7" t="s">
        <v>17</v>
      </c>
      <c r="G85" s="12" t="s">
        <v>188</v>
      </c>
      <c r="H85" s="12" t="s">
        <v>146</v>
      </c>
      <c r="I85" s="14" t="str">
        <f>IF(H85="","",VLOOKUP(H85,DB!A:B,2,0))</f>
        <v>Yamaha MG166</v>
      </c>
      <c r="J85" s="14"/>
      <c r="K85" s="14"/>
      <c r="L85" s="12" t="s">
        <v>39</v>
      </c>
      <c r="M85" s="13" t="s">
        <v>189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190</v>
      </c>
      <c r="F86" s="7" t="s">
        <v>17</v>
      </c>
      <c r="G86" s="12" t="s">
        <v>190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41</v>
      </c>
      <c r="M86" s="13" t="s">
        <v>94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191</v>
      </c>
      <c r="F87" s="7" t="s">
        <v>17</v>
      </c>
      <c r="G87" s="12" t="s">
        <v>191</v>
      </c>
      <c r="H87" s="12" t="s">
        <v>146</v>
      </c>
      <c r="I87" s="6" t="str">
        <f>IF(H87="","",VLOOKUP(H87,DB!A:B,2,0))</f>
        <v>Yamaha MG166</v>
      </c>
      <c r="J87" s="6"/>
      <c r="K87" s="6"/>
      <c r="L87" s="12" t="s">
        <v>44</v>
      </c>
      <c r="M87" s="13" t="s">
        <v>95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177</v>
      </c>
      <c r="B88" s="7" t="str">
        <f>IF(A88="","",VLOOKUP(A88,DB!A:B,2,0))</f>
        <v>Patch Ext. Audio</v>
      </c>
      <c r="C88" s="6"/>
      <c r="D88" s="6"/>
      <c r="E88" s="12" t="s">
        <v>192</v>
      </c>
      <c r="F88" s="7" t="s">
        <v>17</v>
      </c>
      <c r="G88" s="12" t="s">
        <v>192</v>
      </c>
      <c r="H88" s="7" t="s">
        <v>146</v>
      </c>
      <c r="I88" s="6" t="str">
        <f>IF(H88="","",VLOOKUP(H88,DB!A:B,2,0))</f>
        <v>Yamaha MG166</v>
      </c>
      <c r="J88" s="6"/>
      <c r="K88" s="6"/>
      <c r="L88" s="12" t="s">
        <v>47</v>
      </c>
      <c r="M88" s="13" t="s">
        <v>98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D3 (Audio)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24</v>
      </c>
      <c r="H89" s="7" t="s">
        <v>193</v>
      </c>
      <c r="I89" s="6" t="str">
        <f>IF(H89="","",VLOOKUP(H89,DB!A:B,2,0))</f>
        <v>Split 3</v>
      </c>
      <c r="J89" s="6"/>
      <c r="K89" s="6"/>
      <c r="L89" s="7" t="s">
        <v>160</v>
      </c>
      <c r="M89" s="8"/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193</v>
      </c>
      <c r="B90" s="7" t="str">
        <f>IF(A90="","",VLOOKUP(A90,DB!A:B,2,0))</f>
        <v>Split 3</v>
      </c>
      <c r="C90" s="6"/>
      <c r="D90" s="6"/>
      <c r="E90" s="7" t="s">
        <v>16</v>
      </c>
      <c r="F90" s="7" t="s">
        <v>17</v>
      </c>
      <c r="G90" s="7" t="s">
        <v>160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194</v>
      </c>
      <c r="M90" s="8" t="s">
        <v>195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193</v>
      </c>
      <c r="B91" s="7" t="str">
        <f>IF(A91="","",VLOOKUP(A91,DB!A:B,2,0))</f>
        <v>Split 3</v>
      </c>
      <c r="C91" s="6"/>
      <c r="D91" s="6"/>
      <c r="E91" s="7" t="s">
        <v>23</v>
      </c>
      <c r="F91" s="7" t="s">
        <v>17</v>
      </c>
      <c r="G91" s="7" t="s">
        <v>160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196</v>
      </c>
      <c r="M91" s="8" t="s">
        <v>195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193</v>
      </c>
      <c r="B92" s="7" t="str">
        <f>IF(A92="","",VLOOKUP(A92,DB!A:B,2,0))</f>
        <v>Split 3</v>
      </c>
      <c r="C92" s="6"/>
      <c r="D92" s="6"/>
      <c r="E92" s="7" t="s">
        <v>27</v>
      </c>
      <c r="F92" s="7" t="s">
        <v>17</v>
      </c>
      <c r="G92" s="7" t="s">
        <v>160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197</v>
      </c>
      <c r="M92" s="8" t="s">
        <v>195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193</v>
      </c>
      <c r="B93" s="7" t="str">
        <f>IF(A93="","",VLOOKUP(A93,DB!A:B,2,0))</f>
        <v>Split 3</v>
      </c>
      <c r="C93" s="6"/>
      <c r="D93" s="6"/>
      <c r="E93" s="7" t="s">
        <v>31</v>
      </c>
      <c r="F93" s="7" t="s">
        <v>17</v>
      </c>
      <c r="G93" s="7" t="s">
        <v>160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198</v>
      </c>
      <c r="M93" s="8" t="s">
        <v>195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D3 (Audio)</v>
      </c>
      <c r="C94" s="7">
        <v>7.0</v>
      </c>
      <c r="D94" s="7" t="s">
        <v>154</v>
      </c>
      <c r="E94" s="7" t="s">
        <v>23</v>
      </c>
      <c r="F94" s="7" t="s">
        <v>17</v>
      </c>
      <c r="G94" s="7" t="s">
        <v>18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199</v>
      </c>
      <c r="M94" s="8" t="s">
        <v>156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7" t="str">
        <f>IF(A95="","",VLOOKUP(A95,DB!A:B,2,0))</f>
        <v>Miranda D3 (Audio)</v>
      </c>
      <c r="C95" s="7">
        <v>7.0</v>
      </c>
      <c r="D95" s="7" t="s">
        <v>154</v>
      </c>
      <c r="E95" s="7" t="s">
        <v>38</v>
      </c>
      <c r="F95" s="7" t="s">
        <v>17</v>
      </c>
      <c r="G95" s="7" t="s">
        <v>24</v>
      </c>
      <c r="H95" s="7" t="s">
        <v>177</v>
      </c>
      <c r="I95" s="6" t="str">
        <f>IF(H95="","",VLOOKUP(H95,DB!A:B,2,0))</f>
        <v>Patch Ext. Audio</v>
      </c>
      <c r="J95" s="6"/>
      <c r="K95" s="6"/>
      <c r="L95" s="7" t="s">
        <v>200</v>
      </c>
      <c r="M95" s="8" t="s">
        <v>158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7" t="str">
        <f>IF(A96="","",VLOOKUP(A96,DB!A:B,2,0))</f>
        <v>Miranda D3 (Audio)</v>
      </c>
      <c r="C96" s="7">
        <v>8.0</v>
      </c>
      <c r="D96" s="7" t="s">
        <v>154</v>
      </c>
      <c r="E96" s="7" t="s">
        <v>38</v>
      </c>
      <c r="F96" s="7" t="s">
        <v>17</v>
      </c>
      <c r="G96" s="7" t="s">
        <v>24</v>
      </c>
      <c r="H96" s="7" t="s">
        <v>177</v>
      </c>
      <c r="I96" s="6" t="str">
        <f>IF(H96="","",VLOOKUP(H96,DB!A:B,2,0))</f>
        <v>Patch Ext. Audio</v>
      </c>
      <c r="J96" s="6"/>
      <c r="K96" s="6"/>
      <c r="L96" s="7" t="s">
        <v>201</v>
      </c>
      <c r="M96" s="8" t="s">
        <v>162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D3 (Audio)</v>
      </c>
      <c r="C97" s="7">
        <v>8.0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202</v>
      </c>
      <c r="M97" s="8" t="s">
        <v>203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D3 (Audio)</v>
      </c>
      <c r="C98" s="7">
        <v>9.0</v>
      </c>
      <c r="D98" s="7" t="s">
        <v>154</v>
      </c>
      <c r="E98" s="7" t="s">
        <v>35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204</v>
      </c>
      <c r="M98" s="8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D3 (Audio)</v>
      </c>
      <c r="C99" s="7">
        <v>9.0</v>
      </c>
      <c r="D99" s="7" t="s">
        <v>154</v>
      </c>
      <c r="E99" s="7" t="s">
        <v>16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205</v>
      </c>
      <c r="M99" s="7" t="s">
        <v>125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90</v>
      </c>
      <c r="B100" s="6" t="str">
        <f>IF(A100="","",VLOOKUP(A100,DB!A:B,2,0))</f>
        <v>Miranda D3 (Audio)</v>
      </c>
      <c r="C100" s="7">
        <v>9.0</v>
      </c>
      <c r="D100" s="7" t="s">
        <v>154</v>
      </c>
      <c r="E100" s="7" t="s">
        <v>38</v>
      </c>
      <c r="F100" s="7" t="s">
        <v>17</v>
      </c>
      <c r="G100" s="7" t="s">
        <v>24</v>
      </c>
      <c r="H100" s="7" t="s">
        <v>177</v>
      </c>
      <c r="I100" s="7" t="str">
        <f>IF(H100="","",VLOOKUP(H100,DB!A:B,2,0))</f>
        <v>Patch Ext. Audio</v>
      </c>
      <c r="J100" s="6"/>
      <c r="K100" s="6"/>
      <c r="L100" s="7" t="s">
        <v>206</v>
      </c>
      <c r="M100" s="7" t="s">
        <v>124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90</v>
      </c>
      <c r="B101" s="6" t="str">
        <f>IF(A101="","",VLOOKUP(A101,DB!A:B,2,0))</f>
        <v>Miranda D3 (Audio)</v>
      </c>
      <c r="C101" s="7">
        <v>8.0</v>
      </c>
      <c r="D101" s="7" t="s">
        <v>154</v>
      </c>
      <c r="E101" s="7" t="s">
        <v>23</v>
      </c>
      <c r="F101" s="7" t="s">
        <v>17</v>
      </c>
      <c r="G101" s="7" t="s">
        <v>18</v>
      </c>
      <c r="H101" s="7" t="s">
        <v>177</v>
      </c>
      <c r="I101" s="7" t="str">
        <f>IF(H101="","",VLOOKUP(H101,DB!A:B,2,0))</f>
        <v>Patch Ext. Audio</v>
      </c>
      <c r="J101" s="6"/>
      <c r="K101" s="6"/>
      <c r="L101" s="7" t="s">
        <v>207</v>
      </c>
      <c r="M101" s="7" t="s">
        <v>203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208</v>
      </c>
      <c r="F102" s="7" t="s">
        <v>17</v>
      </c>
      <c r="G102" s="7" t="s">
        <v>208</v>
      </c>
      <c r="H102" s="7" t="s">
        <v>37</v>
      </c>
      <c r="I102" s="6" t="str">
        <f>IF(H102="","",VLOOKUP(H102,DB!A:B,2,0))</f>
        <v/>
      </c>
      <c r="J102" s="6"/>
      <c r="K102" s="6"/>
      <c r="L102" s="6"/>
      <c r="M102" s="7" t="s">
        <v>209</v>
      </c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210</v>
      </c>
      <c r="F103" s="7" t="s">
        <v>17</v>
      </c>
      <c r="G103" s="7" t="s">
        <v>210</v>
      </c>
      <c r="H103" s="7" t="s">
        <v>37</v>
      </c>
      <c r="I103" s="6" t="str">
        <f>IF(H103="","",VLOOKUP(H103,DB!A:B,2,0))</f>
        <v/>
      </c>
      <c r="J103" s="6"/>
      <c r="K103" s="6"/>
      <c r="L103" s="6"/>
      <c r="M103" s="7" t="s">
        <v>211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212</v>
      </c>
      <c r="F104" s="7" t="s">
        <v>17</v>
      </c>
      <c r="G104" s="7" t="s">
        <v>212</v>
      </c>
      <c r="H104" s="7" t="s">
        <v>37</v>
      </c>
      <c r="I104" s="6" t="str">
        <f>IF(H104="","",VLOOKUP(H104,DB!A:B,2,0))</f>
        <v/>
      </c>
      <c r="J104" s="6"/>
      <c r="K104" s="6"/>
      <c r="L104" s="6"/>
      <c r="M104" s="7" t="s">
        <v>213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214</v>
      </c>
      <c r="F105" s="7" t="s">
        <v>17</v>
      </c>
      <c r="G105" s="7" t="s">
        <v>214</v>
      </c>
      <c r="H105" s="7" t="s">
        <v>37</v>
      </c>
      <c r="I105" s="6" t="str">
        <f>IF(H105="","",VLOOKUP(H105,DB!A:B,2,0))</f>
        <v/>
      </c>
      <c r="J105" s="6"/>
      <c r="K105" s="6"/>
      <c r="L105" s="6"/>
      <c r="M105" s="7" t="s">
        <v>215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216</v>
      </c>
      <c r="F106" s="7" t="s">
        <v>17</v>
      </c>
      <c r="G106" s="7" t="s">
        <v>216</v>
      </c>
      <c r="H106" s="7" t="s">
        <v>37</v>
      </c>
      <c r="I106" s="6" t="str">
        <f>IF(H106="","",VLOOKUP(H106,DB!A:B,2,0))</f>
        <v/>
      </c>
      <c r="J106" s="6"/>
      <c r="K106" s="6"/>
      <c r="L106" s="6"/>
      <c r="M106" s="7" t="s">
        <v>217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218</v>
      </c>
      <c r="F107" s="7" t="s">
        <v>17</v>
      </c>
      <c r="G107" s="7" t="s">
        <v>218</v>
      </c>
      <c r="H107" s="7" t="s">
        <v>37</v>
      </c>
      <c r="I107" s="6" t="str">
        <f>IF(H107="","",VLOOKUP(H107,DB!A:B,2,0))</f>
        <v/>
      </c>
      <c r="J107" s="6"/>
      <c r="K107" s="6"/>
      <c r="L107" s="6"/>
      <c r="M107" s="7" t="s">
        <v>219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220</v>
      </c>
      <c r="F108" s="7" t="s">
        <v>17</v>
      </c>
      <c r="G108" s="7" t="s">
        <v>220</v>
      </c>
      <c r="H108" s="7" t="s">
        <v>37</v>
      </c>
      <c r="I108" s="6" t="str">
        <f>IF(H108="","",VLOOKUP(H108,DB!A:B,2,0))</f>
        <v/>
      </c>
      <c r="J108" s="6"/>
      <c r="K108" s="6"/>
      <c r="L108" s="6"/>
      <c r="M108" s="7" t="s">
        <v>221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7" t="str">
        <f>IF(A109="","",VLOOKUP(A109,DB!A:B,2,0))</f>
        <v>Patch Ext. Audio</v>
      </c>
      <c r="C109" s="6"/>
      <c r="D109" s="6"/>
      <c r="E109" s="7" t="s">
        <v>222</v>
      </c>
      <c r="F109" s="7" t="s">
        <v>17</v>
      </c>
      <c r="G109" s="7" t="s">
        <v>222</v>
      </c>
      <c r="H109" s="7" t="s">
        <v>37</v>
      </c>
      <c r="I109" s="6" t="str">
        <f>IF(H109="","",VLOOKUP(H109,DB!A:B,2,0))</f>
        <v/>
      </c>
      <c r="J109" s="6"/>
      <c r="K109" s="6"/>
      <c r="L109" s="6"/>
      <c r="M109" s="7" t="s">
        <v>223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177</v>
      </c>
      <c r="B110" s="7" t="str">
        <f>IF(A110="","",VLOOKUP(A110,DB!A:B,2,0))</f>
        <v>Patch Ext. Audio</v>
      </c>
      <c r="C110" s="6"/>
      <c r="D110" s="6"/>
      <c r="E110" s="7" t="s">
        <v>224</v>
      </c>
      <c r="F110" s="7" t="s">
        <v>17</v>
      </c>
      <c r="G110" s="7" t="s">
        <v>224</v>
      </c>
      <c r="H110" s="7" t="s">
        <v>37</v>
      </c>
      <c r="I110" s="6" t="str">
        <f>IF(H110="","",VLOOKUP(H110,DB!A:B,2,0))</f>
        <v/>
      </c>
      <c r="J110" s="6"/>
      <c r="K110" s="6"/>
      <c r="L110" s="6"/>
      <c r="M110" s="7" t="s">
        <v>225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177</v>
      </c>
      <c r="B111" s="14" t="str">
        <f>IF(A111="","",VLOOKUP(A111,DB!A:B,2,0))</f>
        <v>Patch Ext. Audio</v>
      </c>
      <c r="C111" s="15"/>
      <c r="D111" s="14"/>
      <c r="E111" s="7" t="s">
        <v>226</v>
      </c>
      <c r="F111" s="7" t="s">
        <v>17</v>
      </c>
      <c r="G111" s="7" t="s">
        <v>226</v>
      </c>
      <c r="H111" s="7" t="s">
        <v>37</v>
      </c>
      <c r="I111" s="14" t="str">
        <f>IF(H111="","",VLOOKUP(H111,DB!A:B,2,0))</f>
        <v/>
      </c>
      <c r="J111" s="14"/>
      <c r="K111" s="14"/>
      <c r="L111" s="6"/>
      <c r="M111" s="16" t="s">
        <v>227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40</v>
      </c>
      <c r="B112" s="7" t="str">
        <f>IF(A112="","",VLOOKUP(A112,DB!A:B,2,0))</f>
        <v>ATEM 1 M/E</v>
      </c>
      <c r="C112" s="6"/>
      <c r="D112" s="6"/>
      <c r="E112" s="7" t="s">
        <v>228</v>
      </c>
      <c r="F112" s="6"/>
      <c r="G112" s="6"/>
      <c r="H112" s="7" t="s">
        <v>229</v>
      </c>
      <c r="I112" s="6" t="str">
        <f>IF(H112="","",VLOOKUP(H112,DB!A:B,2,0))</f>
        <v>SmartView (PVW)</v>
      </c>
      <c r="J112" s="6"/>
      <c r="K112" s="6"/>
      <c r="L112" s="7" t="s">
        <v>93</v>
      </c>
      <c r="M112" s="8" t="s">
        <v>230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229</v>
      </c>
      <c r="B113" s="7" t="str">
        <f>IF(A113="","",VLOOKUP(A113,DB!A:B,2,0))</f>
        <v>SmartView (PVW)</v>
      </c>
      <c r="C113" s="6"/>
      <c r="D113" s="6"/>
      <c r="E113" s="7" t="s">
        <v>92</v>
      </c>
      <c r="F113" s="7" t="s">
        <v>17</v>
      </c>
      <c r="G113" s="7" t="s">
        <v>93</v>
      </c>
      <c r="H113" s="7" t="s">
        <v>231</v>
      </c>
      <c r="I113" s="6" t="str">
        <f>IF(H113="","",VLOOKUP(H113,DB!A:B,2,0))</f>
        <v>SmartScope (PVW)</v>
      </c>
      <c r="J113" s="6"/>
      <c r="K113" s="6"/>
      <c r="L113" s="7" t="s">
        <v>115</v>
      </c>
      <c r="M113" s="8" t="s">
        <v>232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231</v>
      </c>
      <c r="B114" s="7" t="str">
        <f>IF(A114="","",VLOOKUP(A114,DB!A:B,2,0))</f>
        <v>SmartScope (PVW)</v>
      </c>
      <c r="C114" s="6"/>
      <c r="D114" s="6"/>
      <c r="E114" s="7" t="s">
        <v>84</v>
      </c>
      <c r="F114" s="7" t="s">
        <v>17</v>
      </c>
      <c r="G114" s="7" t="s">
        <v>115</v>
      </c>
      <c r="H114" s="7" t="s">
        <v>231</v>
      </c>
      <c r="I114" s="6" t="str">
        <f>IF(H114="","",VLOOKUP(H114,DB!A:B,2,0))</f>
        <v>SmartScope (PVW)</v>
      </c>
      <c r="J114" s="6"/>
      <c r="K114" s="6"/>
      <c r="L114" s="7" t="s">
        <v>105</v>
      </c>
      <c r="M114" s="8" t="s">
        <v>233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40</v>
      </c>
      <c r="B115" s="7" t="str">
        <f>IF(A115="","",VLOOKUP(A115,DB!A:B,2,0))</f>
        <v>ATEM 1 M/E</v>
      </c>
      <c r="C115" s="6"/>
      <c r="D115" s="6"/>
      <c r="E115" s="7" t="s">
        <v>234</v>
      </c>
      <c r="F115" s="6"/>
      <c r="G115" s="6"/>
      <c r="H115" s="7" t="s">
        <v>235</v>
      </c>
      <c r="I115" s="6" t="str">
        <f>IF(H115="","",VLOOKUP(H115,DB!A:B,2,0))</f>
        <v>Monitor Multiview</v>
      </c>
      <c r="J115" s="6"/>
      <c r="K115" s="6"/>
      <c r="L115" s="7" t="s">
        <v>236</v>
      </c>
      <c r="M115" s="8" t="s">
        <v>237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238</v>
      </c>
      <c r="F116" s="6"/>
      <c r="G116" s="6"/>
      <c r="H116" s="7" t="s">
        <v>239</v>
      </c>
      <c r="I116" s="6" t="str">
        <f>IF(H116="","",VLOOKUP(H116,DB!A:B,2,0))</f>
        <v>Monitor Audio L</v>
      </c>
      <c r="J116" s="6"/>
      <c r="K116" s="6"/>
      <c r="L116" s="7" t="s">
        <v>240</v>
      </c>
      <c r="M116" s="8" t="s">
        <v>241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242</v>
      </c>
      <c r="F117" s="6"/>
      <c r="G117" s="6"/>
      <c r="H117" s="7" t="s">
        <v>243</v>
      </c>
      <c r="I117" s="6" t="str">
        <f>IF(H117="","",VLOOKUP(H117,DB!A:B,2,0))</f>
        <v>Monitor Audio R</v>
      </c>
      <c r="J117" s="6"/>
      <c r="K117" s="6"/>
      <c r="L117" s="7" t="s">
        <v>240</v>
      </c>
      <c r="M117" s="8" t="s">
        <v>244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245</v>
      </c>
      <c r="F118" s="6"/>
      <c r="G118" s="6"/>
      <c r="H118" s="7" t="s">
        <v>90</v>
      </c>
      <c r="I118" s="6" t="str">
        <f>IF(H118="","",VLOOKUP(H118,DB!A:B,2,0))</f>
        <v>Miranda D3 (Audio)</v>
      </c>
      <c r="J118" s="7">
        <v>7.0</v>
      </c>
      <c r="K118" s="7" t="s">
        <v>154</v>
      </c>
      <c r="L118" s="7" t="s">
        <v>18</v>
      </c>
      <c r="M118" s="8" t="s">
        <v>246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247</v>
      </c>
      <c r="F119" s="6"/>
      <c r="G119" s="6"/>
      <c r="H119" s="7" t="s">
        <v>90</v>
      </c>
      <c r="I119" s="6" t="str">
        <f>IF(H119="","",VLOOKUP(H119,DB!A:B,2,0))</f>
        <v>Miranda D3 (Audio)</v>
      </c>
      <c r="J119" s="7">
        <v>7.0</v>
      </c>
      <c r="K119" s="7" t="s">
        <v>154</v>
      </c>
      <c r="L119" s="7" t="s">
        <v>24</v>
      </c>
      <c r="M119" s="8" t="s">
        <v>248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249</v>
      </c>
      <c r="F120" s="6"/>
      <c r="G120" s="6"/>
      <c r="H120" s="7" t="s">
        <v>90</v>
      </c>
      <c r="I120" s="6" t="str">
        <f>IF(H120="","",VLOOKUP(H120,DB!A:B,2,0))</f>
        <v>Miranda D3 (Audio)</v>
      </c>
      <c r="J120" s="7">
        <v>8.0</v>
      </c>
      <c r="K120" s="7" t="s">
        <v>154</v>
      </c>
      <c r="L120" s="7" t="s">
        <v>24</v>
      </c>
      <c r="M120" s="8" t="s">
        <v>162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250</v>
      </c>
      <c r="F121" s="6"/>
      <c r="G121" s="6"/>
      <c r="H121" s="7" t="s">
        <v>90</v>
      </c>
      <c r="I121" s="6" t="str">
        <f>IF(H121="","",VLOOKUP(H121,DB!A:B,2,0))</f>
        <v>Miranda D3 (Audio)</v>
      </c>
      <c r="J121" s="7">
        <v>8.0</v>
      </c>
      <c r="K121" s="7" t="s">
        <v>154</v>
      </c>
      <c r="L121" s="7" t="s">
        <v>18</v>
      </c>
      <c r="M121" s="8" t="s">
        <v>203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251</v>
      </c>
      <c r="F122" s="6"/>
      <c r="G122" s="6"/>
      <c r="H122" s="7" t="s">
        <v>90</v>
      </c>
      <c r="I122" s="6" t="str">
        <f>IF(H122="","",VLOOKUP(H122,DB!A:B,2,0))</f>
        <v>Miranda D3 (Audio)</v>
      </c>
      <c r="J122" s="7">
        <v>9.0</v>
      </c>
      <c r="K122" s="7" t="s">
        <v>154</v>
      </c>
      <c r="L122" s="7" t="s">
        <v>24</v>
      </c>
      <c r="M122" s="8" t="s">
        <v>124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252</v>
      </c>
      <c r="F123" s="6"/>
      <c r="G123" s="6"/>
      <c r="H123" s="7" t="s">
        <v>253</v>
      </c>
      <c r="I123" s="6" t="str">
        <f>IF(H123="","",VLOOKUP(H123,DB!A:B,2,0))</f>
        <v>Split 1</v>
      </c>
      <c r="J123" s="7"/>
      <c r="K123" s="6"/>
      <c r="L123" s="7" t="s">
        <v>160</v>
      </c>
      <c r="M123" s="8"/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253</v>
      </c>
      <c r="B124" s="7" t="str">
        <f>IF(A124="","",VLOOKUP(A124,DB!A:B,2,0))</f>
        <v>Split 1</v>
      </c>
      <c r="C124" s="6"/>
      <c r="D124" s="6"/>
      <c r="E124" s="7" t="s">
        <v>16</v>
      </c>
      <c r="F124" s="7" t="s">
        <v>17</v>
      </c>
      <c r="G124" s="7" t="s">
        <v>160</v>
      </c>
      <c r="H124" s="7" t="s">
        <v>90</v>
      </c>
      <c r="I124" s="6" t="str">
        <f>IF(H124="","",VLOOKUP(H124,DB!A:B,2,0))</f>
        <v>Miranda D3 (Audio)</v>
      </c>
      <c r="J124" s="7">
        <v>10.0</v>
      </c>
      <c r="K124" s="7" t="s">
        <v>154</v>
      </c>
      <c r="L124" s="7" t="s">
        <v>18</v>
      </c>
      <c r="M124" s="8" t="s">
        <v>131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253</v>
      </c>
      <c r="B125" s="7" t="str">
        <f>IF(A125="","",VLOOKUP(A125,DB!A:B,2,0))</f>
        <v>Split 1</v>
      </c>
      <c r="C125" s="6"/>
      <c r="D125" s="6"/>
      <c r="E125" s="7" t="s">
        <v>23</v>
      </c>
      <c r="F125" s="7" t="s">
        <v>17</v>
      </c>
      <c r="G125" s="7" t="s">
        <v>160</v>
      </c>
      <c r="H125" s="7" t="s">
        <v>90</v>
      </c>
      <c r="I125" s="6" t="str">
        <f>IF(H125="","",VLOOKUP(H125,DB!A:B,2,0))</f>
        <v>Miranda D3 (Audio)</v>
      </c>
      <c r="J125" s="7">
        <v>10.0</v>
      </c>
      <c r="K125" s="7" t="s">
        <v>154</v>
      </c>
      <c r="L125" s="7" t="s">
        <v>24</v>
      </c>
      <c r="M125" s="8" t="s">
        <v>131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146</v>
      </c>
      <c r="B126" s="7" t="str">
        <f>IF(A126="","",VLOOKUP(A126,DB!A:B,2,0))</f>
        <v>Yamaha MG166</v>
      </c>
      <c r="C126" s="6"/>
      <c r="D126" s="6"/>
      <c r="E126" s="7" t="s">
        <v>254</v>
      </c>
      <c r="F126" s="6"/>
      <c r="G126" s="6"/>
      <c r="H126" s="7" t="s">
        <v>90</v>
      </c>
      <c r="I126" s="6" t="str">
        <f>IF(H126="","",VLOOKUP(H126,DB!A:B,2,0))</f>
        <v>Miranda D3 (Audio)</v>
      </c>
      <c r="J126" s="7">
        <v>9.0</v>
      </c>
      <c r="K126" s="7" t="s">
        <v>154</v>
      </c>
      <c r="L126" s="7" t="s">
        <v>18</v>
      </c>
      <c r="M126" s="8" t="s">
        <v>125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146</v>
      </c>
      <c r="B127" s="7" t="str">
        <f>IF(A127="","",VLOOKUP(A127,DB!A:B,2,0))</f>
        <v>Yamaha MG166</v>
      </c>
      <c r="C127" s="6"/>
      <c r="D127" s="6"/>
      <c r="E127" s="7" t="s">
        <v>255</v>
      </c>
      <c r="F127" s="6"/>
      <c r="G127" s="6"/>
      <c r="H127" s="7" t="s">
        <v>256</v>
      </c>
      <c r="I127" s="6" t="str">
        <f>IF(H127="","",VLOOKUP(H127,DB!A:B,2,0))</f>
        <v>RF</v>
      </c>
      <c r="J127" s="6"/>
      <c r="K127" s="6"/>
      <c r="L127" s="7" t="s">
        <v>240</v>
      </c>
      <c r="M127" s="8" t="s">
        <v>257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175</v>
      </c>
      <c r="M128" s="8" t="s">
        <v>94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176</v>
      </c>
      <c r="M129" s="8" t="s">
        <v>95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37</v>
      </c>
      <c r="B130" s="7" t="str">
        <f>IF(A130="","",VLOOKUP(A130,DB!A:B,2,0))</f>
        <v/>
      </c>
      <c r="C130" s="6"/>
      <c r="D130" s="6"/>
      <c r="E130" s="6"/>
      <c r="F130" s="6"/>
      <c r="G130" s="6"/>
      <c r="H130" s="7" t="s">
        <v>96</v>
      </c>
      <c r="I130" s="6" t="str">
        <f>IF(H130="","",VLOOKUP(H130,DB!A:B,2,0))</f>
        <v>Patch Ext. Video</v>
      </c>
      <c r="J130" s="6"/>
      <c r="K130" s="6"/>
      <c r="L130" s="7" t="s">
        <v>97</v>
      </c>
      <c r="M130" s="8" t="s">
        <v>98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37</v>
      </c>
      <c r="B131" s="7" t="str">
        <f>IF(A131="","",VLOOKUP(A131,DB!A:B,2,0))</f>
        <v/>
      </c>
      <c r="C131" s="6"/>
      <c r="D131" s="6"/>
      <c r="E131" s="6"/>
      <c r="F131" s="6"/>
      <c r="G131" s="6"/>
      <c r="H131" s="7" t="s">
        <v>96</v>
      </c>
      <c r="I131" s="6" t="str">
        <f>IF(H131="","",VLOOKUP(H131,DB!A:B,2,0))</f>
        <v>Patch Ext. Video</v>
      </c>
      <c r="J131" s="6"/>
      <c r="K131" s="6"/>
      <c r="L131" s="7" t="s">
        <v>109</v>
      </c>
      <c r="M131" s="8" t="s">
        <v>111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37</v>
      </c>
      <c r="B132" s="7" t="str">
        <f>IF(A132="","",VLOOKUP(A132,DB!A:B,2,0))</f>
        <v/>
      </c>
      <c r="C132" s="6"/>
      <c r="D132" s="6"/>
      <c r="E132" s="6"/>
      <c r="F132" s="6"/>
      <c r="G132" s="6"/>
      <c r="H132" s="7" t="s">
        <v>96</v>
      </c>
      <c r="I132" s="6" t="str">
        <f>IF(H132="","",VLOOKUP(H132,DB!A:B,2,0))</f>
        <v>Patch Ext. Video</v>
      </c>
      <c r="J132" s="6"/>
      <c r="K132" s="6"/>
      <c r="L132" s="7" t="s">
        <v>167</v>
      </c>
      <c r="M132" s="8" t="s">
        <v>168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133</v>
      </c>
      <c r="F133" s="7" t="s">
        <v>17</v>
      </c>
      <c r="G133" s="7" t="s">
        <v>133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106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137</v>
      </c>
      <c r="F134" s="7" t="s">
        <v>17</v>
      </c>
      <c r="G134" s="7" t="s">
        <v>137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106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141</v>
      </c>
      <c r="F135" s="7" t="s">
        <v>17</v>
      </c>
      <c r="G135" s="7" t="s">
        <v>141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106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164</v>
      </c>
      <c r="F136" s="7" t="s">
        <v>17</v>
      </c>
      <c r="G136" s="7" t="s">
        <v>164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165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134</v>
      </c>
      <c r="F137" s="7" t="s">
        <v>17</v>
      </c>
      <c r="G137" s="7" t="s">
        <v>134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135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96</v>
      </c>
      <c r="B138" s="7" t="str">
        <f>IF(A138="","",VLOOKUP(A138,DB!A:B,2,0))</f>
        <v>Patch Ext. Video</v>
      </c>
      <c r="C138" s="6"/>
      <c r="D138" s="6"/>
      <c r="E138" s="7" t="s">
        <v>129</v>
      </c>
      <c r="F138" s="7" t="s">
        <v>17</v>
      </c>
      <c r="G138" s="7" t="s">
        <v>129</v>
      </c>
      <c r="H138" s="7" t="s">
        <v>37</v>
      </c>
      <c r="I138" s="6" t="str">
        <f>IF(H138="","",VLOOKUP(H138,DB!A:B,2,0))</f>
        <v/>
      </c>
      <c r="J138" s="6"/>
      <c r="K138" s="6"/>
      <c r="L138" s="6"/>
      <c r="M138" s="8" t="s">
        <v>124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96</v>
      </c>
      <c r="B139" s="7" t="str">
        <f>IF(A139="","",VLOOKUP(A139,DB!A:B,2,0))</f>
        <v>Patch Ext. Video</v>
      </c>
      <c r="C139" s="6"/>
      <c r="D139" s="6"/>
      <c r="E139" s="7" t="s">
        <v>139</v>
      </c>
      <c r="F139" s="7" t="s">
        <v>17</v>
      </c>
      <c r="G139" s="7" t="s">
        <v>139</v>
      </c>
      <c r="H139" s="7" t="s">
        <v>37</v>
      </c>
      <c r="I139" s="6" t="str">
        <f>IF(H139="","",VLOOKUP(H139,DB!A:B,2,0))</f>
        <v/>
      </c>
      <c r="J139" s="6"/>
      <c r="K139" s="6"/>
      <c r="L139" s="6"/>
      <c r="M139" s="8" t="s">
        <v>131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96</v>
      </c>
      <c r="B140" s="7" t="str">
        <f>IF(A140="","",VLOOKUP(A140,DB!A:B,2,0))</f>
        <v>Patch Ext. Video</v>
      </c>
      <c r="C140" s="6"/>
      <c r="D140" s="6"/>
      <c r="E140" s="7" t="s">
        <v>138</v>
      </c>
      <c r="F140" s="7" t="s">
        <v>17</v>
      </c>
      <c r="G140" s="7" t="s">
        <v>138</v>
      </c>
      <c r="H140" s="7" t="s">
        <v>37</v>
      </c>
      <c r="I140" s="6" t="str">
        <f>IF(H140="","",VLOOKUP(H140,DB!A:B,2,0))</f>
        <v/>
      </c>
      <c r="J140" s="6"/>
      <c r="K140" s="6"/>
      <c r="L140" s="6"/>
      <c r="M140" s="8" t="s">
        <v>125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169</v>
      </c>
      <c r="M141" s="8" t="s">
        <v>81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171</v>
      </c>
      <c r="M142" s="8" t="s">
        <v>82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7" t="s">
        <v>37</v>
      </c>
      <c r="B143" s="7" t="str">
        <f>IF(A143="","",VLOOKUP(A143,DB!A:B,2,0))</f>
        <v/>
      </c>
      <c r="C143" s="6"/>
      <c r="D143" s="6"/>
      <c r="E143" s="6"/>
      <c r="F143" s="6"/>
      <c r="G143" s="6"/>
      <c r="H143" s="7" t="s">
        <v>96</v>
      </c>
      <c r="I143" s="6" t="str">
        <f>IF(H143="","",VLOOKUP(H143,DB!A:B,2,0))</f>
        <v>Patch Ext. Video</v>
      </c>
      <c r="J143" s="6"/>
      <c r="K143" s="6"/>
      <c r="L143" s="7" t="s">
        <v>172</v>
      </c>
      <c r="M143" s="8" t="s">
        <v>85</v>
      </c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7" t="s">
        <v>37</v>
      </c>
      <c r="B144" s="7" t="str">
        <f>IF(A144="","",VLOOKUP(A144,DB!A:B,2,0))</f>
        <v/>
      </c>
      <c r="C144" s="6"/>
      <c r="D144" s="6"/>
      <c r="E144" s="6"/>
      <c r="F144" s="6"/>
      <c r="G144" s="6"/>
      <c r="H144" s="7" t="s">
        <v>96</v>
      </c>
      <c r="I144" s="6" t="str">
        <f>IF(H144="","",VLOOKUP(H144,DB!A:B,2,0))</f>
        <v>Patch Ext. Video</v>
      </c>
      <c r="J144" s="6"/>
      <c r="K144" s="6"/>
      <c r="L144" s="7" t="s">
        <v>173</v>
      </c>
      <c r="M144" s="8" t="s">
        <v>87</v>
      </c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7" t="s">
        <v>37</v>
      </c>
      <c r="B145" s="7" t="str">
        <f>IF(A145="","",VLOOKUP(A145,DB!A:B,2,0))</f>
        <v/>
      </c>
      <c r="C145" s="6"/>
      <c r="D145" s="6"/>
      <c r="E145" s="6"/>
      <c r="F145" s="6"/>
      <c r="G145" s="6"/>
      <c r="H145" s="7" t="s">
        <v>96</v>
      </c>
      <c r="I145" s="6" t="str">
        <f>IF(H145="","",VLOOKUP(H145,DB!A:B,2,0))</f>
        <v>Patch Ext. Video</v>
      </c>
      <c r="J145" s="6"/>
      <c r="K145" s="6"/>
      <c r="L145" s="7" t="s">
        <v>174</v>
      </c>
      <c r="M145" s="8" t="s">
        <v>89</v>
      </c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7" t="str">
        <f>IF(A146="","",VLOOKUP(A146,DB!A:B,2,0))</f>
        <v/>
      </c>
      <c r="C146" s="6"/>
      <c r="D146" s="6"/>
      <c r="E146" s="6"/>
      <c r="F146" s="6"/>
      <c r="G146" s="6"/>
      <c r="H146" s="6"/>
      <c r="I146" s="6" t="str">
        <f>IF(H146="","",VLOOKUP(H146,DB!A:B,2,0))</f>
        <v/>
      </c>
      <c r="J146" s="6"/>
      <c r="K146" s="6"/>
      <c r="L146" s="6"/>
      <c r="M146" s="9"/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7" t="str">
        <f>IF(A147="","",VLOOKUP(A147,DB!A:B,2,0))</f>
        <v/>
      </c>
      <c r="C147" s="6"/>
      <c r="D147" s="6"/>
      <c r="E147" s="6"/>
      <c r="F147" s="6"/>
      <c r="G147" s="6"/>
      <c r="H147" s="6"/>
      <c r="I147" s="6" t="str">
        <f>IF(H147="","",VLOOKUP(H147,DB!A:B,2,0))</f>
        <v/>
      </c>
      <c r="J147" s="6"/>
      <c r="K147" s="6"/>
      <c r="L147" s="6"/>
      <c r="M147" s="9"/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7" t="str">
        <f>IF(A148="","",VLOOKUP(A148,DB!A:B,2,0))</f>
        <v/>
      </c>
      <c r="C148" s="6"/>
      <c r="D148" s="6"/>
      <c r="E148" s="6"/>
      <c r="F148" s="6"/>
      <c r="G148" s="6"/>
      <c r="H148" s="6"/>
      <c r="I148" s="6" t="str">
        <f>IF(H148="","",VLOOKUP(H148,DB!A:B,2,0))</f>
        <v/>
      </c>
      <c r="J148" s="6"/>
      <c r="K148" s="6"/>
      <c r="L148" s="6"/>
      <c r="M148" s="9"/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178</v>
      </c>
      <c r="M149" s="13" t="s">
        <v>179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180</v>
      </c>
      <c r="M150" s="13" t="s">
        <v>181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182</v>
      </c>
      <c r="M151" s="13" t="s">
        <v>183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184</v>
      </c>
      <c r="M152" s="13" t="s">
        <v>185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186</v>
      </c>
      <c r="M153" s="13" t="s">
        <v>187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188</v>
      </c>
      <c r="M154" s="13" t="s">
        <v>189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37</v>
      </c>
      <c r="B155" s="7" t="str">
        <f>IF(A155="","",VLOOKUP(A155,DB!A:B,2,0))</f>
        <v/>
      </c>
      <c r="C155" s="6"/>
      <c r="D155" s="6"/>
      <c r="E155" s="6"/>
      <c r="F155" s="6"/>
      <c r="G155" s="6"/>
      <c r="H155" s="7" t="s">
        <v>177</v>
      </c>
      <c r="I155" s="6" t="str">
        <f>IF(H155="","",VLOOKUP(H155,DB!A:B,2,0))</f>
        <v>Patch Ext. Audio</v>
      </c>
      <c r="J155" s="6"/>
      <c r="K155" s="6"/>
      <c r="L155" s="7" t="s">
        <v>190</v>
      </c>
      <c r="M155" s="13" t="s">
        <v>94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37</v>
      </c>
      <c r="B156" s="7" t="str">
        <f>IF(A156="","",VLOOKUP(A156,DB!A:B,2,0))</f>
        <v/>
      </c>
      <c r="C156" s="6"/>
      <c r="D156" s="6"/>
      <c r="E156" s="6"/>
      <c r="F156" s="6"/>
      <c r="G156" s="6"/>
      <c r="H156" s="7" t="s">
        <v>177</v>
      </c>
      <c r="I156" s="6" t="str">
        <f>IF(H156="","",VLOOKUP(H156,DB!A:B,2,0))</f>
        <v>Patch Ext. Audio</v>
      </c>
      <c r="J156" s="6"/>
      <c r="K156" s="6"/>
      <c r="L156" s="7" t="s">
        <v>191</v>
      </c>
      <c r="M156" s="13" t="s">
        <v>95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37</v>
      </c>
      <c r="B157" s="7" t="str">
        <f>IF(A157="","",VLOOKUP(A157,DB!A:B,2,0))</f>
        <v/>
      </c>
      <c r="C157" s="6"/>
      <c r="D157" s="6"/>
      <c r="E157" s="6"/>
      <c r="F157" s="6"/>
      <c r="G157" s="6"/>
      <c r="H157" s="7" t="s">
        <v>177</v>
      </c>
      <c r="I157" s="6" t="str">
        <f>IF(H157="","",VLOOKUP(H157,DB!A:B,2,0))</f>
        <v>Patch Ext. Audio</v>
      </c>
      <c r="J157" s="6"/>
      <c r="K157" s="6"/>
      <c r="L157" s="7" t="s">
        <v>192</v>
      </c>
      <c r="M157" s="13" t="s">
        <v>98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194</v>
      </c>
      <c r="F158" s="7" t="s">
        <v>17</v>
      </c>
      <c r="G158" s="7" t="s">
        <v>194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195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196</v>
      </c>
      <c r="F159" s="7" t="s">
        <v>17</v>
      </c>
      <c r="G159" s="7" t="s">
        <v>196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195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197</v>
      </c>
      <c r="F160" s="7" t="s">
        <v>17</v>
      </c>
      <c r="G160" s="7" t="s">
        <v>197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195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198</v>
      </c>
      <c r="F161" s="7" t="s">
        <v>17</v>
      </c>
      <c r="G161" s="7" t="s">
        <v>198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195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199</v>
      </c>
      <c r="F162" s="7" t="s">
        <v>17</v>
      </c>
      <c r="G162" s="7" t="s">
        <v>199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106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200</v>
      </c>
      <c r="F163" s="7" t="s">
        <v>17</v>
      </c>
      <c r="G163" s="7" t="s">
        <v>200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106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201</v>
      </c>
      <c r="F164" s="7" t="s">
        <v>17</v>
      </c>
      <c r="G164" s="7" t="s">
        <v>201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8" t="s">
        <v>162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202</v>
      </c>
      <c r="F165" s="7" t="s">
        <v>17</v>
      </c>
      <c r="G165" s="7" t="s">
        <v>202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8" t="s">
        <v>203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204</v>
      </c>
      <c r="F166" s="7" t="s">
        <v>17</v>
      </c>
      <c r="G166" s="7" t="s">
        <v>204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8" t="s">
        <v>124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177</v>
      </c>
      <c r="B167" s="7" t="str">
        <f>IF(A167="","",VLOOKUP(A167,DB!A:B,2,0))</f>
        <v>Patch Ext. Audio</v>
      </c>
      <c r="C167" s="6"/>
      <c r="D167" s="6"/>
      <c r="E167" s="7" t="s">
        <v>205</v>
      </c>
      <c r="F167" s="7" t="s">
        <v>17</v>
      </c>
      <c r="G167" s="7" t="s">
        <v>205</v>
      </c>
      <c r="H167" s="7" t="s">
        <v>37</v>
      </c>
      <c r="I167" s="6" t="str">
        <f>IF(H167="","",VLOOKUP(H167,DB!A:B,2,0))</f>
        <v/>
      </c>
      <c r="J167" s="6"/>
      <c r="K167" s="6"/>
      <c r="L167" s="6"/>
      <c r="M167" s="7" t="s">
        <v>125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177</v>
      </c>
      <c r="B168" s="7" t="str">
        <f>IF(A168="","",VLOOKUP(A168,DB!A:B,2,0))</f>
        <v>Patch Ext. Audio</v>
      </c>
      <c r="C168" s="6"/>
      <c r="D168" s="6"/>
      <c r="E168" s="7" t="s">
        <v>206</v>
      </c>
      <c r="F168" s="7" t="s">
        <v>17</v>
      </c>
      <c r="G168" s="7" t="s">
        <v>206</v>
      </c>
      <c r="H168" s="7" t="s">
        <v>37</v>
      </c>
      <c r="I168" s="6" t="str">
        <f>IF(H168="","",VLOOKUP(H168,DB!A:B,2,0))</f>
        <v/>
      </c>
      <c r="J168" s="6"/>
      <c r="K168" s="6"/>
      <c r="L168" s="6"/>
      <c r="M168" s="7" t="s">
        <v>124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177</v>
      </c>
      <c r="B169" s="7" t="str">
        <f>IF(A169="","",VLOOKUP(A169,DB!A:B,2,0))</f>
        <v>Patch Ext. Audio</v>
      </c>
      <c r="C169" s="6"/>
      <c r="D169" s="6"/>
      <c r="E169" s="7" t="s">
        <v>207</v>
      </c>
      <c r="F169" s="7" t="s">
        <v>17</v>
      </c>
      <c r="G169" s="7" t="s">
        <v>207</v>
      </c>
      <c r="H169" s="7" t="s">
        <v>37</v>
      </c>
      <c r="I169" s="6" t="str">
        <f>IF(H169="","",VLOOKUP(H169,DB!A:B,2,0))</f>
        <v/>
      </c>
      <c r="J169" s="6"/>
      <c r="K169" s="6"/>
      <c r="L169" s="6"/>
      <c r="M169" s="7" t="s">
        <v>203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83</v>
      </c>
      <c r="B170" s="7" t="str">
        <f>IF(A170="","",VLOOKUP(A170,DB!A:B,2,0))</f>
        <v>CopperHead ProHD 1</v>
      </c>
      <c r="C170" s="6"/>
      <c r="D170" s="6"/>
      <c r="E170" s="7" t="s">
        <v>145</v>
      </c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208</v>
      </c>
      <c r="M170" s="7" t="s">
        <v>209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83</v>
      </c>
      <c r="B171" s="7" t="str">
        <f>IF(A171="","",VLOOKUP(A171,DB!A:B,2,0))</f>
        <v>CopperHead ProHD 1</v>
      </c>
      <c r="C171" s="6"/>
      <c r="D171" s="6"/>
      <c r="E171" s="7" t="s">
        <v>151</v>
      </c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210</v>
      </c>
      <c r="M171" s="7" t="s">
        <v>211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86</v>
      </c>
      <c r="B172" s="7" t="str">
        <f>IF(A172="","",VLOOKUP(A172,DB!A:B,2,0))</f>
        <v>CopperHead ProHD 2</v>
      </c>
      <c r="C172" s="6"/>
      <c r="D172" s="6"/>
      <c r="E172" s="7" t="s">
        <v>145</v>
      </c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212</v>
      </c>
      <c r="M172" s="7" t="s">
        <v>213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86</v>
      </c>
      <c r="B173" s="7" t="str">
        <f>IF(A173="","",VLOOKUP(A173,DB!A:B,2,0))</f>
        <v>CopperHead ProHD 2</v>
      </c>
      <c r="C173" s="6"/>
      <c r="D173" s="6"/>
      <c r="E173" s="7" t="s">
        <v>151</v>
      </c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214</v>
      </c>
      <c r="M173" s="7" t="s">
        <v>215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88</v>
      </c>
      <c r="B174" s="7" t="str">
        <f>IF(A174="","",VLOOKUP(A174,DB!A:B,2,0))</f>
        <v>CopperHead ProHD 3</v>
      </c>
      <c r="C174" s="6"/>
      <c r="D174" s="6"/>
      <c r="E174" s="7" t="s">
        <v>145</v>
      </c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216</v>
      </c>
      <c r="M174" s="7" t="s">
        <v>217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88</v>
      </c>
      <c r="B175" s="7" t="str">
        <f>IF(A175="","",VLOOKUP(A175,DB!A:B,2,0))</f>
        <v>CopperHead ProHD 3</v>
      </c>
      <c r="C175" s="6"/>
      <c r="D175" s="6"/>
      <c r="E175" s="7" t="s">
        <v>151</v>
      </c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218</v>
      </c>
      <c r="M175" s="7" t="s">
        <v>219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64</v>
      </c>
      <c r="B176" s="7" t="str">
        <f>IF(A176="","",VLOOKUP(A176,DB!A:B,2,0))</f>
        <v>Ikegami BS-80 4</v>
      </c>
      <c r="C176" s="6"/>
      <c r="D176" s="6"/>
      <c r="E176" s="7" t="s">
        <v>145</v>
      </c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220</v>
      </c>
      <c r="M176" s="7" t="s">
        <v>221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7" t="s">
        <v>64</v>
      </c>
      <c r="B177" s="7" t="str">
        <f>IF(A177="","",VLOOKUP(A177,DB!A:B,2,0))</f>
        <v>Ikegami BS-80 4</v>
      </c>
      <c r="C177" s="6"/>
      <c r="D177" s="6"/>
      <c r="E177" s="7" t="s">
        <v>151</v>
      </c>
      <c r="F177" s="6"/>
      <c r="G177" s="6"/>
      <c r="H177" s="7" t="s">
        <v>177</v>
      </c>
      <c r="I177" s="6" t="str">
        <f>IF(H177="","",VLOOKUP(H177,DB!A:B,2,0))</f>
        <v>Patch Ext. Audio</v>
      </c>
      <c r="J177" s="6"/>
      <c r="K177" s="6"/>
      <c r="L177" s="7" t="s">
        <v>222</v>
      </c>
      <c r="M177" s="7" t="s">
        <v>223</v>
      </c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7" t="s">
        <v>69</v>
      </c>
      <c r="B178" s="7" t="str">
        <f>IF(A178="","",VLOOKUP(A178,DB!A:B,2,0))</f>
        <v>Ikegami BS-80 5</v>
      </c>
      <c r="C178" s="6"/>
      <c r="D178" s="6"/>
      <c r="E178" s="7" t="s">
        <v>145</v>
      </c>
      <c r="F178" s="6"/>
      <c r="G178" s="6"/>
      <c r="H178" s="7" t="s">
        <v>177</v>
      </c>
      <c r="I178" s="6" t="str">
        <f>IF(H178="","",VLOOKUP(H178,DB!A:B,2,0))</f>
        <v>Patch Ext. Audio</v>
      </c>
      <c r="J178" s="6"/>
      <c r="K178" s="6"/>
      <c r="L178" s="7" t="s">
        <v>224</v>
      </c>
      <c r="M178" s="7" t="s">
        <v>225</v>
      </c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16" t="s">
        <v>69</v>
      </c>
      <c r="B179" s="7" t="str">
        <f>IF(A179="","",VLOOKUP(A179,DB!A:B,2,0))</f>
        <v>Ikegami BS-80 5</v>
      </c>
      <c r="C179" s="6"/>
      <c r="D179" s="6"/>
      <c r="E179" s="7" t="s">
        <v>151</v>
      </c>
      <c r="F179" s="6"/>
      <c r="G179" s="6"/>
      <c r="H179" s="7" t="s">
        <v>177</v>
      </c>
      <c r="I179" s="6" t="str">
        <f>IF(H179="","",VLOOKUP(H179,DB!A:B,2,0))</f>
        <v>Patch Ext. Audio</v>
      </c>
      <c r="J179" s="6"/>
      <c r="K179" s="6"/>
      <c r="L179" s="7" t="s">
        <v>226</v>
      </c>
      <c r="M179" s="16" t="s">
        <v>227</v>
      </c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7" t="s">
        <v>102</v>
      </c>
      <c r="B180" s="7" t="str">
        <f>IF(A180="","",VLOOKUP(A180,DB!A:B,2,0))</f>
        <v>PC CG</v>
      </c>
      <c r="C180" s="7">
        <v>1.0</v>
      </c>
      <c r="D180" s="7" t="s">
        <v>258</v>
      </c>
      <c r="E180" s="7" t="s">
        <v>259</v>
      </c>
      <c r="F180" s="6"/>
      <c r="G180" s="6"/>
      <c r="H180" s="7" t="s">
        <v>146</v>
      </c>
      <c r="I180" s="6" t="str">
        <f>IF(H180="","",VLOOKUP(H180,DB!A:B,2,0))</f>
        <v>Yamaha MG166</v>
      </c>
      <c r="J180" s="6"/>
      <c r="K180" s="6"/>
      <c r="L180" s="7" t="s">
        <v>103</v>
      </c>
      <c r="M180" s="8" t="s">
        <v>121</v>
      </c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7" t="s">
        <v>19</v>
      </c>
      <c r="B181" s="7" t="str">
        <f>IF(A181="","",VLOOKUP(A181,DB!A:B,2,0))</f>
        <v>PC Video</v>
      </c>
      <c r="C181" s="7">
        <v>0.0</v>
      </c>
      <c r="D181" s="7" t="s">
        <v>260</v>
      </c>
      <c r="E181" s="7" t="s">
        <v>259</v>
      </c>
      <c r="F181" s="6"/>
      <c r="G181" s="6"/>
      <c r="H181" s="7" t="s">
        <v>146</v>
      </c>
      <c r="I181" s="6" t="str">
        <f>IF(H181="","",VLOOKUP(H181,DB!A:B,2,0))</f>
        <v>Yamaha MG166</v>
      </c>
      <c r="J181" s="6"/>
      <c r="K181" s="6"/>
      <c r="L181" s="7" t="s">
        <v>261</v>
      </c>
      <c r="M181" s="8" t="s">
        <v>120</v>
      </c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7" t="s">
        <v>262</v>
      </c>
      <c r="B182" s="7" t="str">
        <f>IF(A182="","",VLOOKUP(A182,DB!A:B,2,0))</f>
        <v>PC Audio</v>
      </c>
      <c r="C182" s="7">
        <v>0.0</v>
      </c>
      <c r="D182" s="7" t="s">
        <v>260</v>
      </c>
      <c r="E182" s="7" t="s">
        <v>259</v>
      </c>
      <c r="F182" s="6"/>
      <c r="G182" s="6"/>
      <c r="H182" s="7" t="s">
        <v>146</v>
      </c>
      <c r="I182" s="6" t="str">
        <f>IF(H182="","",VLOOKUP(H182,DB!A:B,2,0))</f>
        <v>Yamaha MG166</v>
      </c>
      <c r="J182" s="6"/>
      <c r="K182" s="6"/>
      <c r="L182" s="7" t="s">
        <v>263</v>
      </c>
      <c r="M182" s="8" t="s">
        <v>264</v>
      </c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7" t="s">
        <v>83</v>
      </c>
      <c r="B183" s="7" t="str">
        <f>IF(A183="","",VLOOKUP(A183,DB!A:B,2,0))</f>
        <v>CopperHead ProHD 1</v>
      </c>
      <c r="C183" s="6"/>
      <c r="D183" s="6"/>
      <c r="E183" s="7" t="s">
        <v>265</v>
      </c>
      <c r="F183" s="6"/>
      <c r="G183" s="6"/>
      <c r="H183" s="7" t="s">
        <v>266</v>
      </c>
      <c r="I183" s="6" t="str">
        <f>IF(H183="","",VLOOKUP(H183,DB!A:B,2,0))</f>
        <v>Mixer Intercom</v>
      </c>
      <c r="J183" s="6"/>
      <c r="K183" s="6"/>
      <c r="L183" s="7" t="s">
        <v>18</v>
      </c>
      <c r="M183" s="8" t="s">
        <v>267</v>
      </c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7" t="s">
        <v>86</v>
      </c>
      <c r="B184" s="7" t="str">
        <f>IF(A184="","",VLOOKUP(A184,DB!A:B,2,0))</f>
        <v>CopperHead ProHD 2</v>
      </c>
      <c r="C184" s="6"/>
      <c r="D184" s="6"/>
      <c r="E184" s="7" t="s">
        <v>265</v>
      </c>
      <c r="F184" s="6"/>
      <c r="G184" s="6"/>
      <c r="H184" s="7" t="s">
        <v>266</v>
      </c>
      <c r="I184" s="6" t="str">
        <f>IF(H184="","",VLOOKUP(H184,DB!A:B,2,0))</f>
        <v>Mixer Intercom</v>
      </c>
      <c r="J184" s="6"/>
      <c r="K184" s="6"/>
      <c r="L184" s="7" t="s">
        <v>24</v>
      </c>
      <c r="M184" s="8" t="s">
        <v>268</v>
      </c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7" t="s">
        <v>88</v>
      </c>
      <c r="B185" s="7" t="str">
        <f>IF(A185="","",VLOOKUP(A185,DB!A:B,2,0))</f>
        <v>CopperHead ProHD 3</v>
      </c>
      <c r="C185" s="6"/>
      <c r="D185" s="6"/>
      <c r="E185" s="7" t="s">
        <v>265</v>
      </c>
      <c r="F185" s="6"/>
      <c r="G185" s="6"/>
      <c r="H185" s="7" t="s">
        <v>266</v>
      </c>
      <c r="I185" s="6" t="str">
        <f>IF(H185="","",VLOOKUP(H185,DB!A:B,2,0))</f>
        <v>Mixer Intercom</v>
      </c>
      <c r="J185" s="6"/>
      <c r="K185" s="6"/>
      <c r="L185" s="7" t="s">
        <v>28</v>
      </c>
      <c r="M185" s="8" t="s">
        <v>269</v>
      </c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7" t="s">
        <v>64</v>
      </c>
      <c r="B186" s="7" t="str">
        <f>IF(A186="","",VLOOKUP(A186,DB!A:B,2,0))</f>
        <v>Ikegami BS-80 4</v>
      </c>
      <c r="C186" s="6"/>
      <c r="D186" s="6"/>
      <c r="E186" s="7" t="s">
        <v>265</v>
      </c>
      <c r="F186" s="6"/>
      <c r="G186" s="6"/>
      <c r="H186" s="7" t="s">
        <v>266</v>
      </c>
      <c r="I186" s="6" t="str">
        <f>IF(H186="","",VLOOKUP(H186,DB!A:B,2,0))</f>
        <v>Mixer Intercom</v>
      </c>
      <c r="J186" s="6"/>
      <c r="K186" s="6"/>
      <c r="L186" s="7" t="s">
        <v>32</v>
      </c>
      <c r="M186" s="8" t="s">
        <v>270</v>
      </c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7" t="s">
        <v>69</v>
      </c>
      <c r="B187" s="7" t="str">
        <f>IF(A187="","",VLOOKUP(A187,DB!A:B,2,0))</f>
        <v>Ikegami BS-80 5</v>
      </c>
      <c r="C187" s="6"/>
      <c r="D187" s="6"/>
      <c r="E187" s="7" t="s">
        <v>265</v>
      </c>
      <c r="F187" s="6"/>
      <c r="G187" s="6"/>
      <c r="H187" s="7" t="s">
        <v>266</v>
      </c>
      <c r="I187" s="6" t="str">
        <f>IF(H187="","",VLOOKUP(H187,DB!A:B,2,0))</f>
        <v>Mixer Intercom</v>
      </c>
      <c r="J187" s="6"/>
      <c r="K187" s="6"/>
      <c r="L187" s="7" t="s">
        <v>36</v>
      </c>
      <c r="M187" s="8" t="s">
        <v>271</v>
      </c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7" t="s">
        <v>90</v>
      </c>
      <c r="B188" s="7" t="str">
        <f>IF(A188="","",VLOOKUP(A188,DB!A:B,2,0))</f>
        <v>Miranda D3 (Audio)</v>
      </c>
      <c r="C188" s="7">
        <v>10.0</v>
      </c>
      <c r="D188" s="7" t="s">
        <v>154</v>
      </c>
      <c r="E188" s="7" t="s">
        <v>16</v>
      </c>
      <c r="F188" s="7" t="s">
        <v>17</v>
      </c>
      <c r="G188" s="7" t="s">
        <v>18</v>
      </c>
      <c r="H188" s="7" t="s">
        <v>83</v>
      </c>
      <c r="I188" s="6" t="str">
        <f>IF(H188="","",VLOOKUP(H188,DB!A:B,2,0))</f>
        <v>CopperHead ProHD 1</v>
      </c>
      <c r="J188" s="6"/>
      <c r="K188" s="6"/>
      <c r="L188" s="7" t="s">
        <v>272</v>
      </c>
      <c r="M188" s="8" t="s">
        <v>273</v>
      </c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7" t="s">
        <v>90</v>
      </c>
      <c r="B189" s="7" t="str">
        <f>IF(A189="","",VLOOKUP(A189,DB!A:B,2,0))</f>
        <v>Miranda D3 (Audio)</v>
      </c>
      <c r="C189" s="7">
        <v>10.0</v>
      </c>
      <c r="D189" s="7" t="s">
        <v>154</v>
      </c>
      <c r="E189" s="7" t="s">
        <v>23</v>
      </c>
      <c r="F189" s="7" t="s">
        <v>17</v>
      </c>
      <c r="G189" s="7" t="s">
        <v>18</v>
      </c>
      <c r="H189" s="7" t="s">
        <v>86</v>
      </c>
      <c r="I189" s="6" t="str">
        <f>IF(H189="","",VLOOKUP(H189,DB!A:B,2,0))</f>
        <v>CopperHead ProHD 2</v>
      </c>
      <c r="J189" s="6"/>
      <c r="K189" s="6"/>
      <c r="L189" s="7" t="s">
        <v>272</v>
      </c>
      <c r="M189" s="8" t="s">
        <v>273</v>
      </c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7" t="s">
        <v>90</v>
      </c>
      <c r="B190" s="7" t="str">
        <f>IF(A190="","",VLOOKUP(A190,DB!A:B,2,0))</f>
        <v>Miranda D3 (Audio)</v>
      </c>
      <c r="C190" s="7">
        <v>10.0</v>
      </c>
      <c r="D190" s="7" t="s">
        <v>154</v>
      </c>
      <c r="E190" s="7" t="s">
        <v>27</v>
      </c>
      <c r="F190" s="7" t="s">
        <v>17</v>
      </c>
      <c r="G190" s="7" t="s">
        <v>18</v>
      </c>
      <c r="H190" s="7" t="s">
        <v>88</v>
      </c>
      <c r="I190" s="6" t="str">
        <f>IF(H190="","",VLOOKUP(H190,DB!A:B,2,0))</f>
        <v>CopperHead ProHD 3</v>
      </c>
      <c r="J190" s="6"/>
      <c r="K190" s="6"/>
      <c r="L190" s="7" t="s">
        <v>272</v>
      </c>
      <c r="M190" s="8" t="s">
        <v>273</v>
      </c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7" t="s">
        <v>90</v>
      </c>
      <c r="B191" s="7" t="str">
        <f>IF(A191="","",VLOOKUP(A191,DB!A:B,2,0))</f>
        <v>Miranda D3 (Audio)</v>
      </c>
      <c r="C191" s="7">
        <v>10.0</v>
      </c>
      <c r="D191" s="7" t="s">
        <v>154</v>
      </c>
      <c r="E191" s="7" t="s">
        <v>31</v>
      </c>
      <c r="F191" s="7" t="s">
        <v>17</v>
      </c>
      <c r="G191" s="7" t="s">
        <v>18</v>
      </c>
      <c r="H191" s="7" t="s">
        <v>64</v>
      </c>
      <c r="I191" s="6" t="str">
        <f>IF(H191="","",VLOOKUP(H191,DB!A:B,2,0))</f>
        <v>Ikegami BS-80 4</v>
      </c>
      <c r="J191" s="6"/>
      <c r="K191" s="6"/>
      <c r="L191" s="7" t="s">
        <v>272</v>
      </c>
      <c r="M191" s="8" t="s">
        <v>273</v>
      </c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7" t="s">
        <v>90</v>
      </c>
      <c r="B192" s="7" t="str">
        <f>IF(A192="","",VLOOKUP(A192,DB!A:B,2,0))</f>
        <v>Miranda D3 (Audio)</v>
      </c>
      <c r="C192" s="7">
        <v>10.0</v>
      </c>
      <c r="D192" s="7" t="s">
        <v>154</v>
      </c>
      <c r="E192" s="7" t="s">
        <v>35</v>
      </c>
      <c r="F192" s="7" t="s">
        <v>17</v>
      </c>
      <c r="G192" s="7" t="s">
        <v>18</v>
      </c>
      <c r="H192" s="7" t="s">
        <v>69</v>
      </c>
      <c r="I192" s="6" t="str">
        <f>IF(H192="","",VLOOKUP(H192,DB!A:B,2,0))</f>
        <v>Ikegami BS-80 5</v>
      </c>
      <c r="J192" s="6"/>
      <c r="K192" s="6"/>
      <c r="L192" s="7" t="s">
        <v>272</v>
      </c>
      <c r="M192" s="8" t="s">
        <v>273</v>
      </c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7" t="s">
        <v>90</v>
      </c>
      <c r="B193" s="7" t="str">
        <f>IF(A193="","",VLOOKUP(A193,DB!A:B,2,0))</f>
        <v>Miranda D3 (Audio)</v>
      </c>
      <c r="C193" s="7">
        <v>10.0</v>
      </c>
      <c r="D193" s="7" t="s">
        <v>154</v>
      </c>
      <c r="E193" s="7" t="s">
        <v>38</v>
      </c>
      <c r="F193" s="7" t="s">
        <v>17</v>
      </c>
      <c r="G193" s="7" t="s">
        <v>18</v>
      </c>
      <c r="H193" s="7" t="s">
        <v>262</v>
      </c>
      <c r="I193" s="6" t="str">
        <f>IF(H193="","",VLOOKUP(H193,DB!A:B,2,0))</f>
        <v>PC Audio</v>
      </c>
      <c r="J193" s="7">
        <v>1.0</v>
      </c>
      <c r="K193" s="7" t="s">
        <v>258</v>
      </c>
      <c r="L193" s="7" t="s">
        <v>240</v>
      </c>
      <c r="M193" s="8" t="s">
        <v>273</v>
      </c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7" t="s">
        <v>266</v>
      </c>
      <c r="B194" s="7" t="str">
        <f>IF(A194="","",VLOOKUP(A194,DB!A:B,2,0))</f>
        <v>Mixer Intercom</v>
      </c>
      <c r="C194" s="6"/>
      <c r="D194" s="6"/>
      <c r="E194" s="7" t="s">
        <v>274</v>
      </c>
      <c r="F194" s="6"/>
      <c r="G194" s="6"/>
      <c r="H194" s="7" t="s">
        <v>275</v>
      </c>
      <c r="I194" s="6" t="str">
        <f>IF(H194="","",VLOOKUP(H194,DB!A:B,2,0))</f>
        <v>Headset Director</v>
      </c>
      <c r="J194" s="6"/>
      <c r="K194" s="6"/>
      <c r="L194" s="7" t="s">
        <v>276</v>
      </c>
      <c r="M194" s="8" t="s">
        <v>277</v>
      </c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7" t="s">
        <v>275</v>
      </c>
      <c r="B195" s="7" t="str">
        <f>IF(A195="","",VLOOKUP(A195,DB!A:B,2,0))</f>
        <v>Headset Director</v>
      </c>
      <c r="C195" s="6"/>
      <c r="D195" s="6"/>
      <c r="E195" s="7" t="s">
        <v>278</v>
      </c>
      <c r="F195" s="6"/>
      <c r="G195" s="6"/>
      <c r="H195" s="7" t="s">
        <v>146</v>
      </c>
      <c r="I195" s="6" t="str">
        <f>IF(H195="","",VLOOKUP(H195,DB!A:B,2,0))</f>
        <v>Yamaha MG166</v>
      </c>
      <c r="J195" s="6"/>
      <c r="K195" s="6"/>
      <c r="L195" s="7" t="s">
        <v>50</v>
      </c>
      <c r="M195" s="8" t="s">
        <v>279</v>
      </c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7" t="s">
        <v>280</v>
      </c>
      <c r="B196" s="7" t="str">
        <f>IF(A196="","",VLOOKUP(A196,DB!A:B,2,0))</f>
        <v>Sync Generator</v>
      </c>
      <c r="C196" s="6"/>
      <c r="D196" s="6"/>
      <c r="E196" s="7" t="s">
        <v>281</v>
      </c>
      <c r="F196" s="6"/>
      <c r="G196" s="6"/>
      <c r="H196" s="7" t="s">
        <v>51</v>
      </c>
      <c r="I196" s="6" t="str">
        <f>IF(H196="","",VLOOKUP(H196,DB!A:B,2,0))</f>
        <v>Miranda D3 (Video)</v>
      </c>
      <c r="J196" s="7">
        <v>6.0</v>
      </c>
      <c r="K196" s="7" t="s">
        <v>282</v>
      </c>
      <c r="L196" s="7" t="s">
        <v>283</v>
      </c>
      <c r="M196" s="8" t="s">
        <v>284</v>
      </c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7" t="s">
        <v>280</v>
      </c>
      <c r="B197" s="7" t="str">
        <f>IF(A197="","",VLOOKUP(A197,DB!A:B,2,0))</f>
        <v>Sync Generator</v>
      </c>
      <c r="C197" s="6"/>
      <c r="D197" s="6"/>
      <c r="E197" s="7" t="s">
        <v>285</v>
      </c>
      <c r="F197" s="6"/>
      <c r="G197" s="6"/>
      <c r="H197" s="7" t="s">
        <v>37</v>
      </c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7" t="s">
        <v>280</v>
      </c>
      <c r="B198" s="7" t="str">
        <f>IF(A198="","",VLOOKUP(A198,DB!A:B,2,0))</f>
        <v>Sync Generator</v>
      </c>
      <c r="C198" s="6"/>
      <c r="D198" s="6"/>
      <c r="E198" s="7" t="s">
        <v>286</v>
      </c>
      <c r="F198" s="6"/>
      <c r="G198" s="6"/>
      <c r="H198" s="7" t="s">
        <v>37</v>
      </c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7" t="s">
        <v>280</v>
      </c>
      <c r="B199" s="7" t="str">
        <f>IF(A199="","",VLOOKUP(A199,DB!A:B,2,0))</f>
        <v>Sync Generator</v>
      </c>
      <c r="C199" s="6"/>
      <c r="D199" s="6"/>
      <c r="E199" s="7" t="s">
        <v>287</v>
      </c>
      <c r="F199" s="6"/>
      <c r="G199" s="6"/>
      <c r="H199" s="7" t="s">
        <v>51</v>
      </c>
      <c r="I199" s="6" t="str">
        <f>IF(H199="","",VLOOKUP(H199,DB!A:B,2,0))</f>
        <v>Miranda D3 (Video)</v>
      </c>
      <c r="J199" s="7">
        <v>1.0</v>
      </c>
      <c r="K199" s="7" t="s">
        <v>144</v>
      </c>
      <c r="L199" s="7" t="s">
        <v>288</v>
      </c>
      <c r="M199" s="8" t="s">
        <v>284</v>
      </c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7" t="s">
        <v>280</v>
      </c>
      <c r="B200" s="7" t="str">
        <f>IF(A200="","",VLOOKUP(A200,DB!A:B,2,0))</f>
        <v>Sync Generator</v>
      </c>
      <c r="C200" s="6"/>
      <c r="D200" s="6"/>
      <c r="E200" s="7" t="s">
        <v>289</v>
      </c>
      <c r="F200" s="6"/>
      <c r="G200" s="6"/>
      <c r="H200" s="7" t="s">
        <v>40</v>
      </c>
      <c r="I200" s="6" t="str">
        <f>IF(H200="","",VLOOKUP(H200,DB!A:B,2,0))</f>
        <v>ATEM 1 M/E</v>
      </c>
      <c r="J200" s="6"/>
      <c r="K200" s="6"/>
      <c r="L200" s="7" t="s">
        <v>288</v>
      </c>
      <c r="M200" s="8" t="s">
        <v>284</v>
      </c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7" t="s">
        <v>280</v>
      </c>
      <c r="B201" s="7" t="str">
        <f>IF(A201="","",VLOOKUP(A201,DB!A:B,2,0))</f>
        <v>Sync Generator</v>
      </c>
      <c r="C201" s="6"/>
      <c r="D201" s="6"/>
      <c r="E201" s="7" t="s">
        <v>290</v>
      </c>
      <c r="F201" s="6"/>
      <c r="G201" s="6"/>
      <c r="H201" s="7" t="s">
        <v>37</v>
      </c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7" t="s">
        <v>51</v>
      </c>
      <c r="B202" s="7" t="str">
        <f>IF(A202="","",VLOOKUP(A202,DB!A:B,2,0))</f>
        <v>Miranda D3 (Video)</v>
      </c>
      <c r="C202" s="7">
        <v>6.0</v>
      </c>
      <c r="D202" s="7" t="s">
        <v>282</v>
      </c>
      <c r="E202" s="7" t="s">
        <v>16</v>
      </c>
      <c r="F202" s="7" t="s">
        <v>17</v>
      </c>
      <c r="G202" s="7" t="s">
        <v>283</v>
      </c>
      <c r="H202" s="7" t="s">
        <v>69</v>
      </c>
      <c r="I202" s="6" t="str">
        <f>IF(H202="","",VLOOKUP(H202,DB!A:B,2,0))</f>
        <v>Ikegami BS-80 5</v>
      </c>
      <c r="J202" s="6"/>
      <c r="K202" s="6"/>
      <c r="L202" s="7" t="s">
        <v>288</v>
      </c>
      <c r="M202" s="8" t="s">
        <v>284</v>
      </c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7" t="s">
        <v>51</v>
      </c>
      <c r="B203" s="7" t="str">
        <f>IF(A203="","",VLOOKUP(A203,DB!A:B,2,0))</f>
        <v>Miranda D3 (Video)</v>
      </c>
      <c r="C203" s="7">
        <v>6.0</v>
      </c>
      <c r="D203" s="7" t="s">
        <v>282</v>
      </c>
      <c r="E203" s="7" t="s">
        <v>23</v>
      </c>
      <c r="F203" s="7" t="s">
        <v>17</v>
      </c>
      <c r="G203" s="7" t="s">
        <v>283</v>
      </c>
      <c r="H203" s="7" t="s">
        <v>83</v>
      </c>
      <c r="I203" s="6" t="str">
        <f>IF(H203="","",VLOOKUP(H203,DB!A:B,2,0))</f>
        <v>CopperHead ProHD 1</v>
      </c>
      <c r="J203" s="6"/>
      <c r="K203" s="6"/>
      <c r="L203" s="7" t="s">
        <v>288</v>
      </c>
      <c r="M203" s="8" t="s">
        <v>284</v>
      </c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7" t="s">
        <v>51</v>
      </c>
      <c r="B204" s="7" t="str">
        <f>IF(A204="","",VLOOKUP(A204,DB!A:B,2,0))</f>
        <v>Miranda D3 (Video)</v>
      </c>
      <c r="C204" s="7">
        <v>6.0</v>
      </c>
      <c r="D204" s="7" t="s">
        <v>282</v>
      </c>
      <c r="E204" s="7" t="s">
        <v>27</v>
      </c>
      <c r="F204" s="7" t="s">
        <v>17</v>
      </c>
      <c r="G204" s="7" t="s">
        <v>283</v>
      </c>
      <c r="H204" s="7" t="s">
        <v>102</v>
      </c>
      <c r="I204" s="6" t="str">
        <f>IF(H204="","",VLOOKUP(H204,DB!A:B,2,0))</f>
        <v>PC CG</v>
      </c>
      <c r="J204" s="7">
        <v>2.0</v>
      </c>
      <c r="K204" s="7" t="s">
        <v>20</v>
      </c>
      <c r="L204" s="7" t="s">
        <v>288</v>
      </c>
      <c r="M204" s="8" t="s">
        <v>284</v>
      </c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7" t="s">
        <v>51</v>
      </c>
      <c r="B205" s="7" t="str">
        <f>IF(A205="","",VLOOKUP(A205,DB!A:B,2,0))</f>
        <v>Miranda D3 (Video)</v>
      </c>
      <c r="C205" s="7">
        <v>6.0</v>
      </c>
      <c r="D205" s="7" t="s">
        <v>282</v>
      </c>
      <c r="E205" s="7" t="s">
        <v>35</v>
      </c>
      <c r="F205" s="7" t="s">
        <v>17</v>
      </c>
      <c r="G205" s="7" t="s">
        <v>283</v>
      </c>
      <c r="H205" s="7" t="s">
        <v>64</v>
      </c>
      <c r="I205" s="6" t="str">
        <f>IF(H205="","",VLOOKUP(H205,DB!A:B,2,0))</f>
        <v>Ikegami BS-80 4</v>
      </c>
      <c r="J205" s="6"/>
      <c r="K205" s="6"/>
      <c r="L205" s="7" t="s">
        <v>288</v>
      </c>
      <c r="M205" s="8" t="s">
        <v>284</v>
      </c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7" t="s">
        <v>51</v>
      </c>
      <c r="B206" s="7" t="str">
        <f>IF(A206="","",VLOOKUP(A206,DB!A:B,2,0))</f>
        <v>Miranda D3 (Video)</v>
      </c>
      <c r="C206" s="7">
        <v>6.0</v>
      </c>
      <c r="D206" s="7" t="s">
        <v>282</v>
      </c>
      <c r="E206" s="7" t="s">
        <v>38</v>
      </c>
      <c r="F206" s="7" t="s">
        <v>17</v>
      </c>
      <c r="G206" s="7" t="s">
        <v>283</v>
      </c>
      <c r="H206" s="7" t="s">
        <v>19</v>
      </c>
      <c r="I206" s="6" t="str">
        <f>IF(H206="","",VLOOKUP(H206,DB!A:B,2,0))</f>
        <v>PC Video</v>
      </c>
      <c r="J206" s="7">
        <v>2.0</v>
      </c>
      <c r="K206" s="7" t="s">
        <v>20</v>
      </c>
      <c r="L206" s="7" t="s">
        <v>288</v>
      </c>
      <c r="M206" s="8" t="s">
        <v>284</v>
      </c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7" t="s">
        <v>83</v>
      </c>
      <c r="B207" s="7" t="str">
        <f>IF(A207="","",VLOOKUP(A207,DB!A:B,2,0))</f>
        <v>CopperHead ProHD 1</v>
      </c>
      <c r="C207" s="6"/>
      <c r="D207" s="6"/>
      <c r="E207" s="7" t="s">
        <v>291</v>
      </c>
      <c r="F207" s="7" t="s">
        <v>17</v>
      </c>
      <c r="G207" s="7" t="s">
        <v>288</v>
      </c>
      <c r="H207" s="7" t="s">
        <v>86</v>
      </c>
      <c r="I207" s="6" t="str">
        <f>IF(H207="","",VLOOKUP(H207,DB!A:B,2,0))</f>
        <v>CopperHead ProHD 2</v>
      </c>
      <c r="J207" s="6"/>
      <c r="K207" s="6"/>
      <c r="L207" s="7" t="s">
        <v>288</v>
      </c>
      <c r="M207" s="8" t="s">
        <v>284</v>
      </c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7" t="s">
        <v>86</v>
      </c>
      <c r="B208" s="7" t="str">
        <f>IF(A208="","",VLOOKUP(A208,DB!A:B,2,0))</f>
        <v>CopperHead ProHD 2</v>
      </c>
      <c r="C208" s="6"/>
      <c r="D208" s="6"/>
      <c r="E208" s="7" t="s">
        <v>291</v>
      </c>
      <c r="F208" s="7" t="s">
        <v>17</v>
      </c>
      <c r="G208" s="7" t="s">
        <v>288</v>
      </c>
      <c r="H208" s="7" t="s">
        <v>88</v>
      </c>
      <c r="I208" s="6" t="str">
        <f>IF(H208="","",VLOOKUP(H208,DB!A:B,2,0))</f>
        <v>CopperHead ProHD 3</v>
      </c>
      <c r="J208" s="6"/>
      <c r="K208" s="6"/>
      <c r="L208" s="7" t="s">
        <v>288</v>
      </c>
      <c r="M208" s="8" t="s">
        <v>284</v>
      </c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7" t="s">
        <v>88</v>
      </c>
      <c r="B209" s="7" t="str">
        <f>IF(A209="","",VLOOKUP(A209,DB!A:B,2,0))</f>
        <v>CopperHead ProHD 3</v>
      </c>
      <c r="C209" s="6"/>
      <c r="D209" s="6"/>
      <c r="E209" s="7" t="s">
        <v>291</v>
      </c>
      <c r="F209" s="7" t="s">
        <v>17</v>
      </c>
      <c r="G209" s="7" t="s">
        <v>288</v>
      </c>
      <c r="H209" s="7" t="s">
        <v>76</v>
      </c>
      <c r="I209" s="6" t="str">
        <f>IF(H209="","",VLOOKUP(H209,DB!A:B,2,0))</f>
        <v>HyperDeck Studio Pro</v>
      </c>
      <c r="J209" s="6"/>
      <c r="K209" s="6"/>
      <c r="L209" s="7" t="s">
        <v>288</v>
      </c>
      <c r="M209" s="8" t="s">
        <v>284</v>
      </c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7" t="s">
        <v>262</v>
      </c>
      <c r="B210" s="7" t="str">
        <f>IF(A210="","",VLOOKUP(A210,DB!A:B,2,0))</f>
        <v>PC Audio</v>
      </c>
      <c r="C210" s="7">
        <v>1.0</v>
      </c>
      <c r="D210" s="7" t="s">
        <v>258</v>
      </c>
      <c r="E210" s="7" t="s">
        <v>259</v>
      </c>
      <c r="F210" s="6"/>
      <c r="G210" s="6"/>
      <c r="H210" s="7" t="s">
        <v>266</v>
      </c>
      <c r="I210" s="6" t="str">
        <f>IF(H210="","",VLOOKUP(H210,DB!A:B,2,0))</f>
        <v>Mixer Intercom</v>
      </c>
      <c r="J210" s="6"/>
      <c r="K210" s="6"/>
      <c r="L210" s="7" t="s">
        <v>39</v>
      </c>
      <c r="M210" s="8" t="s">
        <v>273</v>
      </c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6"/>
      <c r="K290" s="6"/>
      <c r="L290" s="6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6"/>
      <c r="K291" s="6"/>
      <c r="L291" s="6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6"/>
      <c r="K292" s="6"/>
      <c r="L292" s="6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6"/>
      <c r="K293" s="6"/>
      <c r="L293" s="6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6"/>
      <c r="E296" s="6"/>
      <c r="F296" s="6"/>
      <c r="G296" s="6"/>
      <c r="H296" s="6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6"/>
      <c r="E297" s="6"/>
      <c r="F297" s="6"/>
      <c r="G297" s="6"/>
      <c r="H297" s="6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6"/>
      <c r="E298" s="6"/>
      <c r="F298" s="6"/>
      <c r="G298" s="6"/>
      <c r="H298" s="6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6"/>
      <c r="E299" s="6"/>
      <c r="F299" s="6"/>
      <c r="G299" s="6"/>
      <c r="H299" s="6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7"/>
      <c r="B487" s="7" t="str">
        <f>IF(A487="","",VLOOKUP(A487,DB!A:B,2,0))</f>
        <v/>
      </c>
      <c r="C487" s="6"/>
      <c r="D487" s="7"/>
      <c r="E487" s="7"/>
      <c r="F487" s="6"/>
      <c r="G487" s="6"/>
      <c r="H487" s="7"/>
      <c r="I487" s="6" t="str">
        <f>IF(H487="","",VLOOKUP(H487,DB!A:B,2,0))</f>
        <v/>
      </c>
      <c r="J487" s="7"/>
      <c r="K487" s="7"/>
      <c r="L487" s="7"/>
      <c r="M487" s="9"/>
      <c r="N487" s="9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7"/>
      <c r="B488" s="7" t="str">
        <f>IF(A488="","",VLOOKUP(A488,DB!A:B,2,0))</f>
        <v/>
      </c>
      <c r="C488" s="6"/>
      <c r="D488" s="7"/>
      <c r="E488" s="7"/>
      <c r="F488" s="6"/>
      <c r="G488" s="6"/>
      <c r="H488" s="7"/>
      <c r="I488" s="6" t="str">
        <f>IF(H488="","",VLOOKUP(H488,DB!A:B,2,0))</f>
        <v/>
      </c>
      <c r="J488" s="7"/>
      <c r="K488" s="7"/>
      <c r="L488" s="7"/>
      <c r="M488" s="9"/>
      <c r="N488" s="9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7"/>
      <c r="B489" s="7" t="str">
        <f>IF(A489="","",VLOOKUP(A489,DB!A:B,2,0))</f>
        <v/>
      </c>
      <c r="C489" s="6"/>
      <c r="D489" s="7"/>
      <c r="E489" s="7"/>
      <c r="F489" s="6"/>
      <c r="G489" s="6"/>
      <c r="H489" s="7"/>
      <c r="I489" s="6" t="str">
        <f>IF(H489="","",VLOOKUP(H489,DB!A:B,2,0))</f>
        <v/>
      </c>
      <c r="J489" s="7"/>
      <c r="K489" s="7"/>
      <c r="L489" s="7"/>
      <c r="M489" s="9"/>
      <c r="N489" s="9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7"/>
      <c r="B490" s="7" t="str">
        <f>IF(A490="","",VLOOKUP(A490,DB!A:B,2,0))</f>
        <v/>
      </c>
      <c r="C490" s="6"/>
      <c r="D490" s="7"/>
      <c r="E490" s="7"/>
      <c r="F490" s="6"/>
      <c r="G490" s="6"/>
      <c r="H490" s="7"/>
      <c r="I490" s="6" t="str">
        <f>IF(H490="","",VLOOKUP(H490,DB!A:B,2,0))</f>
        <v/>
      </c>
      <c r="J490" s="7"/>
      <c r="K490" s="7"/>
      <c r="L490" s="7"/>
      <c r="M490" s="9"/>
      <c r="N490" s="9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</sheetData>
  <conditionalFormatting sqref="A1:AC490">
    <cfRule type="cellIs" dxfId="0" priority="1" operator="equal">
      <formula>"N/D"</formula>
    </cfRule>
  </conditionalFormatting>
  <conditionalFormatting sqref="A1:AC490">
    <cfRule type="cellIs" dxfId="1" priority="2" operator="equal">
      <formula>"N/C"</formula>
    </cfRule>
  </conditionalFormatting>
  <conditionalFormatting sqref="A1:AC490">
    <cfRule type="expression" dxfId="2" priority="3">
      <formula>ISEVEN(ROW())</formula>
    </cfRule>
  </conditionalFormatting>
  <dataValidations>
    <dataValidation type="list" allowBlank="1" showErrorMessage="1" sqref="A2:A490 H2:H490">
      <formula1>DB!$A$2:$A$995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292</v>
      </c>
      <c r="B1" s="18" t="s">
        <v>293</v>
      </c>
      <c r="C1" s="19" t="s">
        <v>294</v>
      </c>
      <c r="D1" s="20" t="s">
        <v>295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296</v>
      </c>
      <c r="C3" s="21"/>
      <c r="D3" s="7" t="s">
        <v>297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298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299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300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301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302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303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304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280</v>
      </c>
      <c r="B13" s="12" t="s">
        <v>305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256</v>
      </c>
      <c r="B14" s="12" t="s">
        <v>257</v>
      </c>
      <c r="C14" s="22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4" t="s">
        <v>51</v>
      </c>
      <c r="B15" s="12" t="s">
        <v>306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64</v>
      </c>
      <c r="B16" s="14" t="s">
        <v>307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4" t="s">
        <v>69</v>
      </c>
      <c r="B17" s="10" t="s">
        <v>308</v>
      </c>
      <c r="C17" s="21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90</v>
      </c>
      <c r="B18" s="16" t="s">
        <v>309</v>
      </c>
      <c r="C18" s="22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104</v>
      </c>
      <c r="B19" s="16" t="s">
        <v>310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6" t="s">
        <v>262</v>
      </c>
      <c r="B20" s="7" t="s">
        <v>311</v>
      </c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/>
      <c r="B21" s="14"/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6" t="s">
        <v>146</v>
      </c>
      <c r="B22" s="14" t="s">
        <v>312</v>
      </c>
      <c r="C22" s="21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6" t="s">
        <v>239</v>
      </c>
      <c r="B23" s="23" t="s">
        <v>313</v>
      </c>
      <c r="C23" s="22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6" t="s">
        <v>266</v>
      </c>
      <c r="B24" s="10" t="s">
        <v>314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6" t="s">
        <v>275</v>
      </c>
      <c r="B25" s="16" t="s">
        <v>315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6" t="s">
        <v>229</v>
      </c>
      <c r="B26" s="12" t="s">
        <v>316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6" t="s">
        <v>231</v>
      </c>
      <c r="B27" s="16" t="s">
        <v>317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6" t="s">
        <v>142</v>
      </c>
      <c r="B28" s="10" t="s">
        <v>318</v>
      </c>
      <c r="C28" s="21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6" t="s">
        <v>235</v>
      </c>
      <c r="B29" s="14" t="s">
        <v>319</v>
      </c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6" t="s">
        <v>243</v>
      </c>
      <c r="B30" s="10" t="s">
        <v>320</v>
      </c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/>
      <c r="B31" s="10"/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96</v>
      </c>
      <c r="B32" s="12" t="s">
        <v>321</v>
      </c>
      <c r="C32" s="21"/>
      <c r="D32" s="7" t="s">
        <v>297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177</v>
      </c>
      <c r="B33" s="12" t="s">
        <v>322</v>
      </c>
      <c r="C33" s="21"/>
      <c r="D33" s="7" t="s">
        <v>297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4"/>
      <c r="B34" s="14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/>
      <c r="B35" s="10"/>
      <c r="C35" s="21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4" t="s">
        <v>323</v>
      </c>
      <c r="B36" s="14"/>
      <c r="C36" s="22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/>
      <c r="B37" s="10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 t="s">
        <v>324</v>
      </c>
      <c r="B38" s="14"/>
      <c r="C38" s="21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5"/>
      <c r="B39" s="25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23" t="s">
        <v>37</v>
      </c>
      <c r="B40" s="23"/>
      <c r="C40" s="22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4"/>
      <c r="B41" s="14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6" t="s">
        <v>253</v>
      </c>
      <c r="B42" s="16" t="s">
        <v>325</v>
      </c>
      <c r="C42" s="21"/>
      <c r="D42" s="7" t="s">
        <v>326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 t="s">
        <v>159</v>
      </c>
      <c r="B43" s="16" t="s">
        <v>327</v>
      </c>
      <c r="C43" s="21"/>
      <c r="D43" s="7" t="s">
        <v>326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 t="s">
        <v>193</v>
      </c>
      <c r="B44" s="7" t="s">
        <v>328</v>
      </c>
      <c r="C44" s="6"/>
      <c r="D44" s="7" t="s">
        <v>326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6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14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6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6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4"/>
      <c r="B68" s="14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6"/>
      <c r="B69" s="16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4"/>
      <c r="B72" s="14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6"/>
      <c r="B73" s="16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14"/>
      <c r="B75" s="14"/>
      <c r="C75" s="21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</sheetData>
  <conditionalFormatting sqref="B77:B80">
    <cfRule type="cellIs" dxfId="1" priority="1" operator="equal">
      <formula>"N/C"</formula>
    </cfRule>
  </conditionalFormatting>
  <conditionalFormatting sqref="A1:Y995">
    <cfRule type="cellIs" dxfId="0" priority="2" operator="equal">
      <formula>"N/D"</formula>
    </cfRule>
  </conditionalFormatting>
  <conditionalFormatting sqref="A1:Y995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329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6"/>
      <c r="B2" s="6"/>
      <c r="C2" s="6"/>
      <c r="D2" s="6"/>
      <c r="E2" s="6"/>
      <c r="F2" s="6"/>
      <c r="G2" s="6"/>
      <c r="H2" s="7" t="s">
        <v>330</v>
      </c>
      <c r="I2" s="6"/>
      <c r="J2" s="6"/>
      <c r="K2" s="6"/>
      <c r="L2" s="6"/>
      <c r="M2" s="6"/>
      <c r="N2" s="6"/>
      <c r="O2" s="6"/>
      <c r="P2" s="6"/>
      <c r="Q2" s="7">
        <v>5.0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Conexiones!A2:O490,
    IF(A2="""", ROW(Conexiones!A2:A490)^0, ISNUMBER(SEARCH(A2, Conexiones!A2:A490))),
    IF(B2="""", ROW(Conexiones!B2:B490)^0, ISNUMBER(SEARCH(B2, Conexiones!B2:B490))),
    IF(C2="""", ROW(Conexiones!C2:C490)^0, "&amp;"ISNUMBER(SEARCH(C2, Conexiones!C2:C490))),
    IF(D2="""", ROW(Conexiones!D2:D490)^0, ISNUMBER(SEARCH(D2, Conexiones!D2:D490))),
    IF(E2="""", ROW(Conexiones!E2:E490)^0, ISNUMBER(SEARCH(E2, Conexiones!E2:E490))),
    IF(L2="""", ROW(Conexiones!L2:L490)^"&amp;"0, ISNUMBER(SEARCH(L2, Conexiones!L2:L490))),
    IF(F2="""", ROW(Conexiones!F2:F490)^0, ISNUMBER(SEARCH(F2, Conexiones!F2:F490))),
    IF(G2="""", ROW(Conexiones!G2:G490)^0, ISNUMBER(SEARCH(G2, Conexiones!G2:G490))),
    IF(H2="""", ROW(Conexiones!H2:H49"&amp;"0)^0, ISNUMBER(SEARCH(H2, Conexiones!H2:H490))),
    IF(B2="""", ROW(Conexiones!H2:H490)^0, ISNUMBER(SEARCH(B2, Conexiones!H2:H490))),
    IF(I2="""", ROW(Conexiones!I2:I490)^0, ISNUMBER(SEARCH(I2, Conexiones!I2:I490))),
    IF(J2="""", ROW(Conexiones!J2:"&amp;"J490)^0, ISNUMBER(SEARCH(J2, Conexiones!J2:J490))),
    IF(K2="""", ROW(Conexiones!L2:L490)^0, ISNUMBER(SEARCH(K2, Conexiones!L2:L490))),
    IF(M2="""", ROW(Conexiones!M2:M490)^0, ISNUMBER(SEARCH(M2, Conexiones!M2:M490))),
    IF(N2="""", ROW(Conexiones!"&amp;"N2:N490)^0, ISNUMBER(SEARCH(N2, Conexiones!N2:N490))),
    IF(O2="""", ROW(Conexiones!O2:O490)^0, ISNUMBER(SEARCH(O2, Conexiones!O2:O490)))
  ),
  Q2,
  TRUE
)"),"C.5")</f>
        <v>C.5</v>
      </c>
      <c r="B3" s="6" t="str">
        <f>IFERROR(__xludf.DUMMYFUNCTION("""COMPUTED_VALUE"""),"Miranda D3 (Audio)")</f>
        <v>Miranda D3 (Audio)</v>
      </c>
      <c r="C3" s="6">
        <f>IFERROR(__xludf.DUMMYFUNCTION("""COMPUTED_VALUE"""),5.0)</f>
        <v>5</v>
      </c>
      <c r="D3" s="6" t="str">
        <f>IFERROR(__xludf.DUMMYFUNCTION("""COMPUTED_VALUE"""),"De-embedder")</f>
        <v>De-embedder</v>
      </c>
      <c r="E3" s="6" t="str">
        <f>IFERROR(__xludf.DUMMYFUNCTION("""COMPUTED_VALUE"""),"Audio Out L")</f>
        <v>Audio Out L</v>
      </c>
      <c r="F3" s="6" t="str">
        <f>IFERROR(__xludf.DUMMYFUNCTION("""COMPUTED_VALUE"""),"T")</f>
        <v>T</v>
      </c>
      <c r="G3" s="6" t="str">
        <f>IFERROR(__xludf.DUMMYFUNCTION("""COMPUTED_VALUE"""),"SDI In")</f>
        <v>SDI In</v>
      </c>
      <c r="H3" s="6" t="str">
        <f>IFERROR(__xludf.DUMMYFUNCTION("""COMPUTED_VALUE"""),"DC.1")</f>
        <v>DC.1</v>
      </c>
      <c r="I3" s="6" t="str">
        <f>IFERROR(__xludf.DUMMYFUNCTION("""COMPUTED_VALUE"""),"Yamaha MG166")</f>
        <v>Yamaha MG166</v>
      </c>
      <c r="J3" s="6"/>
      <c r="K3" s="6"/>
      <c r="L3" s="6" t="str">
        <f>IFERROR(__xludf.DUMMYFUNCTION("""COMPUTED_VALUE"""),"Emb 7 L")</f>
        <v>Emb 7 L</v>
      </c>
      <c r="M3" s="9" t="str">
        <f>IFERROR(__xludf.DUMMYFUNCTION("""COMPUTED_VALUE"""),"EMB 7")</f>
        <v>EMB 7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IFERROR(__xludf.DUMMYFUNCTION("""COMPUTED_VALUE"""),"C.5")</f>
        <v>C.5</v>
      </c>
      <c r="B4" s="6" t="str">
        <f>IFERROR(__xludf.DUMMYFUNCTION("""COMPUTED_VALUE"""),"Miranda D3 (Audio)")</f>
        <v>Miranda D3 (Audio)</v>
      </c>
      <c r="C4" s="6">
        <f>IFERROR(__xludf.DUMMYFUNCTION("""COMPUTED_VALUE"""),6.0)</f>
        <v>6</v>
      </c>
      <c r="D4" s="6" t="str">
        <f>IFERROR(__xludf.DUMMYFUNCTION("""COMPUTED_VALUE"""),"De-embedder")</f>
        <v>De-embedder</v>
      </c>
      <c r="E4" s="6" t="str">
        <f>IFERROR(__xludf.DUMMYFUNCTION("""COMPUTED_VALUE"""),"Audio Out L")</f>
        <v>Audio Out L</v>
      </c>
      <c r="F4" s="6" t="str">
        <f>IFERROR(__xludf.DUMMYFUNCTION("""COMPUTED_VALUE"""),"T")</f>
        <v>T</v>
      </c>
      <c r="G4" s="6" t="str">
        <f>IFERROR(__xludf.DUMMYFUNCTION("""COMPUTED_VALUE"""),"SDI In")</f>
        <v>SDI In</v>
      </c>
      <c r="H4" s="6" t="str">
        <f>IFERROR(__xludf.DUMMYFUNCTION("""COMPUTED_VALUE"""),"DC.1")</f>
        <v>DC.1</v>
      </c>
      <c r="I4" s="6" t="str">
        <f>IFERROR(__xludf.DUMMYFUNCTION("""COMPUTED_VALUE"""),"Yamaha MG166")</f>
        <v>Yamaha MG166</v>
      </c>
      <c r="J4" s="6"/>
      <c r="K4" s="6"/>
      <c r="L4" s="6" t="str">
        <f>IFERROR(__xludf.DUMMYFUNCTION("""COMPUTED_VALUE"""),"Emb 8 L")</f>
        <v>Emb 8 L</v>
      </c>
      <c r="M4" s="9" t="str">
        <f>IFERROR(__xludf.DUMMYFUNCTION("""COMPUTED_VALUE"""),"EMB 8")</f>
        <v>EMB 8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IFERROR(__xludf.DUMMYFUNCTION("""COMPUTED_VALUE"""),"C.5")</f>
        <v>C.5</v>
      </c>
      <c r="B5" s="6" t="str">
        <f>IFERROR(__xludf.DUMMYFUNCTION("""COMPUTED_VALUE"""),"Miranda D3 (Audio)")</f>
        <v>Miranda D3 (Audio)</v>
      </c>
      <c r="C5" s="6">
        <f>IFERROR(__xludf.DUMMYFUNCTION("""COMPUTED_VALUE"""),5.0)</f>
        <v>5</v>
      </c>
      <c r="D5" s="6" t="str">
        <f>IFERROR(__xludf.DUMMYFUNCTION("""COMPUTED_VALUE"""),"De-embedder")</f>
        <v>De-embedder</v>
      </c>
      <c r="E5" s="6" t="str">
        <f>IFERROR(__xludf.DUMMYFUNCTION("""COMPUTED_VALUE"""),"Audio Out R")</f>
        <v>Audio Out R</v>
      </c>
      <c r="F5" s="6" t="str">
        <f>IFERROR(__xludf.DUMMYFUNCTION("""COMPUTED_VALUE"""),"T")</f>
        <v>T</v>
      </c>
      <c r="G5" s="6" t="str">
        <f>IFERROR(__xludf.DUMMYFUNCTION("""COMPUTED_VALUE"""),"SDI In")</f>
        <v>SDI In</v>
      </c>
      <c r="H5" s="6" t="str">
        <f>IFERROR(__xludf.DUMMYFUNCTION("""COMPUTED_VALUE"""),"DC.1")</f>
        <v>DC.1</v>
      </c>
      <c r="I5" s="6" t="str">
        <f>IFERROR(__xludf.DUMMYFUNCTION("""COMPUTED_VALUE"""),"Yamaha MG166")</f>
        <v>Yamaha MG166</v>
      </c>
      <c r="J5" s="6"/>
      <c r="K5" s="6"/>
      <c r="L5" s="6" t="str">
        <f>IFERROR(__xludf.DUMMYFUNCTION("""COMPUTED_VALUE"""),"Emb 7 R")</f>
        <v>Emb 7 R</v>
      </c>
      <c r="M5" s="9" t="str">
        <f>IFERROR(__xludf.DUMMYFUNCTION("""COMPUTED_VALUE"""),"EMB 7")</f>
        <v>EMB 7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IFERROR(__xludf.DUMMYFUNCTION("""COMPUTED_VALUE"""),"C.5")</f>
        <v>C.5</v>
      </c>
      <c r="B6" s="6" t="str">
        <f>IFERROR(__xludf.DUMMYFUNCTION("""COMPUTED_VALUE"""),"Miranda D3 (Audio)")</f>
        <v>Miranda D3 (Audio)</v>
      </c>
      <c r="C6" s="6">
        <f>IFERROR(__xludf.DUMMYFUNCTION("""COMPUTED_VALUE"""),6.0)</f>
        <v>6</v>
      </c>
      <c r="D6" s="6" t="str">
        <f>IFERROR(__xludf.DUMMYFUNCTION("""COMPUTED_VALUE"""),"De-embedder")</f>
        <v>De-embedder</v>
      </c>
      <c r="E6" s="6" t="str">
        <f>IFERROR(__xludf.DUMMYFUNCTION("""COMPUTED_VALUE"""),"Audio Out R")</f>
        <v>Audio Out R</v>
      </c>
      <c r="F6" s="6" t="str">
        <f>IFERROR(__xludf.DUMMYFUNCTION("""COMPUTED_VALUE"""),"T")</f>
        <v>T</v>
      </c>
      <c r="G6" s="6" t="str">
        <f>IFERROR(__xludf.DUMMYFUNCTION("""COMPUTED_VALUE"""),"SDI In")</f>
        <v>SDI In</v>
      </c>
      <c r="H6" s="6" t="str">
        <f>IFERROR(__xludf.DUMMYFUNCTION("""COMPUTED_VALUE"""),"DC.1")</f>
        <v>DC.1</v>
      </c>
      <c r="I6" s="6" t="str">
        <f>IFERROR(__xludf.DUMMYFUNCTION("""COMPUTED_VALUE"""),"Yamaha MG166")</f>
        <v>Yamaha MG166</v>
      </c>
      <c r="J6" s="6"/>
      <c r="K6" s="6"/>
      <c r="L6" s="6" t="str">
        <f>IFERROR(__xludf.DUMMYFUNCTION("""COMPUTED_VALUE"""),"Emb 8 R")</f>
        <v>Emb 8 R</v>
      </c>
      <c r="M6" s="9" t="str">
        <f>IFERROR(__xludf.DUMMYFUNCTION("""COMPUTED_VALUE"""),"EMB 8")</f>
        <v>EMB 8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IFERROR(__xludf.DUMMYFUNCTION("""COMPUTED_VALUE"""),"DC.4")</f>
        <v>DC.4</v>
      </c>
      <c r="B7" s="6" t="str">
        <f>IFERROR(__xludf.DUMMYFUNCTION("""COMPUTED_VALUE"""),"Headset Director")</f>
        <v>Headset Director</v>
      </c>
      <c r="C7" s="6"/>
      <c r="D7" s="6"/>
      <c r="E7" s="6" t="str">
        <f>IFERROR(__xludf.DUMMYFUNCTION("""COMPUTED_VALUE"""),"MIC")</f>
        <v>MIC</v>
      </c>
      <c r="F7" s="6"/>
      <c r="G7" s="6"/>
      <c r="H7" s="6" t="str">
        <f>IFERROR(__xludf.DUMMYFUNCTION("""COMPUTED_VALUE"""),"DC.1")</f>
        <v>DC.1</v>
      </c>
      <c r="I7" s="6" t="str">
        <f>IFERROR(__xludf.DUMMYFUNCTION("""COMPUTED_VALUE"""),"Yamaha MG166")</f>
        <v>Yamaha MG166</v>
      </c>
      <c r="J7" s="6"/>
      <c r="K7" s="6"/>
      <c r="L7" s="6" t="str">
        <f>IFERROR(__xludf.DUMMYFUNCTION("""COMPUTED_VALUE"""),"In 10")</f>
        <v>In 10</v>
      </c>
      <c r="M7" s="9" t="str">
        <f>IFERROR(__xludf.DUMMYFUNCTION("""COMPUTED_VALUE"""),"MIC ORD")</f>
        <v>MIC ORD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 t="str">
        <f>IFERROR(__xludf.DUMMYFUNCTION("""COMPUTED_VALUE"""),"B.9")</f>
        <v>B.9</v>
      </c>
      <c r="B8" s="6" t="str">
        <f>IFERROR(__xludf.DUMMYFUNCTION("""COMPUTED_VALUE"""),"PC CG")</f>
        <v>PC CG</v>
      </c>
      <c r="C8" s="6">
        <f>IFERROR(__xludf.DUMMYFUNCTION("""COMPUTED_VALUE"""),1.0)</f>
        <v>1</v>
      </c>
      <c r="D8" s="6" t="str">
        <f>IFERROR(__xludf.DUMMYFUNCTION("""COMPUTED_VALUE"""),"Soundcard")</f>
        <v>Soundcard</v>
      </c>
      <c r="E8" s="6" t="str">
        <f>IFERROR(__xludf.DUMMYFUNCTION("""COMPUTED_VALUE"""),"Speaker Out")</f>
        <v>Speaker Out</v>
      </c>
      <c r="F8" s="6"/>
      <c r="G8" s="6"/>
      <c r="H8" s="6" t="str">
        <f>IFERROR(__xludf.DUMMYFUNCTION("""COMPUTED_VALUE"""),"DC.1")</f>
        <v>DC.1</v>
      </c>
      <c r="I8" s="6" t="str">
        <f>IFERROR(__xludf.DUMMYFUNCTION("""COMPUTED_VALUE"""),"Yamaha MG166")</f>
        <v>Yamaha MG166</v>
      </c>
      <c r="J8" s="6"/>
      <c r="K8" s="6"/>
      <c r="L8" s="6" t="str">
        <f>IFERROR(__xludf.DUMMYFUNCTION("""COMPUTED_VALUE"""),"PC CG")</f>
        <v>PC CG</v>
      </c>
      <c r="M8" s="9" t="str">
        <f>IFERROR(__xludf.DUMMYFUNCTION("""COMPUTED_VALUE"""),"AIRE")</f>
        <v>AIRE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 t="str">
        <f>IFERROR(__xludf.DUMMYFUNCTION("""COMPUTED_VALUE"""),"B.8")</f>
        <v>B.8</v>
      </c>
      <c r="B9" s="6" t="str">
        <f>IFERROR(__xludf.DUMMYFUNCTION("""COMPUTED_VALUE"""),"PC Video")</f>
        <v>PC Video</v>
      </c>
      <c r="C9" s="6">
        <f>IFERROR(__xludf.DUMMYFUNCTION("""COMPUTED_VALUE"""),0.0)</f>
        <v>0</v>
      </c>
      <c r="D9" s="6" t="str">
        <f>IFERROR(__xludf.DUMMYFUNCTION("""COMPUTED_VALUE"""),"Onboard")</f>
        <v>Onboard</v>
      </c>
      <c r="E9" s="6" t="str">
        <f>IFERROR(__xludf.DUMMYFUNCTION("""COMPUTED_VALUE"""),"Speaker Out")</f>
        <v>Speaker Out</v>
      </c>
      <c r="F9" s="6"/>
      <c r="G9" s="6"/>
      <c r="H9" s="6" t="str">
        <f>IFERROR(__xludf.DUMMYFUNCTION("""COMPUTED_VALUE"""),"DC.1")</f>
        <v>DC.1</v>
      </c>
      <c r="I9" s="6" t="str">
        <f>IFERROR(__xludf.DUMMYFUNCTION("""COMPUTED_VALUE"""),"Yamaha MG166")</f>
        <v>Yamaha MG166</v>
      </c>
      <c r="J9" s="6"/>
      <c r="K9" s="6"/>
      <c r="L9" s="6" t="str">
        <f>IFERROR(__xludf.DUMMYFUNCTION("""COMPUTED_VALUE"""),"PC VID")</f>
        <v>PC VID</v>
      </c>
      <c r="M9" s="9" t="str">
        <f>IFERROR(__xludf.DUMMYFUNCTION("""COMPUTED_VALUE"""),"PC VIDEO")</f>
        <v>PC VIDEO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 t="str">
        <f>IFERROR(__xludf.DUMMYFUNCTION("""COMPUTED_VALUE"""),"C.7")</f>
        <v>C.7</v>
      </c>
      <c r="B10" s="6" t="str">
        <f>IFERROR(__xludf.DUMMYFUNCTION("""COMPUTED_VALUE"""),"PC Audio")</f>
        <v>PC Audio</v>
      </c>
      <c r="C10" s="6">
        <f>IFERROR(__xludf.DUMMYFUNCTION("""COMPUTED_VALUE"""),0.0)</f>
        <v>0</v>
      </c>
      <c r="D10" s="6" t="str">
        <f>IFERROR(__xludf.DUMMYFUNCTION("""COMPUTED_VALUE"""),"Onboard")</f>
        <v>Onboard</v>
      </c>
      <c r="E10" s="6" t="str">
        <f>IFERROR(__xludf.DUMMYFUNCTION("""COMPUTED_VALUE"""),"Speaker Out")</f>
        <v>Speaker Out</v>
      </c>
      <c r="F10" s="6"/>
      <c r="G10" s="6"/>
      <c r="H10" s="6" t="str">
        <f>IFERROR(__xludf.DUMMYFUNCTION("""COMPUTED_VALUE"""),"DC.1")</f>
        <v>DC.1</v>
      </c>
      <c r="I10" s="6" t="str">
        <f>IFERROR(__xludf.DUMMYFUNCTION("""COMPUTED_VALUE"""),"Yamaha MG166")</f>
        <v>Yamaha MG166</v>
      </c>
      <c r="J10" s="6"/>
      <c r="K10" s="6"/>
      <c r="L10" s="6" t="str">
        <f>IFERROR(__xludf.DUMMYFUNCTION("""COMPUTED_VALUE"""),"PC AUD")</f>
        <v>PC AUD</v>
      </c>
      <c r="M10" s="9" t="str">
        <f>IFERROR(__xludf.DUMMYFUNCTION("""COMPUTED_VALUE"""),"PC AUDIO")</f>
        <v>PC AUDIO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 t="str">
        <f>IFERROR(__xludf.DUMMYFUNCTION("""COMPUTED_VALUE"""),"Ext.2")</f>
        <v>Ext.2</v>
      </c>
      <c r="B11" s="6" t="str">
        <f>IFERROR(__xludf.DUMMYFUNCTION("""COMPUTED_VALUE"""),"Patch Ext. Audio")</f>
        <v>Patch Ext. Audio</v>
      </c>
      <c r="C11" s="6"/>
      <c r="D11" s="6"/>
      <c r="E11" s="6" t="str">
        <f>IFERROR(__xludf.DUMMYFUNCTION("""COMPUTED_VALUE"""),"XLR 1")</f>
        <v>XLR 1</v>
      </c>
      <c r="F11" s="6" t="str">
        <f>IFERROR(__xludf.DUMMYFUNCTION("""COMPUTED_VALUE"""),"T")</f>
        <v>T</v>
      </c>
      <c r="G11" s="6" t="str">
        <f>IFERROR(__xludf.DUMMYFUNCTION("""COMPUTED_VALUE"""),"XLR 1")</f>
        <v>XLR 1</v>
      </c>
      <c r="H11" s="6" t="str">
        <f>IFERROR(__xludf.DUMMYFUNCTION("""COMPUTED_VALUE"""),"DC.1")</f>
        <v>DC.1</v>
      </c>
      <c r="I11" s="6" t="str">
        <f>IFERROR(__xludf.DUMMYFUNCTION("""COMPUTED_VALUE"""),"Yamaha MG166")</f>
        <v>Yamaha MG166</v>
      </c>
      <c r="J11" s="6"/>
      <c r="K11" s="6"/>
      <c r="L11" s="6" t="str">
        <f>IFERROR(__xludf.DUMMYFUNCTION("""COMPUTED_VALUE"""),"In 1")</f>
        <v>In 1</v>
      </c>
      <c r="M11" s="9" t="str">
        <f>IFERROR(__xludf.DUMMYFUNCTION("""COMPUTED_VALUE"""),"IN 1")</f>
        <v>IN 1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 t="str">
        <f>IFERROR(__xludf.DUMMYFUNCTION("""COMPUTED_VALUE"""),"Ext.2")</f>
        <v>Ext.2</v>
      </c>
      <c r="B12" s="6" t="str">
        <f>IFERROR(__xludf.DUMMYFUNCTION("""COMPUTED_VALUE"""),"Patch Ext. Audio")</f>
        <v>Patch Ext. Audio</v>
      </c>
      <c r="C12" s="6"/>
      <c r="D12" s="6"/>
      <c r="E12" s="6" t="str">
        <f>IFERROR(__xludf.DUMMYFUNCTION("""COMPUTED_VALUE"""),"XLR 2")</f>
        <v>XLR 2</v>
      </c>
      <c r="F12" s="6" t="str">
        <f>IFERROR(__xludf.DUMMYFUNCTION("""COMPUTED_VALUE"""),"T")</f>
        <v>T</v>
      </c>
      <c r="G12" s="6" t="str">
        <f>IFERROR(__xludf.DUMMYFUNCTION("""COMPUTED_VALUE"""),"XLR 2")</f>
        <v>XLR 2</v>
      </c>
      <c r="H12" s="6" t="str">
        <f>IFERROR(__xludf.DUMMYFUNCTION("""COMPUTED_VALUE"""),"DC.1")</f>
        <v>DC.1</v>
      </c>
      <c r="I12" s="6" t="str">
        <f>IFERROR(__xludf.DUMMYFUNCTION("""COMPUTED_VALUE"""),"Yamaha MG166")</f>
        <v>Yamaha MG166</v>
      </c>
      <c r="J12" s="6"/>
      <c r="K12" s="6"/>
      <c r="L12" s="6" t="str">
        <f>IFERROR(__xludf.DUMMYFUNCTION("""COMPUTED_VALUE"""),"In 2")</f>
        <v>In 2</v>
      </c>
      <c r="M12" s="9" t="str">
        <f>IFERROR(__xludf.DUMMYFUNCTION("""COMPUTED_VALUE"""),"IN 2")</f>
        <v>IN 2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 t="str">
        <f>IFERROR(__xludf.DUMMYFUNCTION("""COMPUTED_VALUE"""),"Ext.2")</f>
        <v>Ext.2</v>
      </c>
      <c r="B13" s="6" t="str">
        <f>IFERROR(__xludf.DUMMYFUNCTION("""COMPUTED_VALUE"""),"Patch Ext. Audio")</f>
        <v>Patch Ext. Audio</v>
      </c>
      <c r="C13" s="6"/>
      <c r="D13" s="6"/>
      <c r="E13" s="6" t="str">
        <f>IFERROR(__xludf.DUMMYFUNCTION("""COMPUTED_VALUE"""),"XLR 3")</f>
        <v>XLR 3</v>
      </c>
      <c r="F13" s="6" t="str">
        <f>IFERROR(__xludf.DUMMYFUNCTION("""COMPUTED_VALUE"""),"T")</f>
        <v>T</v>
      </c>
      <c r="G13" s="6" t="str">
        <f>IFERROR(__xludf.DUMMYFUNCTION("""COMPUTED_VALUE"""),"XLR 3")</f>
        <v>XLR 3</v>
      </c>
      <c r="H13" s="6" t="str">
        <f>IFERROR(__xludf.DUMMYFUNCTION("""COMPUTED_VALUE"""),"DC.1")</f>
        <v>DC.1</v>
      </c>
      <c r="I13" s="6" t="str">
        <f>IFERROR(__xludf.DUMMYFUNCTION("""COMPUTED_VALUE"""),"Yamaha MG166")</f>
        <v>Yamaha MG166</v>
      </c>
      <c r="J13" s="6"/>
      <c r="K13" s="6"/>
      <c r="L13" s="6" t="str">
        <f>IFERROR(__xludf.DUMMYFUNCTION("""COMPUTED_VALUE"""),"In 3")</f>
        <v>In 3</v>
      </c>
      <c r="M13" s="9" t="str">
        <f>IFERROR(__xludf.DUMMYFUNCTION("""COMPUTED_VALUE"""),"IN 3")</f>
        <v>IN 3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 t="str">
        <f>IFERROR(__xludf.DUMMYFUNCTION("""COMPUTED_VALUE"""),"Ext.2")</f>
        <v>Ext.2</v>
      </c>
      <c r="B14" s="6" t="str">
        <f>IFERROR(__xludf.DUMMYFUNCTION("""COMPUTED_VALUE"""),"Patch Ext. Audio")</f>
        <v>Patch Ext. Audio</v>
      </c>
      <c r="C14" s="6"/>
      <c r="D14" s="6"/>
      <c r="E14" s="6" t="str">
        <f>IFERROR(__xludf.DUMMYFUNCTION("""COMPUTED_VALUE"""),"XLR 4")</f>
        <v>XLR 4</v>
      </c>
      <c r="F14" s="6" t="str">
        <f>IFERROR(__xludf.DUMMYFUNCTION("""COMPUTED_VALUE"""),"T")</f>
        <v>T</v>
      </c>
      <c r="G14" s="6" t="str">
        <f>IFERROR(__xludf.DUMMYFUNCTION("""COMPUTED_VALUE"""),"XLR 4")</f>
        <v>XLR 4</v>
      </c>
      <c r="H14" s="6" t="str">
        <f>IFERROR(__xludf.DUMMYFUNCTION("""COMPUTED_VALUE"""),"DC.1")</f>
        <v>DC.1</v>
      </c>
      <c r="I14" s="6" t="str">
        <f>IFERROR(__xludf.DUMMYFUNCTION("""COMPUTED_VALUE"""),"Yamaha MG166")</f>
        <v>Yamaha MG166</v>
      </c>
      <c r="J14" s="6"/>
      <c r="K14" s="6"/>
      <c r="L14" s="6" t="str">
        <f>IFERROR(__xludf.DUMMYFUNCTION("""COMPUTED_VALUE"""),"In 4")</f>
        <v>In 4</v>
      </c>
      <c r="M14" s="9" t="str">
        <f>IFERROR(__xludf.DUMMYFUNCTION("""COMPUTED_VALUE"""),"IN 4")</f>
        <v>IN 4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 t="str">
        <f>IFERROR(__xludf.DUMMYFUNCTION("""COMPUTED_VALUE"""),"Ext.2")</f>
        <v>Ext.2</v>
      </c>
      <c r="B15" s="6" t="str">
        <f>IFERROR(__xludf.DUMMYFUNCTION("""COMPUTED_VALUE"""),"Patch Ext. Audio")</f>
        <v>Patch Ext. Audio</v>
      </c>
      <c r="C15" s="6"/>
      <c r="D15" s="6"/>
      <c r="E15" s="6" t="str">
        <f>IFERROR(__xludf.DUMMYFUNCTION("""COMPUTED_VALUE"""),"XLR 5")</f>
        <v>XLR 5</v>
      </c>
      <c r="F15" s="6" t="str">
        <f>IFERROR(__xludf.DUMMYFUNCTION("""COMPUTED_VALUE"""),"T")</f>
        <v>T</v>
      </c>
      <c r="G15" s="6" t="str">
        <f>IFERROR(__xludf.DUMMYFUNCTION("""COMPUTED_VALUE"""),"XLR 5")</f>
        <v>XLR 5</v>
      </c>
      <c r="H15" s="6" t="str">
        <f>IFERROR(__xludf.DUMMYFUNCTION("""COMPUTED_VALUE"""),"DC.1")</f>
        <v>DC.1</v>
      </c>
      <c r="I15" s="6" t="str">
        <f>IFERROR(__xludf.DUMMYFUNCTION("""COMPUTED_VALUE"""),"Yamaha MG166")</f>
        <v>Yamaha MG166</v>
      </c>
      <c r="J15" s="6"/>
      <c r="K15" s="6"/>
      <c r="L15" s="6" t="str">
        <f>IFERROR(__xludf.DUMMYFUNCTION("""COMPUTED_VALUE"""),"In 5")</f>
        <v>In 5</v>
      </c>
      <c r="M15" s="9" t="str">
        <f>IFERROR(__xludf.DUMMYFUNCTION("""COMPUTED_VALUE"""),"IN 5")</f>
        <v>IN 5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 t="str">
        <f>IFERROR(__xludf.DUMMYFUNCTION("""COMPUTED_VALUE"""),"Ext.2")</f>
        <v>Ext.2</v>
      </c>
      <c r="B16" s="6" t="str">
        <f>IFERROR(__xludf.DUMMYFUNCTION("""COMPUTED_VALUE"""),"Patch Ext. Audio")</f>
        <v>Patch Ext. Audio</v>
      </c>
      <c r="C16" s="6"/>
      <c r="D16" s="6"/>
      <c r="E16" s="6" t="str">
        <f>IFERROR(__xludf.DUMMYFUNCTION("""COMPUTED_VALUE"""),"XLR 6")</f>
        <v>XLR 6</v>
      </c>
      <c r="F16" s="6" t="str">
        <f>IFERROR(__xludf.DUMMYFUNCTION("""COMPUTED_VALUE"""),"T")</f>
        <v>T</v>
      </c>
      <c r="G16" s="6" t="str">
        <f>IFERROR(__xludf.DUMMYFUNCTION("""COMPUTED_VALUE"""),"XLR 6")</f>
        <v>XLR 6</v>
      </c>
      <c r="H16" s="6" t="str">
        <f>IFERROR(__xludf.DUMMYFUNCTION("""COMPUTED_VALUE"""),"DC.1")</f>
        <v>DC.1</v>
      </c>
      <c r="I16" s="6" t="str">
        <f>IFERROR(__xludf.DUMMYFUNCTION("""COMPUTED_VALUE"""),"Yamaha MG166")</f>
        <v>Yamaha MG166</v>
      </c>
      <c r="J16" s="6"/>
      <c r="K16" s="6"/>
      <c r="L16" s="6" t="str">
        <f>IFERROR(__xludf.DUMMYFUNCTION("""COMPUTED_VALUE"""),"In 6")</f>
        <v>In 6</v>
      </c>
      <c r="M16" s="9" t="str">
        <f>IFERROR(__xludf.DUMMYFUNCTION("""COMPUTED_VALUE"""),"IN 6")</f>
        <v>IN 6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 t="str">
        <f>IFERROR(__xludf.DUMMYFUNCTION("""COMPUTED_VALUE"""),"Ext.2")</f>
        <v>Ext.2</v>
      </c>
      <c r="B17" s="6" t="str">
        <f>IFERROR(__xludf.DUMMYFUNCTION("""COMPUTED_VALUE"""),"Patch Ext. Audio")</f>
        <v>Patch Ext. Audio</v>
      </c>
      <c r="C17" s="6"/>
      <c r="D17" s="6"/>
      <c r="E17" s="6" t="str">
        <f>IFERROR(__xludf.DUMMYFUNCTION("""COMPUTED_VALUE"""),"XLR 7")</f>
        <v>XLR 7</v>
      </c>
      <c r="F17" s="6" t="str">
        <f>IFERROR(__xludf.DUMMYFUNCTION("""COMPUTED_VALUE"""),"T")</f>
        <v>T</v>
      </c>
      <c r="G17" s="6" t="str">
        <f>IFERROR(__xludf.DUMMYFUNCTION("""COMPUTED_VALUE"""),"XLR 7")</f>
        <v>XLR 7</v>
      </c>
      <c r="H17" s="6" t="str">
        <f>IFERROR(__xludf.DUMMYFUNCTION("""COMPUTED_VALUE"""),"DC.1")</f>
        <v>DC.1</v>
      </c>
      <c r="I17" s="6" t="str">
        <f>IFERROR(__xludf.DUMMYFUNCTION("""COMPUTED_VALUE"""),"Yamaha MG166")</f>
        <v>Yamaha MG166</v>
      </c>
      <c r="J17" s="6"/>
      <c r="K17" s="6"/>
      <c r="L17" s="6" t="str">
        <f>IFERROR(__xludf.DUMMYFUNCTION("""COMPUTED_VALUE"""),"In 7")</f>
        <v>In 7</v>
      </c>
      <c r="M17" s="9" t="str">
        <f>IFERROR(__xludf.DUMMYFUNCTION("""COMPUTED_VALUE"""),"IN 7")</f>
        <v>IN 7</v>
      </c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 t="str">
        <f>IFERROR(__xludf.DUMMYFUNCTION("""COMPUTED_VALUE"""),"Ext.2")</f>
        <v>Ext.2</v>
      </c>
      <c r="B18" s="6" t="str">
        <f>IFERROR(__xludf.DUMMYFUNCTION("""COMPUTED_VALUE"""),"Patch Ext. Audio")</f>
        <v>Patch Ext. Audio</v>
      </c>
      <c r="C18" s="6"/>
      <c r="D18" s="6"/>
      <c r="E18" s="6" t="str">
        <f>IFERROR(__xludf.DUMMYFUNCTION("""COMPUTED_VALUE"""),"XLR 8")</f>
        <v>XLR 8</v>
      </c>
      <c r="F18" s="6" t="str">
        <f>IFERROR(__xludf.DUMMYFUNCTION("""COMPUTED_VALUE"""),"T")</f>
        <v>T</v>
      </c>
      <c r="G18" s="6" t="str">
        <f>IFERROR(__xludf.DUMMYFUNCTION("""COMPUTED_VALUE"""),"XLR 8")</f>
        <v>XLR 8</v>
      </c>
      <c r="H18" s="6" t="str">
        <f>IFERROR(__xludf.DUMMYFUNCTION("""COMPUTED_VALUE"""),"DC.1")</f>
        <v>DC.1</v>
      </c>
      <c r="I18" s="6" t="str">
        <f>IFERROR(__xludf.DUMMYFUNCTION("""COMPUTED_VALUE"""),"Yamaha MG166")</f>
        <v>Yamaha MG166</v>
      </c>
      <c r="J18" s="6"/>
      <c r="K18" s="6"/>
      <c r="L18" s="6" t="str">
        <f>IFERROR(__xludf.DUMMYFUNCTION("""COMPUTED_VALUE"""),"In 8")</f>
        <v>In 8</v>
      </c>
      <c r="M18" s="9" t="str">
        <f>IFERROR(__xludf.DUMMYFUNCTION("""COMPUTED_VALUE"""),"IN 8")</f>
        <v>IN 8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 t="str">
        <f>IFERROR(__xludf.DUMMYFUNCTION("""COMPUTED_VALUE"""),"Ext.2")</f>
        <v>Ext.2</v>
      </c>
      <c r="B19" s="6" t="str">
        <f>IFERROR(__xludf.DUMMYFUNCTION("""COMPUTED_VALUE"""),"Patch Ext. Audio")</f>
        <v>Patch Ext. Audio</v>
      </c>
      <c r="C19" s="6"/>
      <c r="D19" s="6"/>
      <c r="E19" s="6" t="str">
        <f>IFERROR(__xludf.DUMMYFUNCTION("""COMPUTED_VALUE"""),"XLR 9")</f>
        <v>XLR 9</v>
      </c>
      <c r="F19" s="6" t="str">
        <f>IFERROR(__xludf.DUMMYFUNCTION("""COMPUTED_VALUE"""),"T")</f>
        <v>T</v>
      </c>
      <c r="G19" s="6" t="str">
        <f>IFERROR(__xludf.DUMMYFUNCTION("""COMPUTED_VALUE"""),"XLR 9")</f>
        <v>XLR 9</v>
      </c>
      <c r="H19" s="6" t="str">
        <f>IFERROR(__xludf.DUMMYFUNCTION("""COMPUTED_VALUE"""),"DC.1")</f>
        <v>DC.1</v>
      </c>
      <c r="I19" s="6" t="str">
        <f>IFERROR(__xludf.DUMMYFUNCTION("""COMPUTED_VALUE"""),"Yamaha MG166")</f>
        <v>Yamaha MG166</v>
      </c>
      <c r="J19" s="6"/>
      <c r="K19" s="6"/>
      <c r="L19" s="6" t="str">
        <f>IFERROR(__xludf.DUMMYFUNCTION("""COMPUTED_VALUE"""),"In 9")</f>
        <v>In 9</v>
      </c>
      <c r="M19" s="9" t="str">
        <f>IFERROR(__xludf.DUMMYFUNCTION("""COMPUTED_VALUE"""),"IN 9")</f>
        <v>IN 9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DB!$B$2:$B$394</formula1>
    </dataValidation>
  </dataValidations>
  <drawing r:id="rId1"/>
</worksheet>
</file>