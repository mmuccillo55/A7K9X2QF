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<sst xmlns="http://schemas.openxmlformats.org/spreadsheetml/2006/main" count="1406" uniqueCount="329">
  <si>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</si>
  <si>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</si>
  <si>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</si>
  <si>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</si>
  <si>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</si>
  <si>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</si>
  <si>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</si>
  <si>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</si>
  <si>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</si>
  <si>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</si>
  <si>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</si>
  <si>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</si>
  <si>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</si>
  <si>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</si>
  <si>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</si>
  <si>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</si>
  <si>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</si>
  <si>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</si>
  <si>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</si>
  <si>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</si>
  <si>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</si>
  <si>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</si>
  <si>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</si>
  <si>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</si>
  <si>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</si>
  <si>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</si>
  <si>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</si>
  <si>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</si>
  <si>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</si>
  <si>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</si>
  <si>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</si>
  <si>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</si>
  <si>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</si>
  <si>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</si>
  <si>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</si>
  <si>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</si>
  <si>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</si>
  <si>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</si>
  <si>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</si>
  <si>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</si>
  <si>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</si>
  <si>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</si>
  <si>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</si>
  <si>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</si>
  <si>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</si>
  <si>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</si>
  <si>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</si>
  <si>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</si>
  <si>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</si>
  <si>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</si>
  <si>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</si>
  <si>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</si>
  <si>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</si>
  <si>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</si>
  <si>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</si>
  <si>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</si>
  <si>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</si>
  <si>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</si>
  <si>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</si>
  <si>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</si>
  <si>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</si>
  <si>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</si>
  <si>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</si>
  <si>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</si>
  <si>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</si>
  <si>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</si>
  <si>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</si>
  <si>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</si>
  <si>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</si>
  <si>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</si>
  <si>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</si>
  <si>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</si>
  <si>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</si>
  <si>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</si>
  <si>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</si>
  <si>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</si>
  <si>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</si>
  <si>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</si>
  <si>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</si>
  <si>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</si>
  <si>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</si>
  <si>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</si>
  <si>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</si>
  <si>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</si>
  <si>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</si>
  <si>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</si>
  <si>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</si>
  <si>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</si>
  <si>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</si>
  <si>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</si>
  <si>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</si>
  <si>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</si>
  <si>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</si>
  <si>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</si>
  <si>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</si>
  <si>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</si>
  <si>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</si>
  <si>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</si>
  <si>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</si>
  <si>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</si>
  <si>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</si>
  <si>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</si>
  <si>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</si>
  <si>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</si>
  <si>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</si>
  <si>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</si>
  <si>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</si>
  <si>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</si>
  <si>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</si>
  <si>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</si>
  <si>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</si>
  <si>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</si>
  <si>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</si>
  <si>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</si>
  <si>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</si>
  <si>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</si>
  <si>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</si>
  <si>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</si>
  <si>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</si>
  <si>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</si>
  <si>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</si>
  <si>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</si>
  <si>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</si>
  <si>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</si>
  <si>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</si>
  <si>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</si>
  <si>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</si>
  <si>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</si>
  <si>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</si>
  <si>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</si>
  <si>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</si>
  <si>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</si>
  <si>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</si>
  <si>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</si>
  <si>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</si>
  <si>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</si>
  <si>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</si>
  <si>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</si>
  <si>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</si>
  <si>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</si>
  <si>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</si>
  <si>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</si>
  <si>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DC.7</t>
  </si>
  <si>
    <t>BM SDI to HDMI</t>
  </si>
  <si>
    <t>CG</t>
  </si>
  <si>
    <t>Audio Out L</t>
  </si>
  <si>
    <t>DC.1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</si>
  <si>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</si>
  <si>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</si>
  <si>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</si>
  <si>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</si>
  <si>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</si>
  <si>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</si>
  <si>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</si>
  <si>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</si>
  <si>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</si>
  <si>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</si>
  <si>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</si>
  <si>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</si>
  <si>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</si>
  <si>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</si>
  <si>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</si>
  <si>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</si>
  <si>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</si>
  <si>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</si>
  <si>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</si>
  <si>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</si>
  <si>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</si>
  <si>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</si>
  <si>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</si>
  <si>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</si>
  <si>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</si>
  <si>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</si>
  <si>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</si>
  <si>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</si>
  <si>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</si>
  <si>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</si>
  <si>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</si>
  <si>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</si>
  <si>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</si>
  <si>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</si>
  <si>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</si>
  <si>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</si>
  <si>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</si>
  <si>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</si>
  <si>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</si>
  <si>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</si>
  <si>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</si>
  <si>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</si>
  <si>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</si>
  <si>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</si>
  <si>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</si>
  <si>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</si>
  <si>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S.3</t>
  </si>
  <si>
    <t>XLR 13</t>
  </si>
  <si>
    <t>ORDEN</t>
  </si>
  <si>
    <t>XLR 14</t>
  </si>
  <si>
    <t>XLR 15</t>
  </si>
  <si>
    <t>XLR 16</t>
  </si>
  <si>
    <t>XLR 17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</si>
  <si>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</si>
  <si>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</si>
  <si>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</si>
  <si>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</si>
  <si>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</si>
  <si>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</si>
  <si>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</si>
  <si>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</si>
  <si>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</si>
  <si>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</si>
  <si>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</si>
  <si>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</si>
  <si>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</si>
  <si>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</si>
  <si>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</si>
  <si>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</si>
  <si>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</si>
  <si>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</si>
  <si>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</si>
  <si>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</si>
  <si>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</si>
  <si>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</si>
  <si>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</si>
  <si>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</si>
  <si>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</si>
  <si>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</si>
  <si>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</si>
  <si>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</si>
  <si>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</si>
  <si>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DC.5</t>
  </si>
  <si>
    <t>PVW</t>
  </si>
  <si>
    <t>DC.6</t>
  </si>
  <si>
    <t>PVW (VS)</t>
  </si>
  <si>
    <t>PVW (WF)</t>
  </si>
  <si>
    <t>HDMI Out (MV)</t>
  </si>
  <si>
    <t>DC.8</t>
  </si>
  <si>
    <t>HDMI In</t>
  </si>
  <si>
    <t>Multiview</t>
  </si>
  <si>
    <t>Monitor Out L</t>
  </si>
  <si>
    <t>DC.2</t>
  </si>
  <si>
    <t>Line In</t>
  </si>
  <si>
    <t>MON L</t>
  </si>
  <si>
    <t>Monitor Out R</t>
  </si>
  <si>
    <t>DC.9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</si>
  <si>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</si>
  <si>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</si>
  <si>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</si>
  <si>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</si>
  <si>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</si>
  <si>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</si>
  <si>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</si>
  <si>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</si>
  <si>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</si>
  <si>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</si>
  <si>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</si>
  <si>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</si>
  <si>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</si>
  <si>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</si>
  <si>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</si>
  <si>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</si>
  <si>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</si>
  <si>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</si>
  <si>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</si>
  <si>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</si>
  <si>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</si>
  <si>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</si>
  <si>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DC.3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</si>
  <si>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</si>
  <si>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</si>
  <si>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</si>
  <si>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</si>
  <si>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</si>
  <si>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</si>
  <si>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</si>
  <si>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</si>
  <si>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DC.4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</si>
  <si>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</si>
  <si>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</si>
  <si>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</si>
  <si>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</si>
  <si>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</si>
  <si>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</si>
  <si>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</si>
  <si>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</si>
  <si>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</si>
  <si>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</si>
  <si>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</si>
  <si>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</si>
  <si>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</si>
  <si>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</si>
  <si>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</si>
  <si>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</si>
  <si>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</si>
  <si>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</si>
  <si>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</si>
  <si>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</si>
  <si>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</si>
  <si>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</si>
  <si>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</si>
  <si>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</si>
  <si>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</si>
  <si>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</si>
  <si>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</si>
  <si>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</si>
  <si>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</si>
  <si>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</si>
  <si>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</si>
  <si>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</si>
  <si>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</si>
  <si>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</si>
  <si>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</si>
  <si>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</si>
  <si>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</si>
  <si>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</si>
  <si>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</si>
  <si>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</si>
  <si>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</si>
  <si>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</si>
  <si>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</si>
  <si>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</si>
  <si>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</si>
  <si>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</si>
  <si>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</si>
  <si>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</si>
  <si>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</si>
  <si>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 2</t>
  </si>
  <si>
    <t>Split 3</t>
  </si>
  <si>
    <t>Ordenar por Columna:</t>
  </si>
  <si>
    <t>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</si>
</sst>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178</v>
      </c>
      <c r="F80" s="7" t="s">
        <v>17</v>
      </c>
      <c r="G80" s="12" t="s">
        <v>178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180</v>
      </c>
      <c r="F81" s="7" t="s">
        <v>17</v>
      </c>
      <c r="G81" s="12" t="s">
        <v>180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181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182</v>
      </c>
      <c r="F82" s="7" t="s">
        <v>17</v>
      </c>
      <c r="G82" s="12" t="s">
        <v>182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184</v>
      </c>
      <c r="F83" s="7" t="s">
        <v>17</v>
      </c>
      <c r="G83" s="12" t="s">
        <v>184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186</v>
      </c>
      <c r="F84" s="7" t="s">
        <v>17</v>
      </c>
      <c r="G84" s="12" t="s">
        <v>186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188</v>
      </c>
      <c r="F85" s="7" t="s">
        <v>17</v>
      </c>
      <c r="G85" s="12" t="s">
        <v>188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190</v>
      </c>
      <c r="F86" s="7" t="s">
        <v>17</v>
      </c>
      <c r="G86" s="12" t="s">
        <v>190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191</v>
      </c>
      <c r="F87" s="7" t="s">
        <v>17</v>
      </c>
      <c r="G87" s="12" t="s">
        <v>191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192</v>
      </c>
      <c r="F88" s="7" t="s">
        <v>17</v>
      </c>
      <c r="G88" s="12" t="s">
        <v>192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193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193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194</v>
      </c>
      <c r="M90" s="8" t="s">
        <v>195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193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196</v>
      </c>
      <c r="M91" s="8" t="s">
        <v>195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193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197</v>
      </c>
      <c r="M92" s="8" t="s">
        <v>195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193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198</v>
      </c>
      <c r="M93" s="8" t="s">
        <v>195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199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200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201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202</v>
      </c>
      <c r="M97" s="8" t="s">
        <v>203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204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205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206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207</v>
      </c>
      <c r="M101" s="7" t="s">
        <v>203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37</v>
      </c>
      <c r="I102" s="6" t="str">
        <f>IF(H102="","",VLOOKUP(H102,DB!A:B,2,0))</f>
        <v/>
      </c>
      <c r="J102" s="6"/>
      <c r="K102" s="6"/>
      <c r="L102" s="6"/>
      <c r="M102" s="7" t="s">
        <v>209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37</v>
      </c>
      <c r="I103" s="6" t="str">
        <f>IF(H103="","",VLOOKUP(H103,DB!A:B,2,0))</f>
        <v/>
      </c>
      <c r="J103" s="6"/>
      <c r="K103" s="6"/>
      <c r="L103" s="6"/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37</v>
      </c>
      <c r="I104" s="6" t="str">
        <f>IF(H104="","",VLOOKUP(H104,DB!A:B,2,0))</f>
        <v/>
      </c>
      <c r="J104" s="6"/>
      <c r="K104" s="6"/>
      <c r="L104" s="6"/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37</v>
      </c>
      <c r="I105" s="6" t="str">
        <f>IF(H105="","",VLOOKUP(H105,DB!A:B,2,0))</f>
        <v/>
      </c>
      <c r="J105" s="6"/>
      <c r="K105" s="6"/>
      <c r="L105" s="6"/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37</v>
      </c>
      <c r="I106" s="6" t="str">
        <f>IF(H106="","",VLOOKUP(H106,DB!A:B,2,0))</f>
        <v/>
      </c>
      <c r="J106" s="6"/>
      <c r="K106" s="6"/>
      <c r="L106" s="6"/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37</v>
      </c>
      <c r="I107" s="6" t="str">
        <f>IF(H107="","",VLOOKUP(H107,DB!A:B,2,0))</f>
        <v/>
      </c>
      <c r="J107" s="6"/>
      <c r="K107" s="6"/>
      <c r="L107" s="6"/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37</v>
      </c>
      <c r="I108" s="6" t="str">
        <f>IF(H108="","",VLOOKUP(H108,DB!A:B,2,0))</f>
        <v/>
      </c>
      <c r="J108" s="6"/>
      <c r="K108" s="6"/>
      <c r="L108" s="6"/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222</v>
      </c>
      <c r="F109" s="7" t="s">
        <v>17</v>
      </c>
      <c r="G109" s="7" t="s">
        <v>222</v>
      </c>
      <c r="H109" s="7" t="s">
        <v>37</v>
      </c>
      <c r="I109" s="6" t="str">
        <f>IF(H109="","",VLOOKUP(H109,DB!A:B,2,0))</f>
        <v/>
      </c>
      <c r="J109" s="6"/>
      <c r="K109" s="6"/>
      <c r="L109" s="6"/>
      <c r="M109" s="7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224</v>
      </c>
      <c r="F110" s="7" t="s">
        <v>17</v>
      </c>
      <c r="G110" s="7" t="s">
        <v>224</v>
      </c>
      <c r="H110" s="7" t="s">
        <v>37</v>
      </c>
      <c r="I110" s="6" t="str">
        <f>IF(H110="","",VLOOKUP(H110,DB!A:B,2,0))</f>
        <v/>
      </c>
      <c r="J110" s="6"/>
      <c r="K110" s="6"/>
      <c r="L110" s="6"/>
      <c r="M110" s="7" t="s">
        <v>225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226</v>
      </c>
      <c r="F111" s="7" t="s">
        <v>17</v>
      </c>
      <c r="G111" s="7" t="s">
        <v>226</v>
      </c>
      <c r="H111" s="7" t="s">
        <v>37</v>
      </c>
      <c r="I111" s="14" t="str">
        <f>IF(H111="","",VLOOKUP(H111,DB!A:B,2,0))</f>
        <v/>
      </c>
      <c r="J111" s="14"/>
      <c r="K111" s="14"/>
      <c r="L111" s="6"/>
      <c r="M111" s="16" t="s">
        <v>227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228</v>
      </c>
      <c r="F112" s="6"/>
      <c r="G112" s="6"/>
      <c r="H112" s="7" t="s">
        <v>229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230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229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231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232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231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231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233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234</v>
      </c>
      <c r="F115" s="6"/>
      <c r="G115" s="6"/>
      <c r="H115" s="7" t="s">
        <v>235</v>
      </c>
      <c r="I115" s="6" t="str">
        <f>IF(H115="","",VLOOKUP(H115,DB!A:B,2,0))</f>
        <v>Monitor Multiview</v>
      </c>
      <c r="J115" s="6"/>
      <c r="K115" s="6"/>
      <c r="L115" s="7" t="s">
        <v>236</v>
      </c>
      <c r="M115" s="8" t="s">
        <v>237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238</v>
      </c>
      <c r="F116" s="6"/>
      <c r="G116" s="6"/>
      <c r="H116" s="7" t="s">
        <v>239</v>
      </c>
      <c r="I116" s="6" t="str">
        <f>IF(H116="","",VLOOKUP(H116,DB!A:B,2,0))</f>
        <v>Monitor Audio L</v>
      </c>
      <c r="J116" s="6"/>
      <c r="K116" s="6"/>
      <c r="L116" s="7" t="s">
        <v>240</v>
      </c>
      <c r="M116" s="8" t="s">
        <v>241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242</v>
      </c>
      <c r="F117" s="6"/>
      <c r="G117" s="6"/>
      <c r="H117" s="7" t="s">
        <v>243</v>
      </c>
      <c r="I117" s="6" t="str">
        <f>IF(H117="","",VLOOKUP(H117,DB!A:B,2,0))</f>
        <v>Monitor Audio R</v>
      </c>
      <c r="J117" s="6"/>
      <c r="K117" s="6"/>
      <c r="L117" s="7" t="s">
        <v>240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246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247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249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250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203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251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252</v>
      </c>
      <c r="F123" s="6"/>
      <c r="G123" s="6"/>
      <c r="H123" s="7" t="s">
        <v>253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253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253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254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255</v>
      </c>
      <c r="F127" s="6"/>
      <c r="G127" s="6"/>
      <c r="H127" s="7" t="s">
        <v>256</v>
      </c>
      <c r="I127" s="6" t="str">
        <f>IF(H127="","",VLOOKUP(H127,DB!A:B,2,0))</f>
        <v>RF</v>
      </c>
      <c r="J127" s="6"/>
      <c r="K127" s="6"/>
      <c r="L127" s="7" t="s">
        <v>240</v>
      </c>
      <c r="M127" s="8" t="s">
        <v>257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178</v>
      </c>
      <c r="M149" s="13" t="s">
        <v>179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180</v>
      </c>
      <c r="M150" s="13" t="s">
        <v>181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182</v>
      </c>
      <c r="M151" s="13" t="s">
        <v>183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184</v>
      </c>
      <c r="M152" s="13" t="s">
        <v>185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188</v>
      </c>
      <c r="M154" s="13" t="s">
        <v>189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190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191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192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195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195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198</v>
      </c>
      <c r="F161" s="7" t="s">
        <v>17</v>
      </c>
      <c r="G161" s="7" t="s">
        <v>198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195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199</v>
      </c>
      <c r="F162" s="7" t="s">
        <v>17</v>
      </c>
      <c r="G162" s="7" t="s">
        <v>199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204</v>
      </c>
      <c r="F166" s="7" t="s">
        <v>17</v>
      </c>
      <c r="G166" s="7" t="s">
        <v>204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205</v>
      </c>
      <c r="F167" s="7" t="s">
        <v>17</v>
      </c>
      <c r="G167" s="7" t="s">
        <v>205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206</v>
      </c>
      <c r="F168" s="7" t="s">
        <v>17</v>
      </c>
      <c r="G168" s="7" t="s">
        <v>206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207</v>
      </c>
      <c r="F169" s="7" t="s">
        <v>17</v>
      </c>
      <c r="G169" s="7" t="s">
        <v>207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83</v>
      </c>
      <c r="B170" s="7" t="str">
        <f>IF(A170="","",VLOOKUP(A170,DB!A:B,2,0))</f>
        <v>CopperHead ProHD 1</v>
      </c>
      <c r="C170" s="6"/>
      <c r="D170" s="6"/>
      <c r="E170" s="7" t="s">
        <v>145</v>
      </c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83</v>
      </c>
      <c r="B171" s="7" t="str">
        <f>IF(A171="","",VLOOKUP(A171,DB!A:B,2,0))</f>
        <v>CopperHead ProHD 1</v>
      </c>
      <c r="C171" s="6"/>
      <c r="D171" s="6"/>
      <c r="E171" s="7" t="s">
        <v>151</v>
      </c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86</v>
      </c>
      <c r="B172" s="7" t="str">
        <f>IF(A172="","",VLOOKUP(A172,DB!A:B,2,0))</f>
        <v>CopperHead ProHD 2</v>
      </c>
      <c r="C172" s="6"/>
      <c r="D172" s="6"/>
      <c r="E172" s="7" t="s">
        <v>145</v>
      </c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86</v>
      </c>
      <c r="B173" s="7" t="str">
        <f>IF(A173="","",VLOOKUP(A173,DB!A:B,2,0))</f>
        <v>CopperHead ProHD 2</v>
      </c>
      <c r="C173" s="6"/>
      <c r="D173" s="6"/>
      <c r="E173" s="7" t="s">
        <v>151</v>
      </c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88</v>
      </c>
      <c r="B174" s="7" t="str">
        <f>IF(A174="","",VLOOKUP(A174,DB!A:B,2,0))</f>
        <v>CopperHead ProHD 3</v>
      </c>
      <c r="C174" s="6"/>
      <c r="D174" s="6"/>
      <c r="E174" s="7" t="s">
        <v>145</v>
      </c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88</v>
      </c>
      <c r="B175" s="7" t="str">
        <f>IF(A175="","",VLOOKUP(A175,DB!A:B,2,0))</f>
        <v>CopperHead ProHD 3</v>
      </c>
      <c r="C175" s="6"/>
      <c r="D175" s="6"/>
      <c r="E175" s="7" t="s">
        <v>151</v>
      </c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64</v>
      </c>
      <c r="B176" s="7" t="str">
        <f>IF(A176="","",VLOOKUP(A176,DB!A:B,2,0))</f>
        <v>Ikegami BS-80 4</v>
      </c>
      <c r="C176" s="6"/>
      <c r="D176" s="6"/>
      <c r="E176" s="7" t="s">
        <v>145</v>
      </c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7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64</v>
      </c>
      <c r="B177" s="7" t="str">
        <f>IF(A177="","",VLOOKUP(A177,DB!A:B,2,0))</f>
        <v>Ikegami BS-80 4</v>
      </c>
      <c r="C177" s="6"/>
      <c r="D177" s="6"/>
      <c r="E177" s="7" t="s">
        <v>151</v>
      </c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222</v>
      </c>
      <c r="M177" s="7" t="s">
        <v>223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69</v>
      </c>
      <c r="B178" s="7" t="str">
        <f>IF(A178="","",VLOOKUP(A178,DB!A:B,2,0))</f>
        <v>Ikegami BS-80 5</v>
      </c>
      <c r="C178" s="6"/>
      <c r="D178" s="6"/>
      <c r="E178" s="7" t="s">
        <v>145</v>
      </c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224</v>
      </c>
      <c r="M178" s="7" t="s">
        <v>225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69</v>
      </c>
      <c r="B179" s="7" t="str">
        <f>IF(A179="","",VLOOKUP(A179,DB!A:B,2,0))</f>
        <v>Ikegami BS-80 5</v>
      </c>
      <c r="C179" s="6"/>
      <c r="D179" s="6"/>
      <c r="E179" s="7" t="s">
        <v>151</v>
      </c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226</v>
      </c>
      <c r="M179" s="16" t="s">
        <v>227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258</v>
      </c>
      <c r="E180" s="7" t="s">
        <v>259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260</v>
      </c>
      <c r="E181" s="7" t="s">
        <v>259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261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262</v>
      </c>
      <c r="B182" s="7" t="str">
        <f>IF(A182="","",VLOOKUP(A182,DB!A:B,2,0))</f>
        <v>PC Audio</v>
      </c>
      <c r="C182" s="7">
        <v>0.0</v>
      </c>
      <c r="D182" s="7" t="s">
        <v>260</v>
      </c>
      <c r="E182" s="7" t="s">
        <v>259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263</v>
      </c>
      <c r="M182" s="8" t="s">
        <v>264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267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268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265</v>
      </c>
      <c r="F185" s="6"/>
      <c r="G185" s="6"/>
      <c r="H185" s="7" t="s">
        <v>266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269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265</v>
      </c>
      <c r="F186" s="6"/>
      <c r="G186" s="6"/>
      <c r="H186" s="7" t="s">
        <v>266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270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265</v>
      </c>
      <c r="F187" s="6"/>
      <c r="G187" s="6"/>
      <c r="H187" s="7" t="s">
        <v>266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271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272</v>
      </c>
      <c r="M190" s="8" t="s">
        <v>273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272</v>
      </c>
      <c r="M191" s="8" t="s">
        <v>273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272</v>
      </c>
      <c r="M192" s="8" t="s">
        <v>273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262</v>
      </c>
      <c r="I193" s="6" t="str">
        <f>IF(H193="","",VLOOKUP(H193,DB!A:B,2,0))</f>
        <v>PC Audio</v>
      </c>
      <c r="J193" s="7">
        <v>1.0</v>
      </c>
      <c r="K193" s="7" t="s">
        <v>258</v>
      </c>
      <c r="L193" s="7" t="s">
        <v>240</v>
      </c>
      <c r="M193" s="8" t="s">
        <v>273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266</v>
      </c>
      <c r="B194" s="7" t="str">
        <f>IF(A194="","",VLOOKUP(A194,DB!A:B,2,0))</f>
        <v>Mixer Intercom</v>
      </c>
      <c r="C194" s="6"/>
      <c r="D194" s="6"/>
      <c r="E194" s="7" t="s">
        <v>274</v>
      </c>
      <c r="F194" s="6"/>
      <c r="G194" s="6"/>
      <c r="H194" s="7" t="s">
        <v>275</v>
      </c>
      <c r="I194" s="6" t="str">
        <f>IF(H194="","",VLOOKUP(H194,DB!A:B,2,0))</f>
        <v>Headset Director</v>
      </c>
      <c r="J194" s="6"/>
      <c r="K194" s="6"/>
      <c r="L194" s="7" t="s">
        <v>276</v>
      </c>
      <c r="M194" s="8" t="s">
        <v>277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275</v>
      </c>
      <c r="B195" s="7" t="str">
        <f>IF(A195="","",VLOOKUP(A195,DB!A:B,2,0))</f>
        <v>Headset Director</v>
      </c>
      <c r="C195" s="6"/>
      <c r="D195" s="6"/>
      <c r="E195" s="7" t="s">
        <v>278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47</v>
      </c>
      <c r="M195" s="8" t="s">
        <v>279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281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282</v>
      </c>
      <c r="L196" s="7" t="s">
        <v>283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285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280</v>
      </c>
      <c r="B198" s="7" t="str">
        <f>IF(A198="","",VLOOKUP(A198,DB!A:B,2,0))</f>
        <v>Sync Generator</v>
      </c>
      <c r="C198" s="6"/>
      <c r="D198" s="6"/>
      <c r="E198" s="7" t="s">
        <v>286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280</v>
      </c>
      <c r="B199" s="7" t="str">
        <f>IF(A199="","",VLOOKUP(A199,DB!A:B,2,0))</f>
        <v>Sync Generator</v>
      </c>
      <c r="C199" s="6"/>
      <c r="D199" s="6"/>
      <c r="E199" s="7" t="s">
        <v>287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280</v>
      </c>
      <c r="B200" s="7" t="str">
        <f>IF(A200="","",VLOOKUP(A200,DB!A:B,2,0))</f>
        <v>Sync Generator</v>
      </c>
      <c r="C200" s="6"/>
      <c r="D200" s="6"/>
      <c r="E200" s="7" t="s">
        <v>289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280</v>
      </c>
      <c r="B201" s="7" t="str">
        <f>IF(A201="","",VLOOKUP(A201,DB!A:B,2,0))</f>
        <v>Sync Generator</v>
      </c>
      <c r="C201" s="6"/>
      <c r="D201" s="6"/>
      <c r="E201" s="7" t="s">
        <v>290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16</v>
      </c>
      <c r="F202" s="7" t="s">
        <v>17</v>
      </c>
      <c r="G202" s="7" t="s">
        <v>283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23</v>
      </c>
      <c r="F203" s="7" t="s">
        <v>17</v>
      </c>
      <c r="G203" s="7" t="s">
        <v>283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27</v>
      </c>
      <c r="F204" s="7" t="s">
        <v>17</v>
      </c>
      <c r="G204" s="7" t="s">
        <v>283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35</v>
      </c>
      <c r="F205" s="7" t="s">
        <v>17</v>
      </c>
      <c r="G205" s="7" t="s">
        <v>283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282</v>
      </c>
      <c r="E206" s="7" t="s">
        <v>38</v>
      </c>
      <c r="F206" s="7" t="s">
        <v>17</v>
      </c>
      <c r="G206" s="7" t="s">
        <v>283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291</v>
      </c>
      <c r="F209" s="7" t="s">
        <v>17</v>
      </c>
      <c r="G209" s="7" t="s">
        <v>288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288</v>
      </c>
      <c r="M209" s="8" t="s">
        <v>284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262</v>
      </c>
      <c r="B210" s="7" t="str">
        <f>IF(A210="","",VLOOKUP(A210,DB!A:B,2,0))</f>
        <v>PC Audio</v>
      </c>
      <c r="C210" s="7">
        <v>1.0</v>
      </c>
      <c r="D210" s="7" t="s">
        <v>258</v>
      </c>
      <c r="E210" s="7" t="s">
        <v>259</v>
      </c>
      <c r="F210" s="6"/>
      <c r="G210" s="6"/>
      <c r="H210" s="7" t="s">
        <v>266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273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6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6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6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6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6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6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6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6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6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253</v>
      </c>
      <c r="B42" s="16" t="s">
        <v>324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325</v>
      </c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193</v>
      </c>
      <c r="B44" s="7" t="s">
        <v>326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327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)"),"Ext.1")</f>
        <v>Ext.1</v>
      </c>
      <c r="B3" s="6" t="str">
        <f>IFERROR(__xludf.DUMMYFUNCTION("""COMPUTED_VALUE"""),"Patch Ext. Video")</f>
        <v>Patch Ext. Video</v>
      </c>
      <c r="C3" s="6"/>
      <c r="D3" s="6"/>
      <c r="E3" s="6" t="str">
        <f>IFERROR(__xludf.DUMMYFUNCTION("""COMPUTED_VALUE"""),"BNC 1")</f>
        <v>BNC 1</v>
      </c>
      <c r="F3" s="6" t="str">
        <f>IFERROR(__xludf.DUMMYFUNCTION("""COMPUTED_VALUE"""),"T")</f>
        <v>T</v>
      </c>
      <c r="G3" s="6" t="str">
        <f>IFERROR(__xludf.DUMMYFUNCTION("""COMPUTED_VALUE"""),"BNC 1")</f>
        <v>BNC 1</v>
      </c>
      <c r="H3" s="6" t="str">
        <f>IFERROR(__xludf.DUMMYFUNCTION("""COMPUTED_VALUE"""),"C.5")</f>
        <v>C.5</v>
      </c>
      <c r="I3" s="6" t="str">
        <f>IFERROR(__xludf.DUMMYFUNCTION("""COMPUTED_VALUE"""),"Miranda D3 (Audio)")</f>
        <v>Miranda D3 (Audio)</v>
      </c>
      <c r="J3" s="6">
        <f>IFERROR(__xludf.DUMMYFUNCTION("""COMPUTED_VALUE"""),5.0)</f>
        <v>5</v>
      </c>
      <c r="K3" s="6" t="str">
        <f>IFERROR(__xludf.DUMMYFUNCTION("""COMPUTED_VALUE"""),"De-embedder")</f>
        <v>De-embedder</v>
      </c>
      <c r="L3" s="6" t="str">
        <f>IFERROR(__xludf.DUMMYFUNCTION("""COMPUTED_VALUE"""),"SDI In")</f>
        <v>SDI In</v>
      </c>
      <c r="M3" s="9" t="str">
        <f>IFERROR(__xludf.DUMMYFUNCTION("""COMPUTED_VALUE"""),"IN 7")</f>
        <v>IN 7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IFERROR(__xludf.DUMMYFUNCTION("""COMPUTED_VALUE"""),"Ext.1")</f>
        <v>Ext.1</v>
      </c>
      <c r="B4" s="6" t="str">
        <f>IFERROR(__xludf.DUMMYFUNCTION("""COMPUTED_VALUE"""),"Patch Ext. Video")</f>
        <v>Patch Ext. Video</v>
      </c>
      <c r="C4" s="6"/>
      <c r="D4" s="6"/>
      <c r="E4" s="6" t="str">
        <f>IFERROR(__xludf.DUMMYFUNCTION("""COMPUTED_VALUE"""),"BNC 10")</f>
        <v>BNC 10</v>
      </c>
      <c r="F4" s="6" t="str">
        <f>IFERROR(__xludf.DUMMYFUNCTION("""COMPUTED_VALUE"""),"T")</f>
        <v>T</v>
      </c>
      <c r="G4" s="6" t="str">
        <f>IFERROR(__xludf.DUMMYFUNCTION("""COMPUTED_VALUE"""),"BNC 10")</f>
        <v>BNC 10</v>
      </c>
      <c r="H4" s="6" t="str">
        <f>IFERROR(__xludf.DUMMYFUNCTION("""COMPUTED_VALUE"""),"N/C")</f>
        <v>N/C</v>
      </c>
      <c r="I4" s="6"/>
      <c r="J4" s="6"/>
      <c r="K4" s="6"/>
      <c r="L4" s="6"/>
      <c r="M4" s="9" t="str">
        <f>IFERROR(__xludf.DUMMYFUNCTION("""COMPUTED_VALUE"""),"AIRE OUT")</f>
        <v>AIRE OUT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IFERROR(__xludf.DUMMYFUNCTION("""COMPUTED_VALUE"""),"Ext.1")</f>
        <v>Ext.1</v>
      </c>
      <c r="B5" s="6" t="str">
        <f>IFERROR(__xludf.DUMMYFUNCTION("""COMPUTED_VALUE"""),"Patch Ext. Video")</f>
        <v>Patch Ext. Video</v>
      </c>
      <c r="C5" s="6"/>
      <c r="D5" s="6"/>
      <c r="E5" s="6" t="str">
        <f>IFERROR(__xludf.DUMMYFUNCTION("""COMPUTED_VALUE"""),"BNC 11")</f>
        <v>BNC 11</v>
      </c>
      <c r="F5" s="6" t="str">
        <f>IFERROR(__xludf.DUMMYFUNCTION("""COMPUTED_VALUE"""),"T")</f>
        <v>T</v>
      </c>
      <c r="G5" s="6" t="str">
        <f>IFERROR(__xludf.DUMMYFUNCTION("""COMPUTED_VALUE"""),"BNC 11")</f>
        <v>BNC 11</v>
      </c>
      <c r="H5" s="6" t="str">
        <f>IFERROR(__xludf.DUMMYFUNCTION("""COMPUTED_VALUE"""),"N/C")</f>
        <v>N/C</v>
      </c>
      <c r="I5" s="6"/>
      <c r="J5" s="6"/>
      <c r="K5" s="6"/>
      <c r="L5" s="6"/>
      <c r="M5" s="9" t="str">
        <f>IFERROR(__xludf.DUMMYFUNCTION("""COMPUTED_VALUE"""),"AUX 1")</f>
        <v>AUX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IFERROR(__xludf.DUMMYFUNCTION("""COMPUTED_VALUE"""),"Ext.1")</f>
        <v>Ext.1</v>
      </c>
      <c r="B6" s="6" t="str">
        <f>IFERROR(__xludf.DUMMYFUNCTION("""COMPUTED_VALUE"""),"Patch Ext. Video")</f>
        <v>Patch Ext. Video</v>
      </c>
      <c r="C6" s="6"/>
      <c r="D6" s="6"/>
      <c r="E6" s="6" t="str">
        <f>IFERROR(__xludf.DUMMYFUNCTION("""COMPUTED_VALUE"""),"BNC 12")</f>
        <v>BNC 12</v>
      </c>
      <c r="F6" s="6" t="str">
        <f>IFERROR(__xludf.DUMMYFUNCTION("""COMPUTED_VALUE"""),"T")</f>
        <v>T</v>
      </c>
      <c r="G6" s="6" t="str">
        <f>IFERROR(__xludf.DUMMYFUNCTION("""COMPUTED_VALUE"""),"BNC 12")</f>
        <v>BNC 12</v>
      </c>
      <c r="H6" s="6" t="str">
        <f>IFERROR(__xludf.DUMMYFUNCTION("""COMPUTED_VALUE"""),"N/C")</f>
        <v>N/C</v>
      </c>
      <c r="I6" s="6"/>
      <c r="J6" s="6"/>
      <c r="K6" s="6"/>
      <c r="L6" s="6"/>
      <c r="M6" s="9" t="str">
        <f>IFERROR(__xludf.DUMMYFUNCTION("""COMPUTED_VALUE"""),"AUX 2")</f>
        <v>AUX 2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IFERROR(__xludf.DUMMYFUNCTION("""COMPUTED_VALUE"""),"Ext.1")</f>
        <v>Ext.1</v>
      </c>
      <c r="B7" s="6" t="str">
        <f>IFERROR(__xludf.DUMMYFUNCTION("""COMPUTED_VALUE"""),"Patch Ext. Video")</f>
        <v>Patch Ext. Video</v>
      </c>
      <c r="C7" s="6"/>
      <c r="D7" s="6"/>
      <c r="E7" s="6" t="str">
        <f>IFERROR(__xludf.DUMMYFUNCTION("""COMPUTED_VALUE"""),"BNC 13")</f>
        <v>BNC 13</v>
      </c>
      <c r="F7" s="6" t="str">
        <f>IFERROR(__xludf.DUMMYFUNCTION("""COMPUTED_VALUE"""),"T")</f>
        <v>T</v>
      </c>
      <c r="G7" s="6" t="str">
        <f>IFERROR(__xludf.DUMMYFUNCTION("""COMPUTED_VALUE"""),"BNC 13")</f>
        <v>BNC 13</v>
      </c>
      <c r="H7" s="6" t="str">
        <f>IFERROR(__xludf.DUMMYFUNCTION("""COMPUTED_VALUE"""),"N/C")</f>
        <v>N/C</v>
      </c>
      <c r="I7" s="6"/>
      <c r="J7" s="6"/>
      <c r="K7" s="6"/>
      <c r="L7" s="6"/>
      <c r="M7" s="9" t="str">
        <f>IFERROR(__xludf.DUMMYFUNCTION("""COMPUTED_VALUE"""),"AUX 3")</f>
        <v>AUX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IFERROR(__xludf.DUMMYFUNCTION("""COMPUTED_VALUE"""),"Ext.1")</f>
        <v>Ext.1</v>
      </c>
      <c r="B8" s="6" t="str">
        <f>IFERROR(__xludf.DUMMYFUNCTION("""COMPUTED_VALUE"""),"Patch Ext. Video")</f>
        <v>Patch Ext. Video</v>
      </c>
      <c r="C8" s="6"/>
      <c r="D8" s="6"/>
      <c r="E8" s="6" t="str">
        <f>IFERROR(__xludf.DUMMYFUNCTION("""COMPUTED_VALUE"""),"BNC 2")</f>
        <v>BNC 2</v>
      </c>
      <c r="F8" s="6" t="str">
        <f>IFERROR(__xludf.DUMMYFUNCTION("""COMPUTED_VALUE"""),"T")</f>
        <v>T</v>
      </c>
      <c r="G8" s="6" t="str">
        <f>IFERROR(__xludf.DUMMYFUNCTION("""COMPUTED_VALUE"""),"BNC 2")</f>
        <v>BNC 2</v>
      </c>
      <c r="H8" s="6" t="str">
        <f>IFERROR(__xludf.DUMMYFUNCTION("""COMPUTED_VALUE"""),"C.5")</f>
        <v>C.5</v>
      </c>
      <c r="I8" s="6" t="str">
        <f>IFERROR(__xludf.DUMMYFUNCTION("""COMPUTED_VALUE"""),"Miranda D3 (Audio)")</f>
        <v>Miranda D3 (Audio)</v>
      </c>
      <c r="J8" s="6">
        <f>IFERROR(__xludf.DUMMYFUNCTION("""COMPUTED_VALUE"""),6.0)</f>
        <v>6</v>
      </c>
      <c r="K8" s="6" t="str">
        <f>IFERROR(__xludf.DUMMYFUNCTION("""COMPUTED_VALUE"""),"De-embedder")</f>
        <v>De-embedder</v>
      </c>
      <c r="L8" s="6" t="str">
        <f>IFERROR(__xludf.DUMMYFUNCTION("""COMPUTED_VALUE"""),"SDI In")</f>
        <v>SDI In</v>
      </c>
      <c r="M8" s="9" t="str">
        <f>IFERROR(__xludf.DUMMYFUNCTION("""COMPUTED_VALUE"""),"IN 8")</f>
        <v>IN 8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IFERROR(__xludf.DUMMYFUNCTION("""COMPUTED_VALUE"""),"Ext.1")</f>
        <v>Ext.1</v>
      </c>
      <c r="B9" s="6" t="str">
        <f>IFERROR(__xludf.DUMMYFUNCTION("""COMPUTED_VALUE"""),"Patch Ext. Video")</f>
        <v>Patch Ext. Video</v>
      </c>
      <c r="C9" s="6"/>
      <c r="D9" s="6"/>
      <c r="E9" s="6" t="str">
        <f>IFERROR(__xludf.DUMMYFUNCTION("""COMPUTED_VALUE"""),"BNC 3")</f>
        <v>BNC 3</v>
      </c>
      <c r="F9" s="6" t="str">
        <f>IFERROR(__xludf.DUMMYFUNCTION("""COMPUTED_VALUE"""),"T")</f>
        <v>T</v>
      </c>
      <c r="G9" s="6" t="str">
        <f>IFERROR(__xludf.DUMMYFUNCTION("""COMPUTED_VALUE"""),"BNC 3")</f>
        <v>BNC 3</v>
      </c>
      <c r="H9" s="6" t="str">
        <f>IFERROR(__xludf.DUMMYFUNCTION("""COMPUTED_VALUE"""),"B.1")</f>
        <v>B.1</v>
      </c>
      <c r="I9" s="6" t="str">
        <f>IFERROR(__xludf.DUMMYFUNCTION("""COMPUTED_VALUE"""),"Patch panel")</f>
        <v>Patch panel</v>
      </c>
      <c r="J9" s="6"/>
      <c r="K9" s="6"/>
      <c r="L9" s="6" t="str">
        <f>IFERROR(__xludf.DUMMYFUNCTION("""COMPUTED_VALUE"""),"In 8")</f>
        <v>In 8</v>
      </c>
      <c r="M9" s="9" t="str">
        <f>IFERROR(__xludf.DUMMYFUNCTION("""COMPUTED_VALUE"""),"IN 9")</f>
        <v>IN 9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IFERROR(__xludf.DUMMYFUNCTION("""COMPUTED_VALUE"""),"Ext.1")</f>
        <v>Ext.1</v>
      </c>
      <c r="B10" s="6" t="str">
        <f>IFERROR(__xludf.DUMMYFUNCTION("""COMPUTED_VALUE"""),"Patch Ext. Video")</f>
        <v>Patch Ext. Video</v>
      </c>
      <c r="C10" s="6"/>
      <c r="D10" s="6"/>
      <c r="E10" s="6" t="str">
        <f>IFERROR(__xludf.DUMMYFUNCTION("""COMPUTED_VALUE"""),"BNC 4")</f>
        <v>BNC 4</v>
      </c>
      <c r="F10" s="6" t="str">
        <f>IFERROR(__xludf.DUMMYFUNCTION("""COMPUTED_VALUE"""),"T")</f>
        <v>T</v>
      </c>
      <c r="G10" s="6" t="str">
        <f>IFERROR(__xludf.DUMMYFUNCTION("""COMPUTED_VALUE"""),"BNC 4")</f>
        <v>BNC 4</v>
      </c>
      <c r="H10" s="6" t="str">
        <f>IFERROR(__xludf.DUMMYFUNCTION("""COMPUTED_VALUE"""),"B.1")</f>
        <v>B.1</v>
      </c>
      <c r="I10" s="6" t="str">
        <f>IFERROR(__xludf.DUMMYFUNCTION("""COMPUTED_VALUE"""),"Patch panel")</f>
        <v>Patch panel</v>
      </c>
      <c r="J10" s="6"/>
      <c r="K10" s="6"/>
      <c r="L10" s="6" t="str">
        <f>IFERROR(__xludf.DUMMYFUNCTION("""COMPUTED_VALUE"""),"In/Out 18")</f>
        <v>In/Out 18</v>
      </c>
      <c r="M10" s="9" t="str">
        <f>IFERROR(__xludf.DUMMYFUNCTION("""COMPUTED_VALUE"""),"I/O 10")</f>
        <v>I/O 10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IFERROR(__xludf.DUMMYFUNCTION("""COMPUTED_VALUE"""),"Ext.1")</f>
        <v>Ext.1</v>
      </c>
      <c r="B11" s="6" t="str">
        <f>IFERROR(__xludf.DUMMYFUNCTION("""COMPUTED_VALUE"""),"Patch Ext. Video")</f>
        <v>Patch Ext. Video</v>
      </c>
      <c r="C11" s="6"/>
      <c r="D11" s="6"/>
      <c r="E11" s="6" t="str">
        <f>IFERROR(__xludf.DUMMYFUNCTION("""COMPUTED_VALUE"""),"BNC 5")</f>
        <v>BNC 5</v>
      </c>
      <c r="F11" s="6" t="str">
        <f>IFERROR(__xludf.DUMMYFUNCTION("""COMPUTED_VALUE"""),"T")</f>
        <v>T</v>
      </c>
      <c r="G11" s="6" t="str">
        <f>IFERROR(__xludf.DUMMYFUNCTION("""COMPUTED_VALUE"""),"BNC 5")</f>
        <v>BNC 5</v>
      </c>
      <c r="H11" s="6" t="str">
        <f>IFERROR(__xludf.DUMMYFUNCTION("""COMPUTED_VALUE"""),"C.2")</f>
        <v>C.2</v>
      </c>
      <c r="I11" s="6" t="str">
        <f>IFERROR(__xludf.DUMMYFUNCTION("""COMPUTED_VALUE"""),"Miranda D3 (Video)")</f>
        <v>Miranda D3 (Video)</v>
      </c>
      <c r="J11" s="6">
        <f>IFERROR(__xludf.DUMMYFUNCTION("""COMPUTED_VALUE"""),7.0)</f>
        <v>7</v>
      </c>
      <c r="K11" s="6" t="str">
        <f>IFERROR(__xludf.DUMMYFUNCTION("""COMPUTED_VALUE"""),"Dist. Amp. 2x4")</f>
        <v>Dist. Amp. 2x4</v>
      </c>
      <c r="L11" s="6" t="str">
        <f>IFERROR(__xludf.DUMMYFUNCTION("""COMPUTED_VALUE"""),"In B")</f>
        <v>In B</v>
      </c>
      <c r="M11" s="9" t="str">
        <f>IFERROR(__xludf.DUMMYFUNCTION("""COMPUTED_VALUE"""),"AIRE IN")</f>
        <v>AIRE IN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IFERROR(__xludf.DUMMYFUNCTION("""COMPUTED_VALUE"""),"Ext.1")</f>
        <v>Ext.1</v>
      </c>
      <c r="B12" s="6" t="str">
        <f>IFERROR(__xludf.DUMMYFUNCTION("""COMPUTED_VALUE"""),"Patch Ext. Video")</f>
        <v>Patch Ext. Video</v>
      </c>
      <c r="C12" s="6"/>
      <c r="D12" s="6"/>
      <c r="E12" s="6" t="str">
        <f>IFERROR(__xludf.DUMMYFUNCTION("""COMPUTED_VALUE"""),"BNC 6")</f>
        <v>BNC 6</v>
      </c>
      <c r="F12" s="6" t="str">
        <f>IFERROR(__xludf.DUMMYFUNCTION("""COMPUTED_VALUE"""),"T")</f>
        <v>T</v>
      </c>
      <c r="G12" s="6" t="str">
        <f>IFERROR(__xludf.DUMMYFUNCTION("""COMPUTED_VALUE"""),"BNC 6")</f>
        <v>BNC 6</v>
      </c>
      <c r="H12" s="6" t="str">
        <f>IFERROR(__xludf.DUMMYFUNCTION("""COMPUTED_VALUE"""),"N/C")</f>
        <v>N/C</v>
      </c>
      <c r="I12" s="6"/>
      <c r="J12" s="6"/>
      <c r="K12" s="6"/>
      <c r="L12" s="6"/>
      <c r="M12" s="9" t="str">
        <f>IFERROR(__xludf.DUMMYFUNCTION("""COMPUTED_VALUE"""),"PGM")</f>
        <v>PGM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IFERROR(__xludf.DUMMYFUNCTION("""COMPUTED_VALUE"""),"Ext.1")</f>
        <v>Ext.1</v>
      </c>
      <c r="B13" s="6" t="str">
        <f>IFERROR(__xludf.DUMMYFUNCTION("""COMPUTED_VALUE"""),"Patch Ext. Video")</f>
        <v>Patch Ext. Video</v>
      </c>
      <c r="C13" s="6"/>
      <c r="D13" s="6"/>
      <c r="E13" s="6" t="str">
        <f>IFERROR(__xludf.DUMMYFUNCTION("""COMPUTED_VALUE"""),"BNC 7")</f>
        <v>BNC 7</v>
      </c>
      <c r="F13" s="6" t="str">
        <f>IFERROR(__xludf.DUMMYFUNCTION("""COMPUTED_VALUE"""),"T")</f>
        <v>T</v>
      </c>
      <c r="G13" s="6" t="str">
        <f>IFERROR(__xludf.DUMMYFUNCTION("""COMPUTED_VALUE"""),"BNC 7")</f>
        <v>BNC 7</v>
      </c>
      <c r="H13" s="6" t="str">
        <f>IFERROR(__xludf.DUMMYFUNCTION("""COMPUTED_VALUE"""),"N/C")</f>
        <v>N/C</v>
      </c>
      <c r="I13" s="6"/>
      <c r="J13" s="6"/>
      <c r="K13" s="6"/>
      <c r="L13" s="6"/>
      <c r="M13" s="9" t="str">
        <f>IFERROR(__xludf.DUMMYFUNCTION("""COMPUTED_VALUE"""),"PGM")</f>
        <v>PGM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IFERROR(__xludf.DUMMYFUNCTION("""COMPUTED_VALUE"""),"Ext.1")</f>
        <v>Ext.1</v>
      </c>
      <c r="B14" s="6" t="str">
        <f>IFERROR(__xludf.DUMMYFUNCTION("""COMPUTED_VALUE"""),"Patch Ext. Video")</f>
        <v>Patch Ext. Video</v>
      </c>
      <c r="C14" s="6"/>
      <c r="D14" s="6"/>
      <c r="E14" s="6" t="str">
        <f>IFERROR(__xludf.DUMMYFUNCTION("""COMPUTED_VALUE"""),"BNC 8")</f>
        <v>BNC 8</v>
      </c>
      <c r="F14" s="6" t="str">
        <f>IFERROR(__xludf.DUMMYFUNCTION("""COMPUTED_VALUE"""),"T")</f>
        <v>T</v>
      </c>
      <c r="G14" s="6" t="str">
        <f>IFERROR(__xludf.DUMMYFUNCTION("""COMPUTED_VALUE"""),"BNC 8")</f>
        <v>BNC 8</v>
      </c>
      <c r="H14" s="6" t="str">
        <f>IFERROR(__xludf.DUMMYFUNCTION("""COMPUTED_VALUE"""),"N/C")</f>
        <v>N/C</v>
      </c>
      <c r="I14" s="6"/>
      <c r="J14" s="6"/>
      <c r="K14" s="6"/>
      <c r="L14" s="6"/>
      <c r="M14" s="9" t="str">
        <f>IFERROR(__xludf.DUMMYFUNCTION("""COMPUTED_VALUE"""),"PGM")</f>
        <v>PGM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IFERROR(__xludf.DUMMYFUNCTION("""COMPUTED_VALUE"""),"Ext.1")</f>
        <v>Ext.1</v>
      </c>
      <c r="B15" s="6" t="str">
        <f>IFERROR(__xludf.DUMMYFUNCTION("""COMPUTED_VALUE"""),"Patch Ext. Video")</f>
        <v>Patch Ext. Video</v>
      </c>
      <c r="C15" s="6"/>
      <c r="D15" s="6"/>
      <c r="E15" s="6" t="str">
        <f>IFERROR(__xludf.DUMMYFUNCTION("""COMPUTED_VALUE"""),"BNC 9")</f>
        <v>BNC 9</v>
      </c>
      <c r="F15" s="6" t="str">
        <f>IFERROR(__xludf.DUMMYFUNCTION("""COMPUTED_VALUE"""),"T")</f>
        <v>T</v>
      </c>
      <c r="G15" s="6" t="str">
        <f>IFERROR(__xludf.DUMMYFUNCTION("""COMPUTED_VALUE"""),"BNC 9")</f>
        <v>BNC 9</v>
      </c>
      <c r="H15" s="6" t="str">
        <f>IFERROR(__xludf.DUMMYFUNCTION("""COMPUTED_VALUE"""),"N/C")</f>
        <v>N/C</v>
      </c>
      <c r="I15" s="6"/>
      <c r="J15" s="6"/>
      <c r="K15" s="6"/>
      <c r="L15" s="6"/>
      <c r="M15" s="9" t="str">
        <f>IFERROR(__xludf.DUMMYFUNCTION("""COMPUTED_VALUE"""),"PGM Sin CG")</f>
        <v>PGM Sin CG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IFERROR(__xludf.DUMMYFUNCTION("""COMPUTED_VALUE"""),"Ext.1")</f>
        <v>Ext.1</v>
      </c>
      <c r="B16" s="6" t="str">
        <f>IFERROR(__xludf.DUMMYFUNCTION("""COMPUTED_VALUE"""),"Patch Ext. Video")</f>
        <v>Patch Ext. Video</v>
      </c>
      <c r="C16" s="6"/>
      <c r="D16" s="6"/>
      <c r="E16" s="6" t="str">
        <f>IFERROR(__xludf.DUMMYFUNCTION("""COMPUTED_VALUE"""),"Fiber 14")</f>
        <v>Fiber 14</v>
      </c>
      <c r="F16" s="6" t="str">
        <f>IFERROR(__xludf.DUMMYFUNCTION("""COMPUTED_VALUE"""),"T")</f>
        <v>T</v>
      </c>
      <c r="G16" s="6" t="str">
        <f>IFERROR(__xludf.DUMMYFUNCTION("""COMPUTED_VALUE"""),"Fiber 14")</f>
        <v>Fiber 14</v>
      </c>
      <c r="H16" s="6" t="str">
        <f>IFERROR(__xludf.DUMMYFUNCTION("""COMPUTED_VALUE"""),"B.3")</f>
        <v>B.3</v>
      </c>
      <c r="I16" s="6" t="str">
        <f>IFERROR(__xludf.DUMMYFUNCTION("""COMPUTED_VALUE"""),"CopperHead ProHD 1")</f>
        <v>CopperHead ProHD 1</v>
      </c>
      <c r="J16" s="6"/>
      <c r="K16" s="6"/>
      <c r="L16" s="6" t="str">
        <f>IFERROR(__xludf.DUMMYFUNCTION("""COMPUTED_VALUE"""),"Fiber I/O")</f>
        <v>Fiber I/O</v>
      </c>
      <c r="M16" s="9" t="str">
        <f>IFERROR(__xludf.DUMMYFUNCTION("""COMPUTED_VALUE"""),"JVC 1")</f>
        <v>JVC 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IFERROR(__xludf.DUMMYFUNCTION("""COMPUTED_VALUE"""),"Ext.1")</f>
        <v>Ext.1</v>
      </c>
      <c r="B17" s="6" t="str">
        <f>IFERROR(__xludf.DUMMYFUNCTION("""COMPUTED_VALUE"""),"Patch Ext. Video")</f>
        <v>Patch Ext. Video</v>
      </c>
      <c r="C17" s="6"/>
      <c r="D17" s="6"/>
      <c r="E17" s="6" t="str">
        <f>IFERROR(__xludf.DUMMYFUNCTION("""COMPUTED_VALUE"""),"Fiber 15")</f>
        <v>Fiber 15</v>
      </c>
      <c r="F17" s="6" t="str">
        <f>IFERROR(__xludf.DUMMYFUNCTION("""COMPUTED_VALUE"""),"T")</f>
        <v>T</v>
      </c>
      <c r="G17" s="6" t="str">
        <f>IFERROR(__xludf.DUMMYFUNCTION("""COMPUTED_VALUE"""),"Fiber 15")</f>
        <v>Fiber 15</v>
      </c>
      <c r="H17" s="6" t="str">
        <f>IFERROR(__xludf.DUMMYFUNCTION("""COMPUTED_VALUE"""),"B.4")</f>
        <v>B.4</v>
      </c>
      <c r="I17" s="6" t="str">
        <f>IFERROR(__xludf.DUMMYFUNCTION("""COMPUTED_VALUE"""),"CopperHead ProHD 2")</f>
        <v>CopperHead ProHD 2</v>
      </c>
      <c r="J17" s="6"/>
      <c r="K17" s="6"/>
      <c r="L17" s="6" t="str">
        <f>IFERROR(__xludf.DUMMYFUNCTION("""COMPUTED_VALUE"""),"Fiber I/O")</f>
        <v>Fiber I/O</v>
      </c>
      <c r="M17" s="9" t="str">
        <f>IFERROR(__xludf.DUMMYFUNCTION("""COMPUTED_VALUE"""),"JVC 2")</f>
        <v>JVC 2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IFERROR(__xludf.DUMMYFUNCTION("""COMPUTED_VALUE"""),"Ext.1")</f>
        <v>Ext.1</v>
      </c>
      <c r="B18" s="6" t="str">
        <f>IFERROR(__xludf.DUMMYFUNCTION("""COMPUTED_VALUE"""),"Patch Ext. Video")</f>
        <v>Patch Ext. Video</v>
      </c>
      <c r="C18" s="6"/>
      <c r="D18" s="6"/>
      <c r="E18" s="6" t="str">
        <f>IFERROR(__xludf.DUMMYFUNCTION("""COMPUTED_VALUE"""),"Fiber 16")</f>
        <v>Fiber 16</v>
      </c>
      <c r="F18" s="6" t="str">
        <f>IFERROR(__xludf.DUMMYFUNCTION("""COMPUTED_VALUE"""),"T")</f>
        <v>T</v>
      </c>
      <c r="G18" s="6" t="str">
        <f>IFERROR(__xludf.DUMMYFUNCTION("""COMPUTED_VALUE"""),"Fiber 16")</f>
        <v>Fiber 16</v>
      </c>
      <c r="H18" s="6" t="str">
        <f>IFERROR(__xludf.DUMMYFUNCTION("""COMPUTED_VALUE"""),"B.5")</f>
        <v>B.5</v>
      </c>
      <c r="I18" s="6" t="str">
        <f>IFERROR(__xludf.DUMMYFUNCTION("""COMPUTED_VALUE"""),"CopperHead ProHD 3")</f>
        <v>CopperHead ProHD 3</v>
      </c>
      <c r="J18" s="6"/>
      <c r="K18" s="6"/>
      <c r="L18" s="6" t="str">
        <f>IFERROR(__xludf.DUMMYFUNCTION("""COMPUTED_VALUE"""),"Fiber I/O")</f>
        <v>Fiber I/O</v>
      </c>
      <c r="M18" s="9" t="str">
        <f>IFERROR(__xludf.DUMMYFUNCTION("""COMPUTED_VALUE"""),"JVC 3")</f>
        <v>JVC 3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 t="str">
        <f>IFERROR(__xludf.DUMMYFUNCTION("""COMPUTED_VALUE"""),"Ext.1")</f>
        <v>Ext.1</v>
      </c>
      <c r="B19" s="6" t="str">
        <f>IFERROR(__xludf.DUMMYFUNCTION("""COMPUTED_VALUE"""),"Patch Ext. Video")</f>
        <v>Patch Ext. Video</v>
      </c>
      <c r="C19" s="6"/>
      <c r="D19" s="6"/>
      <c r="E19" s="6" t="str">
        <f>IFERROR(__xludf.DUMMYFUNCTION("""COMPUTED_VALUE"""),"Fiber 17")</f>
        <v>Fiber 17</v>
      </c>
      <c r="F19" s="6" t="str">
        <f>IFERROR(__xludf.DUMMYFUNCTION("""COMPUTED_VALUE"""),"T")</f>
        <v>T</v>
      </c>
      <c r="G19" s="6" t="str">
        <f>IFERROR(__xludf.DUMMYFUNCTION("""COMPUTED_VALUE"""),"Fiber 17")</f>
        <v>Fiber 17</v>
      </c>
      <c r="H19" s="6" t="str">
        <f>IFERROR(__xludf.DUMMYFUNCTION("""COMPUTED_VALUE"""),"C.3")</f>
        <v>C.3</v>
      </c>
      <c r="I19" s="6" t="str">
        <f>IFERROR(__xludf.DUMMYFUNCTION("""COMPUTED_VALUE"""),"Ikegami BS-80 4")</f>
        <v>Ikegami BS-80 4</v>
      </c>
      <c r="J19" s="6"/>
      <c r="K19" s="6"/>
      <c r="L19" s="6" t="str">
        <f>IFERROR(__xludf.DUMMYFUNCTION("""COMPUTED_VALUE"""),"Fiber I/O")</f>
        <v>Fiber I/O</v>
      </c>
      <c r="M19" s="9" t="str">
        <f>IFERROR(__xludf.DUMMYFUNCTION("""COMPUTED_VALUE"""),"IKE 4")</f>
        <v>IKE 4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 t="str">
        <f>IFERROR(__xludf.DUMMYFUNCTION("""COMPUTED_VALUE"""),"Ext.1")</f>
        <v>Ext.1</v>
      </c>
      <c r="B20" s="6" t="str">
        <f>IFERROR(__xludf.DUMMYFUNCTION("""COMPUTED_VALUE"""),"Patch Ext. Video")</f>
        <v>Patch Ext. Video</v>
      </c>
      <c r="C20" s="6"/>
      <c r="D20" s="6"/>
      <c r="E20" s="6" t="str">
        <f>IFERROR(__xludf.DUMMYFUNCTION("""COMPUTED_VALUE"""),"Fiber 18")</f>
        <v>Fiber 18</v>
      </c>
      <c r="F20" s="6" t="str">
        <f>IFERROR(__xludf.DUMMYFUNCTION("""COMPUTED_VALUE"""),"T")</f>
        <v>T</v>
      </c>
      <c r="G20" s="6" t="str">
        <f>IFERROR(__xludf.DUMMYFUNCTION("""COMPUTED_VALUE"""),"Fiber 18")</f>
        <v>Fiber 18</v>
      </c>
      <c r="H20" s="6" t="str">
        <f>IFERROR(__xludf.DUMMYFUNCTION("""COMPUTED_VALUE"""),"C.4")</f>
        <v>C.4</v>
      </c>
      <c r="I20" s="6" t="str">
        <f>IFERROR(__xludf.DUMMYFUNCTION("""COMPUTED_VALUE"""),"Ikegami BS-80 5")</f>
        <v>Ikegami BS-80 5</v>
      </c>
      <c r="J20" s="6"/>
      <c r="K20" s="6"/>
      <c r="L20" s="6" t="str">
        <f>IFERROR(__xludf.DUMMYFUNCTION("""COMPUTED_VALUE"""),"Fiber I/O")</f>
        <v>Fiber I/O</v>
      </c>
      <c r="M20" s="9" t="str">
        <f>IFERROR(__xludf.DUMMYFUNCTION("""COMPUTED_VALUE"""),"IKE 5")</f>
        <v>IKE 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 t="str">
        <f>IFERROR(__xludf.DUMMYFUNCTION("""COMPUTED_VALUE"""),"Ext.2")</f>
        <v>Ext.2</v>
      </c>
      <c r="B21" s="6" t="str">
        <f>IFERROR(__xludf.DUMMYFUNCTION("""COMPUTED_VALUE"""),"Patch Ext. Audio")</f>
        <v>Patch Ext. Audio</v>
      </c>
      <c r="C21" s="6"/>
      <c r="D21" s="6"/>
      <c r="E21" s="6" t="str">
        <f>IFERROR(__xludf.DUMMYFUNCTION("""COMPUTED_VALUE"""),"XLR 1")</f>
        <v>XLR 1</v>
      </c>
      <c r="F21" s="6" t="str">
        <f>IFERROR(__xludf.DUMMYFUNCTION("""COMPUTED_VALUE"""),"T")</f>
        <v>T</v>
      </c>
      <c r="G21" s="6" t="str">
        <f>IFERROR(__xludf.DUMMYFUNCTION("""COMPUTED_VALUE"""),"XLR 1")</f>
        <v>XLR 1</v>
      </c>
      <c r="H21" s="6" t="str">
        <f>IFERROR(__xludf.DUMMYFUNCTION("""COMPUTED_VALUE"""),"DC.1")</f>
        <v>DC.1</v>
      </c>
      <c r="I21" s="6" t="str">
        <f>IFERROR(__xludf.DUMMYFUNCTION("""COMPUTED_VALUE"""),"Yamaha MG166")</f>
        <v>Yamaha MG166</v>
      </c>
      <c r="J21" s="6"/>
      <c r="K21" s="6"/>
      <c r="L21" s="6" t="str">
        <f>IFERROR(__xludf.DUMMYFUNCTION("""COMPUTED_VALUE"""),"In 1")</f>
        <v>In 1</v>
      </c>
      <c r="M21" s="9" t="str">
        <f>IFERROR(__xludf.DUMMYFUNCTION("""COMPUTED_VALUE"""),"IN 1")</f>
        <v>IN 1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 t="str">
        <f>IFERROR(__xludf.DUMMYFUNCTION("""COMPUTED_VALUE"""),"Ext.2")</f>
        <v>Ext.2</v>
      </c>
      <c r="B22" s="6" t="str">
        <f>IFERROR(__xludf.DUMMYFUNCTION("""COMPUTED_VALUE"""),"Patch Ext. Audio")</f>
        <v>Patch Ext. Audio</v>
      </c>
      <c r="C22" s="6"/>
      <c r="D22" s="6"/>
      <c r="E22" s="6" t="str">
        <f>IFERROR(__xludf.DUMMYFUNCTION("""COMPUTED_VALUE"""),"XLR 13")</f>
        <v>XLR 13</v>
      </c>
      <c r="F22" s="6" t="str">
        <f>IFERROR(__xludf.DUMMYFUNCTION("""COMPUTED_VALUE"""),"T")</f>
        <v>T</v>
      </c>
      <c r="G22" s="6" t="str">
        <f>IFERROR(__xludf.DUMMYFUNCTION("""COMPUTED_VALUE"""),"XLR 13")</f>
        <v>XLR 13</v>
      </c>
      <c r="H22" s="6" t="str">
        <f>IFERROR(__xludf.DUMMYFUNCTION("""COMPUTED_VALUE"""),"N/C")</f>
        <v>N/C</v>
      </c>
      <c r="I22" s="6"/>
      <c r="J22" s="6"/>
      <c r="K22" s="6"/>
      <c r="L22" s="6"/>
      <c r="M22" s="9" t="str">
        <f>IFERROR(__xludf.DUMMYFUNCTION("""COMPUTED_VALUE"""),"ORDEN")</f>
        <v>ORDEN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 t="str">
        <f>IFERROR(__xludf.DUMMYFUNCTION("""COMPUTED_VALUE"""),"Ext.2")</f>
        <v>Ext.2</v>
      </c>
      <c r="B23" s="6" t="str">
        <f>IFERROR(__xludf.DUMMYFUNCTION("""COMPUTED_VALUE"""),"Patch Ext. Audio")</f>
        <v>Patch Ext. Audio</v>
      </c>
      <c r="C23" s="6"/>
      <c r="D23" s="6"/>
      <c r="E23" s="6" t="str">
        <f>IFERROR(__xludf.DUMMYFUNCTION("""COMPUTED_VALUE"""),"XLR 14")</f>
        <v>XLR 14</v>
      </c>
      <c r="F23" s="6" t="str">
        <f>IFERROR(__xludf.DUMMYFUNCTION("""COMPUTED_VALUE"""),"T")</f>
        <v>T</v>
      </c>
      <c r="G23" s="6" t="str">
        <f>IFERROR(__xludf.DUMMYFUNCTION("""COMPUTED_VALUE"""),"XLR 14")</f>
        <v>XLR 14</v>
      </c>
      <c r="H23" s="6" t="str">
        <f>IFERROR(__xludf.DUMMYFUNCTION("""COMPUTED_VALUE"""),"N/C")</f>
        <v>N/C</v>
      </c>
      <c r="I23" s="6"/>
      <c r="J23" s="6"/>
      <c r="K23" s="6"/>
      <c r="L23" s="6"/>
      <c r="M23" s="9" t="str">
        <f>IFERROR(__xludf.DUMMYFUNCTION("""COMPUTED_VALUE"""),"ORDEN")</f>
        <v>ORDEN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 t="str">
        <f>IFERROR(__xludf.DUMMYFUNCTION("""COMPUTED_VALUE"""),"Ext.2")</f>
        <v>Ext.2</v>
      </c>
      <c r="B24" s="6" t="str">
        <f>IFERROR(__xludf.DUMMYFUNCTION("""COMPUTED_VALUE"""),"Patch Ext. Audio")</f>
        <v>Patch Ext. Audio</v>
      </c>
      <c r="C24" s="6"/>
      <c r="D24" s="6"/>
      <c r="E24" s="6" t="str">
        <f>IFERROR(__xludf.DUMMYFUNCTION("""COMPUTED_VALUE"""),"XLR 15")</f>
        <v>XLR 15</v>
      </c>
      <c r="F24" s="6" t="str">
        <f>IFERROR(__xludf.DUMMYFUNCTION("""COMPUTED_VALUE"""),"T")</f>
        <v>T</v>
      </c>
      <c r="G24" s="6" t="str">
        <f>IFERROR(__xludf.DUMMYFUNCTION("""COMPUTED_VALUE"""),"XLR 15")</f>
        <v>XLR 15</v>
      </c>
      <c r="H24" s="6" t="str">
        <f>IFERROR(__xludf.DUMMYFUNCTION("""COMPUTED_VALUE"""),"N/C")</f>
        <v>N/C</v>
      </c>
      <c r="I24" s="6"/>
      <c r="J24" s="6"/>
      <c r="K24" s="6"/>
      <c r="L24" s="6"/>
      <c r="M24" s="9" t="str">
        <f>IFERROR(__xludf.DUMMYFUNCTION("""COMPUTED_VALUE"""),"ORDEN")</f>
        <v>ORDEN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 t="str">
        <f>IFERROR(__xludf.DUMMYFUNCTION("""COMPUTED_VALUE"""),"Ext.2")</f>
        <v>Ext.2</v>
      </c>
      <c r="B25" s="6" t="str">
        <f>IFERROR(__xludf.DUMMYFUNCTION("""COMPUTED_VALUE"""),"Patch Ext. Audio")</f>
        <v>Patch Ext. Audio</v>
      </c>
      <c r="C25" s="6"/>
      <c r="D25" s="6"/>
      <c r="E25" s="6" t="str">
        <f>IFERROR(__xludf.DUMMYFUNCTION("""COMPUTED_VALUE"""),"XLR 16")</f>
        <v>XLR 16</v>
      </c>
      <c r="F25" s="6" t="str">
        <f>IFERROR(__xludf.DUMMYFUNCTION("""COMPUTED_VALUE"""),"T")</f>
        <v>T</v>
      </c>
      <c r="G25" s="6" t="str">
        <f>IFERROR(__xludf.DUMMYFUNCTION("""COMPUTED_VALUE"""),"XLR 16")</f>
        <v>XLR 16</v>
      </c>
      <c r="H25" s="6" t="str">
        <f>IFERROR(__xludf.DUMMYFUNCTION("""COMPUTED_VALUE"""),"N/C")</f>
        <v>N/C</v>
      </c>
      <c r="I25" s="6"/>
      <c r="J25" s="6"/>
      <c r="K25" s="6"/>
      <c r="L25" s="6"/>
      <c r="M25" s="9" t="str">
        <f>IFERROR(__xludf.DUMMYFUNCTION("""COMPUTED_VALUE"""),"ORDEN")</f>
        <v>ORDEN</v>
      </c>
      <c r="N25" s="9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 t="str">
        <f>IFERROR(__xludf.DUMMYFUNCTION("""COMPUTED_VALUE"""),"Ext.2")</f>
        <v>Ext.2</v>
      </c>
      <c r="B26" s="6" t="str">
        <f>IFERROR(__xludf.DUMMYFUNCTION("""COMPUTED_VALUE"""),"Patch Ext. Audio")</f>
        <v>Patch Ext. Audio</v>
      </c>
      <c r="C26" s="6"/>
      <c r="D26" s="6"/>
      <c r="E26" s="6" t="str">
        <f>IFERROR(__xludf.DUMMYFUNCTION("""COMPUTED_VALUE"""),"XLR 17")</f>
        <v>XLR 17</v>
      </c>
      <c r="F26" s="6" t="str">
        <f>IFERROR(__xludf.DUMMYFUNCTION("""COMPUTED_VALUE"""),"T")</f>
        <v>T</v>
      </c>
      <c r="G26" s="6" t="str">
        <f>IFERROR(__xludf.DUMMYFUNCTION("""COMPUTED_VALUE"""),"XLR 17")</f>
        <v>XLR 17</v>
      </c>
      <c r="H26" s="6" t="str">
        <f>IFERROR(__xludf.DUMMYFUNCTION("""COMPUTED_VALUE"""),"N/C")</f>
        <v>N/C</v>
      </c>
      <c r="I26" s="6"/>
      <c r="J26" s="6"/>
      <c r="K26" s="6"/>
      <c r="L26" s="6"/>
      <c r="M26" s="9" t="str">
        <f>IFERROR(__xludf.DUMMYFUNCTION("""COMPUTED_VALUE"""),"PGM")</f>
        <v>PGM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 t="str">
        <f>IFERROR(__xludf.DUMMYFUNCTION("""COMPUTED_VALUE"""),"Ext.2")</f>
        <v>Ext.2</v>
      </c>
      <c r="B27" s="6" t="str">
        <f>IFERROR(__xludf.DUMMYFUNCTION("""COMPUTED_VALUE"""),"Patch Ext. Audio")</f>
        <v>Patch Ext. Audio</v>
      </c>
      <c r="C27" s="6"/>
      <c r="D27" s="6"/>
      <c r="E27" s="6" t="str">
        <f>IFERROR(__xludf.DUMMYFUNCTION("""COMPUTED_VALUE"""),"XLR 18")</f>
        <v>XLR 18</v>
      </c>
      <c r="F27" s="6" t="str">
        <f>IFERROR(__xludf.DUMMYFUNCTION("""COMPUTED_VALUE"""),"T")</f>
        <v>T</v>
      </c>
      <c r="G27" s="6" t="str">
        <f>IFERROR(__xludf.DUMMYFUNCTION("""COMPUTED_VALUE"""),"XLR 18")</f>
        <v>XLR 18</v>
      </c>
      <c r="H27" s="6" t="str">
        <f>IFERROR(__xludf.DUMMYFUNCTION("""COMPUTED_VALUE"""),"N/C")</f>
        <v>N/C</v>
      </c>
      <c r="I27" s="6"/>
      <c r="J27" s="6"/>
      <c r="K27" s="6"/>
      <c r="L27" s="6"/>
      <c r="M27" s="9" t="str">
        <f>IFERROR(__xludf.DUMMYFUNCTION("""COMPUTED_VALUE"""),"PGM")</f>
        <v>PGM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 t="str">
        <f>IFERROR(__xludf.DUMMYFUNCTION("""COMPUTED_VALUE"""),"Ext.2")</f>
        <v>Ext.2</v>
      </c>
      <c r="B28" s="6" t="str">
        <f>IFERROR(__xludf.DUMMYFUNCTION("""COMPUTED_VALUE"""),"Patch Ext. Audio")</f>
        <v>Patch Ext. Audio</v>
      </c>
      <c r="C28" s="6"/>
      <c r="D28" s="6"/>
      <c r="E28" s="6" t="str">
        <f>IFERROR(__xludf.DUMMYFUNCTION("""COMPUTED_VALUE"""),"XLR 19")</f>
        <v>XLR 19</v>
      </c>
      <c r="F28" s="6" t="str">
        <f>IFERROR(__xludf.DUMMYFUNCTION("""COMPUTED_VALUE"""),"T")</f>
        <v>T</v>
      </c>
      <c r="G28" s="6" t="str">
        <f>IFERROR(__xludf.DUMMYFUNCTION("""COMPUTED_VALUE"""),"XLR 19")</f>
        <v>XLR 19</v>
      </c>
      <c r="H28" s="6" t="str">
        <f>IFERROR(__xludf.DUMMYFUNCTION("""COMPUTED_VALUE"""),"N/C")</f>
        <v>N/C</v>
      </c>
      <c r="I28" s="6"/>
      <c r="J28" s="6"/>
      <c r="K28" s="6"/>
      <c r="L28" s="6"/>
      <c r="M28" s="9" t="str">
        <f>IFERROR(__xludf.DUMMYFUNCTION("""COMPUTED_VALUE"""),"SUB 1")</f>
        <v>SUB 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 t="str">
        <f>IFERROR(__xludf.DUMMYFUNCTION("""COMPUTED_VALUE"""),"Ext.2")</f>
        <v>Ext.2</v>
      </c>
      <c r="B29" s="6" t="str">
        <f>IFERROR(__xludf.DUMMYFUNCTION("""COMPUTED_VALUE"""),"Patch Ext. Audio")</f>
        <v>Patch Ext. Audio</v>
      </c>
      <c r="C29" s="6"/>
      <c r="D29" s="6"/>
      <c r="E29" s="6" t="str">
        <f>IFERROR(__xludf.DUMMYFUNCTION("""COMPUTED_VALUE"""),"XLR 2")</f>
        <v>XLR 2</v>
      </c>
      <c r="F29" s="6" t="str">
        <f>IFERROR(__xludf.DUMMYFUNCTION("""COMPUTED_VALUE"""),"T")</f>
        <v>T</v>
      </c>
      <c r="G29" s="6" t="str">
        <f>IFERROR(__xludf.DUMMYFUNCTION("""COMPUTED_VALUE"""),"XLR 2")</f>
        <v>XLR 2</v>
      </c>
      <c r="H29" s="6" t="str">
        <f>IFERROR(__xludf.DUMMYFUNCTION("""COMPUTED_VALUE"""),"DC.1")</f>
        <v>DC.1</v>
      </c>
      <c r="I29" s="6" t="str">
        <f>IFERROR(__xludf.DUMMYFUNCTION("""COMPUTED_VALUE"""),"Yamaha MG166")</f>
        <v>Yamaha MG166</v>
      </c>
      <c r="J29" s="6"/>
      <c r="K29" s="6"/>
      <c r="L29" s="6" t="str">
        <f>IFERROR(__xludf.DUMMYFUNCTION("""COMPUTED_VALUE"""),"In 2")</f>
        <v>In 2</v>
      </c>
      <c r="M29" s="9" t="str">
        <f>IFERROR(__xludf.DUMMYFUNCTION("""COMPUTED_VALUE"""),"IN 2")</f>
        <v>IN 2</v>
      </c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 t="str">
        <f>IFERROR(__xludf.DUMMYFUNCTION("""COMPUTED_VALUE"""),"Ext.2")</f>
        <v>Ext.2</v>
      </c>
      <c r="B30" s="6" t="str">
        <f>IFERROR(__xludf.DUMMYFUNCTION("""COMPUTED_VALUE"""),"Patch Ext. Audio")</f>
        <v>Patch Ext. Audio</v>
      </c>
      <c r="C30" s="6"/>
      <c r="D30" s="6"/>
      <c r="E30" s="6" t="str">
        <f>IFERROR(__xludf.DUMMYFUNCTION("""COMPUTED_VALUE"""),"XLR 20")</f>
        <v>XLR 20</v>
      </c>
      <c r="F30" s="6" t="str">
        <f>IFERROR(__xludf.DUMMYFUNCTION("""COMPUTED_VALUE"""),"T")</f>
        <v>T</v>
      </c>
      <c r="G30" s="6" t="str">
        <f>IFERROR(__xludf.DUMMYFUNCTION("""COMPUTED_VALUE"""),"XLR 20")</f>
        <v>XLR 20</v>
      </c>
      <c r="H30" s="6" t="str">
        <f>IFERROR(__xludf.DUMMYFUNCTION("""COMPUTED_VALUE"""),"N/C")</f>
        <v>N/C</v>
      </c>
      <c r="I30" s="6"/>
      <c r="J30" s="6"/>
      <c r="K30" s="6"/>
      <c r="L30" s="6"/>
      <c r="M30" s="9" t="str">
        <f>IFERROR(__xludf.DUMMYFUNCTION("""COMPUTED_VALUE"""),"SUB 3")</f>
        <v>SUB 3</v>
      </c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 t="str">
        <f>IFERROR(__xludf.DUMMYFUNCTION("""COMPUTED_VALUE"""),"Ext.2")</f>
        <v>Ext.2</v>
      </c>
      <c r="B31" s="6" t="str">
        <f>IFERROR(__xludf.DUMMYFUNCTION("""COMPUTED_VALUE"""),"Patch Ext. Audio")</f>
        <v>Patch Ext. Audio</v>
      </c>
      <c r="C31" s="6"/>
      <c r="D31" s="6"/>
      <c r="E31" s="6" t="str">
        <f>IFERROR(__xludf.DUMMYFUNCTION("""COMPUTED_VALUE"""),"XLR 21")</f>
        <v>XLR 21</v>
      </c>
      <c r="F31" s="6" t="str">
        <f>IFERROR(__xludf.DUMMYFUNCTION("""COMPUTED_VALUE"""),"T")</f>
        <v>T</v>
      </c>
      <c r="G31" s="6" t="str">
        <f>IFERROR(__xludf.DUMMYFUNCTION("""COMPUTED_VALUE"""),"XLR 21")</f>
        <v>XLR 21</v>
      </c>
      <c r="H31" s="6" t="str">
        <f>IFERROR(__xludf.DUMMYFUNCTION("""COMPUTED_VALUE"""),"N/C")</f>
        <v>N/C</v>
      </c>
      <c r="I31" s="6"/>
      <c r="J31" s="6"/>
      <c r="K31" s="6"/>
      <c r="L31" s="6"/>
      <c r="M31" s="9" t="str">
        <f>IFERROR(__xludf.DUMMYFUNCTION("""COMPUTED_VALUE"""),"AUX 1")</f>
        <v>AUX 1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 t="str">
        <f>IFERROR(__xludf.DUMMYFUNCTION("""COMPUTED_VALUE"""),"Ext.2")</f>
        <v>Ext.2</v>
      </c>
      <c r="B32" s="6" t="str">
        <f>IFERROR(__xludf.DUMMYFUNCTION("""COMPUTED_VALUE"""),"Patch Ext. Audio")</f>
        <v>Patch Ext. Audio</v>
      </c>
      <c r="C32" s="6"/>
      <c r="D32" s="6"/>
      <c r="E32" s="6" t="str">
        <f>IFERROR(__xludf.DUMMYFUNCTION("""COMPUTED_VALUE"""),"XLR 22")</f>
        <v>XLR 22</v>
      </c>
      <c r="F32" s="6" t="str">
        <f>IFERROR(__xludf.DUMMYFUNCTION("""COMPUTED_VALUE"""),"T")</f>
        <v>T</v>
      </c>
      <c r="G32" s="6" t="str">
        <f>IFERROR(__xludf.DUMMYFUNCTION("""COMPUTED_VALUE"""),"XLR 22")</f>
        <v>XLR 22</v>
      </c>
      <c r="H32" s="6" t="str">
        <f>IFERROR(__xludf.DUMMYFUNCTION("""COMPUTED_VALUE"""),"N/C")</f>
        <v>N/C</v>
      </c>
      <c r="I32" s="6"/>
      <c r="J32" s="6"/>
      <c r="K32" s="6"/>
      <c r="L32" s="6"/>
      <c r="M32" s="6" t="str">
        <f>IFERROR(__xludf.DUMMYFUNCTION("""COMPUTED_VALUE"""),"AUX 3")</f>
        <v>AUX 3</v>
      </c>
      <c r="N32" s="9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 t="str">
        <f>IFERROR(__xludf.DUMMYFUNCTION("""COMPUTED_VALUE"""),"Ext.2")</f>
        <v>Ext.2</v>
      </c>
      <c r="B33" s="6" t="str">
        <f>IFERROR(__xludf.DUMMYFUNCTION("""COMPUTED_VALUE"""),"Patch Ext. Audio")</f>
        <v>Patch Ext. Audio</v>
      </c>
      <c r="C33" s="6"/>
      <c r="D33" s="6"/>
      <c r="E33" s="6" t="str">
        <f>IFERROR(__xludf.DUMMYFUNCTION("""COMPUTED_VALUE"""),"XLR 23")</f>
        <v>XLR 23</v>
      </c>
      <c r="F33" s="6" t="str">
        <f>IFERROR(__xludf.DUMMYFUNCTION("""COMPUTED_VALUE"""),"T")</f>
        <v>T</v>
      </c>
      <c r="G33" s="6" t="str">
        <f>IFERROR(__xludf.DUMMYFUNCTION("""COMPUTED_VALUE"""),"XLR 23")</f>
        <v>XLR 23</v>
      </c>
      <c r="H33" s="6" t="str">
        <f>IFERROR(__xludf.DUMMYFUNCTION("""COMPUTED_VALUE"""),"N/C")</f>
        <v>N/C</v>
      </c>
      <c r="I33" s="6"/>
      <c r="J33" s="6"/>
      <c r="K33" s="6"/>
      <c r="L33" s="6"/>
      <c r="M33" s="6" t="str">
        <f>IFERROR(__xludf.DUMMYFUNCTION("""COMPUTED_VALUE"""),"AUX 1")</f>
        <v>AUX 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 t="str">
        <f>IFERROR(__xludf.DUMMYFUNCTION("""COMPUTED_VALUE"""),"Ext.2")</f>
        <v>Ext.2</v>
      </c>
      <c r="B34" s="6" t="str">
        <f>IFERROR(__xludf.DUMMYFUNCTION("""COMPUTED_VALUE"""),"Patch Ext. Audio")</f>
        <v>Patch Ext. Audio</v>
      </c>
      <c r="C34" s="6"/>
      <c r="D34" s="6"/>
      <c r="E34" s="6" t="str">
        <f>IFERROR(__xludf.DUMMYFUNCTION("""COMPUTED_VALUE"""),"XLR 24")</f>
        <v>XLR 24</v>
      </c>
      <c r="F34" s="6" t="str">
        <f>IFERROR(__xludf.DUMMYFUNCTION("""COMPUTED_VALUE"""),"T")</f>
        <v>T</v>
      </c>
      <c r="G34" s="6" t="str">
        <f>IFERROR(__xludf.DUMMYFUNCTION("""COMPUTED_VALUE"""),"XLR 24")</f>
        <v>XLR 24</v>
      </c>
      <c r="H34" s="6" t="str">
        <f>IFERROR(__xludf.DUMMYFUNCTION("""COMPUTED_VALUE"""),"N/C")</f>
        <v>N/C</v>
      </c>
      <c r="I34" s="6"/>
      <c r="J34" s="6"/>
      <c r="K34" s="6"/>
      <c r="L34" s="6"/>
      <c r="M34" s="6" t="str">
        <f>IFERROR(__xludf.DUMMYFUNCTION("""COMPUTED_VALUE"""),"SUB 3")</f>
        <v>SUB 3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 t="str">
        <f>IFERROR(__xludf.DUMMYFUNCTION("""COMPUTED_VALUE"""),"Ext.2")</f>
        <v>Ext.2</v>
      </c>
      <c r="B35" s="6" t="str">
        <f>IFERROR(__xludf.DUMMYFUNCTION("""COMPUTED_VALUE"""),"Patch Ext. Audio")</f>
        <v>Patch Ext. Audio</v>
      </c>
      <c r="C35" s="6"/>
      <c r="D35" s="6"/>
      <c r="E35" s="6" t="str">
        <f>IFERROR(__xludf.DUMMYFUNCTION("""COMPUTED_VALUE"""),"XLR 25")</f>
        <v>XLR 25</v>
      </c>
      <c r="F35" s="6" t="str">
        <f>IFERROR(__xludf.DUMMYFUNCTION("""COMPUTED_VALUE"""),"T")</f>
        <v>T</v>
      </c>
      <c r="G35" s="6" t="str">
        <f>IFERROR(__xludf.DUMMYFUNCTION("""COMPUTED_VALUE"""),"XLR 25")</f>
        <v>XLR 25</v>
      </c>
      <c r="H35" s="6" t="str">
        <f>IFERROR(__xludf.DUMMYFUNCTION("""COMPUTED_VALUE"""),"N/C")</f>
        <v>N/C</v>
      </c>
      <c r="I35" s="6"/>
      <c r="J35" s="6"/>
      <c r="K35" s="6"/>
      <c r="L35" s="6"/>
      <c r="M35" s="6" t="str">
        <f>IFERROR(__xludf.DUMMYFUNCTION("""COMPUTED_VALUE"""),"C1A1")</f>
        <v>C1A1</v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 t="str">
        <f>IFERROR(__xludf.DUMMYFUNCTION("""COMPUTED_VALUE"""),"Ext.2")</f>
        <v>Ext.2</v>
      </c>
      <c r="B36" s="6" t="str">
        <f>IFERROR(__xludf.DUMMYFUNCTION("""COMPUTED_VALUE"""),"Patch Ext. Audio")</f>
        <v>Patch Ext. Audio</v>
      </c>
      <c r="C36" s="6"/>
      <c r="D36" s="6"/>
      <c r="E36" s="6" t="str">
        <f>IFERROR(__xludf.DUMMYFUNCTION("""COMPUTED_VALUE"""),"XLR 26")</f>
        <v>XLR 26</v>
      </c>
      <c r="F36" s="6" t="str">
        <f>IFERROR(__xludf.DUMMYFUNCTION("""COMPUTED_VALUE"""),"T")</f>
        <v>T</v>
      </c>
      <c r="G36" s="6" t="str">
        <f>IFERROR(__xludf.DUMMYFUNCTION("""COMPUTED_VALUE"""),"XLR 26")</f>
        <v>XLR 26</v>
      </c>
      <c r="H36" s="6" t="str">
        <f>IFERROR(__xludf.DUMMYFUNCTION("""COMPUTED_VALUE"""),"N/C")</f>
        <v>N/C</v>
      </c>
      <c r="I36" s="6"/>
      <c r="J36" s="6"/>
      <c r="K36" s="6"/>
      <c r="L36" s="6"/>
      <c r="M36" s="6" t="str">
        <f>IFERROR(__xludf.DUMMYFUNCTION("""COMPUTED_VALUE"""),"C1A2")</f>
        <v>C1A2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 t="str">
        <f>IFERROR(__xludf.DUMMYFUNCTION("""COMPUTED_VALUE"""),"Ext.2")</f>
        <v>Ext.2</v>
      </c>
      <c r="B37" s="6" t="str">
        <f>IFERROR(__xludf.DUMMYFUNCTION("""COMPUTED_VALUE"""),"Patch Ext. Audio")</f>
        <v>Patch Ext. Audio</v>
      </c>
      <c r="C37" s="6"/>
      <c r="D37" s="6"/>
      <c r="E37" s="6" t="str">
        <f>IFERROR(__xludf.DUMMYFUNCTION("""COMPUTED_VALUE"""),"XLR 27")</f>
        <v>XLR 27</v>
      </c>
      <c r="F37" s="6" t="str">
        <f>IFERROR(__xludf.DUMMYFUNCTION("""COMPUTED_VALUE"""),"T")</f>
        <v>T</v>
      </c>
      <c r="G37" s="6" t="str">
        <f>IFERROR(__xludf.DUMMYFUNCTION("""COMPUTED_VALUE"""),"XLR 27")</f>
        <v>XLR 27</v>
      </c>
      <c r="H37" s="6" t="str">
        <f>IFERROR(__xludf.DUMMYFUNCTION("""COMPUTED_VALUE"""),"N/C")</f>
        <v>N/C</v>
      </c>
      <c r="I37" s="6"/>
      <c r="J37" s="6"/>
      <c r="K37" s="6"/>
      <c r="L37" s="6"/>
      <c r="M37" s="6" t="str">
        <f>IFERROR(__xludf.DUMMYFUNCTION("""COMPUTED_VALUE"""),"C2A1")</f>
        <v>C2A1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 t="str">
        <f>IFERROR(__xludf.DUMMYFUNCTION("""COMPUTED_VALUE"""),"Ext.2")</f>
        <v>Ext.2</v>
      </c>
      <c r="B38" s="6" t="str">
        <f>IFERROR(__xludf.DUMMYFUNCTION("""COMPUTED_VALUE"""),"Patch Ext. Audio")</f>
        <v>Patch Ext. Audio</v>
      </c>
      <c r="C38" s="6"/>
      <c r="D38" s="6"/>
      <c r="E38" s="6" t="str">
        <f>IFERROR(__xludf.DUMMYFUNCTION("""COMPUTED_VALUE"""),"XLR 28")</f>
        <v>XLR 28</v>
      </c>
      <c r="F38" s="6" t="str">
        <f>IFERROR(__xludf.DUMMYFUNCTION("""COMPUTED_VALUE"""),"T")</f>
        <v>T</v>
      </c>
      <c r="G38" s="6" t="str">
        <f>IFERROR(__xludf.DUMMYFUNCTION("""COMPUTED_VALUE"""),"XLR 28")</f>
        <v>XLR 28</v>
      </c>
      <c r="H38" s="6" t="str">
        <f>IFERROR(__xludf.DUMMYFUNCTION("""COMPUTED_VALUE"""),"N/C")</f>
        <v>N/C</v>
      </c>
      <c r="I38" s="6"/>
      <c r="J38" s="6"/>
      <c r="K38" s="6"/>
      <c r="L38" s="6"/>
      <c r="M38" s="6" t="str">
        <f>IFERROR(__xludf.DUMMYFUNCTION("""COMPUTED_VALUE"""),"C2A2")</f>
        <v>C2A2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 t="str">
        <f>IFERROR(__xludf.DUMMYFUNCTION("""COMPUTED_VALUE"""),"Ext.2")</f>
        <v>Ext.2</v>
      </c>
      <c r="B39" s="6" t="str">
        <f>IFERROR(__xludf.DUMMYFUNCTION("""COMPUTED_VALUE"""),"Patch Ext. Audio")</f>
        <v>Patch Ext. Audio</v>
      </c>
      <c r="C39" s="6"/>
      <c r="D39" s="6"/>
      <c r="E39" s="6" t="str">
        <f>IFERROR(__xludf.DUMMYFUNCTION("""COMPUTED_VALUE"""),"XLR 29")</f>
        <v>XLR 29</v>
      </c>
      <c r="F39" s="6" t="str">
        <f>IFERROR(__xludf.DUMMYFUNCTION("""COMPUTED_VALUE"""),"T")</f>
        <v>T</v>
      </c>
      <c r="G39" s="6" t="str">
        <f>IFERROR(__xludf.DUMMYFUNCTION("""COMPUTED_VALUE"""),"XLR 29")</f>
        <v>XLR 29</v>
      </c>
      <c r="H39" s="6" t="str">
        <f>IFERROR(__xludf.DUMMYFUNCTION("""COMPUTED_VALUE"""),"N/C")</f>
        <v>N/C</v>
      </c>
      <c r="I39" s="6"/>
      <c r="J39" s="6"/>
      <c r="K39" s="6"/>
      <c r="L39" s="6"/>
      <c r="M39" s="6" t="str">
        <f>IFERROR(__xludf.DUMMYFUNCTION("""COMPUTED_VALUE"""),"C3A1")</f>
        <v>C3A1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 t="str">
        <f>IFERROR(__xludf.DUMMYFUNCTION("""COMPUTED_VALUE"""),"Ext.2")</f>
        <v>Ext.2</v>
      </c>
      <c r="B40" s="6" t="str">
        <f>IFERROR(__xludf.DUMMYFUNCTION("""COMPUTED_VALUE"""),"Patch Ext. Audio")</f>
        <v>Patch Ext. Audio</v>
      </c>
      <c r="C40" s="6"/>
      <c r="D40" s="6"/>
      <c r="E40" s="6" t="str">
        <f>IFERROR(__xludf.DUMMYFUNCTION("""COMPUTED_VALUE"""),"XLR 3")</f>
        <v>XLR 3</v>
      </c>
      <c r="F40" s="6" t="str">
        <f>IFERROR(__xludf.DUMMYFUNCTION("""COMPUTED_VALUE"""),"T")</f>
        <v>T</v>
      </c>
      <c r="G40" s="6" t="str">
        <f>IFERROR(__xludf.DUMMYFUNCTION("""COMPUTED_VALUE"""),"XLR 3")</f>
        <v>XLR 3</v>
      </c>
      <c r="H40" s="6" t="str">
        <f>IFERROR(__xludf.DUMMYFUNCTION("""COMPUTED_VALUE"""),"DC.1")</f>
        <v>DC.1</v>
      </c>
      <c r="I40" s="6" t="str">
        <f>IFERROR(__xludf.DUMMYFUNCTION("""COMPUTED_VALUE"""),"Yamaha MG166")</f>
        <v>Yamaha MG166</v>
      </c>
      <c r="J40" s="6"/>
      <c r="K40" s="6"/>
      <c r="L40" s="6" t="str">
        <f>IFERROR(__xludf.DUMMYFUNCTION("""COMPUTED_VALUE"""),"In 3")</f>
        <v>In 3</v>
      </c>
      <c r="M40" s="9" t="str">
        <f>IFERROR(__xludf.DUMMYFUNCTION("""COMPUTED_VALUE"""),"IN 3")</f>
        <v>IN 3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 t="str">
        <f>IFERROR(__xludf.DUMMYFUNCTION("""COMPUTED_VALUE"""),"Ext.2")</f>
        <v>Ext.2</v>
      </c>
      <c r="B41" s="6" t="str">
        <f>IFERROR(__xludf.DUMMYFUNCTION("""COMPUTED_VALUE"""),"Patch Ext. Audio")</f>
        <v>Patch Ext. Audio</v>
      </c>
      <c r="C41" s="6"/>
      <c r="D41" s="6"/>
      <c r="E41" s="6" t="str">
        <f>IFERROR(__xludf.DUMMYFUNCTION("""COMPUTED_VALUE"""),"XLR 30")</f>
        <v>XLR 30</v>
      </c>
      <c r="F41" s="6" t="str">
        <f>IFERROR(__xludf.DUMMYFUNCTION("""COMPUTED_VALUE"""),"T")</f>
        <v>T</v>
      </c>
      <c r="G41" s="6" t="str">
        <f>IFERROR(__xludf.DUMMYFUNCTION("""COMPUTED_VALUE"""),"XLR 30")</f>
        <v>XLR 30</v>
      </c>
      <c r="H41" s="6" t="str">
        <f>IFERROR(__xludf.DUMMYFUNCTION("""COMPUTED_VALUE"""),"N/C")</f>
        <v>N/C</v>
      </c>
      <c r="I41" s="6"/>
      <c r="J41" s="6"/>
      <c r="K41" s="6"/>
      <c r="L41" s="6"/>
      <c r="M41" s="6" t="str">
        <f>IFERROR(__xludf.DUMMYFUNCTION("""COMPUTED_VALUE"""),"C3A2")</f>
        <v>C3A2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 t="str">
        <f>IFERROR(__xludf.DUMMYFUNCTION("""COMPUTED_VALUE"""),"Ext.2")</f>
        <v>Ext.2</v>
      </c>
      <c r="B42" s="6" t="str">
        <f>IFERROR(__xludf.DUMMYFUNCTION("""COMPUTED_VALUE"""),"Patch Ext. Audio")</f>
        <v>Patch Ext. Audio</v>
      </c>
      <c r="C42" s="6"/>
      <c r="D42" s="6"/>
      <c r="E42" s="6" t="str">
        <f>IFERROR(__xludf.DUMMYFUNCTION("""COMPUTED_VALUE"""),"XLR 31")</f>
        <v>XLR 31</v>
      </c>
      <c r="F42" s="6" t="str">
        <f>IFERROR(__xludf.DUMMYFUNCTION("""COMPUTED_VALUE"""),"T")</f>
        <v>T</v>
      </c>
      <c r="G42" s="6" t="str">
        <f>IFERROR(__xludf.DUMMYFUNCTION("""COMPUTED_VALUE"""),"XLR 31")</f>
        <v>XLR 31</v>
      </c>
      <c r="H42" s="6" t="str">
        <f>IFERROR(__xludf.DUMMYFUNCTION("""COMPUTED_VALUE"""),"N/C")</f>
        <v>N/C</v>
      </c>
      <c r="I42" s="6"/>
      <c r="J42" s="6"/>
      <c r="K42" s="6"/>
      <c r="L42" s="6"/>
      <c r="M42" s="6" t="str">
        <f>IFERROR(__xludf.DUMMYFUNCTION("""COMPUTED_VALUE"""),"C4A1")</f>
        <v>C4A1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 t="str">
        <f>IFERROR(__xludf.DUMMYFUNCTION("""COMPUTED_VALUE"""),"Ext.2")</f>
        <v>Ext.2</v>
      </c>
      <c r="B43" s="6" t="str">
        <f>IFERROR(__xludf.DUMMYFUNCTION("""COMPUTED_VALUE"""),"Patch Ext. Audio")</f>
        <v>Patch Ext. Audio</v>
      </c>
      <c r="C43" s="6"/>
      <c r="D43" s="6"/>
      <c r="E43" s="6" t="str">
        <f>IFERROR(__xludf.DUMMYFUNCTION("""COMPUTED_VALUE"""),"XLR 32")</f>
        <v>XLR 32</v>
      </c>
      <c r="F43" s="6" t="str">
        <f>IFERROR(__xludf.DUMMYFUNCTION("""COMPUTED_VALUE"""),"T")</f>
        <v>T</v>
      </c>
      <c r="G43" s="6" t="str">
        <f>IFERROR(__xludf.DUMMYFUNCTION("""COMPUTED_VALUE"""),"XLR 32")</f>
        <v>XLR 32</v>
      </c>
      <c r="H43" s="6" t="str">
        <f>IFERROR(__xludf.DUMMYFUNCTION("""COMPUTED_VALUE"""),"N/C")</f>
        <v>N/C</v>
      </c>
      <c r="I43" s="6"/>
      <c r="J43" s="6"/>
      <c r="K43" s="6"/>
      <c r="L43" s="6"/>
      <c r="M43" s="6" t="str">
        <f>IFERROR(__xludf.DUMMYFUNCTION("""COMPUTED_VALUE"""),"C4A2")</f>
        <v>C4A2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 t="str">
        <f>IFERROR(__xludf.DUMMYFUNCTION("""COMPUTED_VALUE"""),"Ext.2")</f>
        <v>Ext.2</v>
      </c>
      <c r="B44" s="6" t="str">
        <f>IFERROR(__xludf.DUMMYFUNCTION("""COMPUTED_VALUE"""),"Patch Ext. Audio")</f>
        <v>Patch Ext. Audio</v>
      </c>
      <c r="C44" s="6"/>
      <c r="D44" s="6"/>
      <c r="E44" s="6" t="str">
        <f>IFERROR(__xludf.DUMMYFUNCTION("""COMPUTED_VALUE"""),"XLR 33")</f>
        <v>XLR 33</v>
      </c>
      <c r="F44" s="6" t="str">
        <f>IFERROR(__xludf.DUMMYFUNCTION("""COMPUTED_VALUE"""),"T")</f>
        <v>T</v>
      </c>
      <c r="G44" s="6" t="str">
        <f>IFERROR(__xludf.DUMMYFUNCTION("""COMPUTED_VALUE"""),"XLR 33")</f>
        <v>XLR 33</v>
      </c>
      <c r="H44" s="6" t="str">
        <f>IFERROR(__xludf.DUMMYFUNCTION("""COMPUTED_VALUE"""),"N/C")</f>
        <v>N/C</v>
      </c>
      <c r="I44" s="6"/>
      <c r="J44" s="6"/>
      <c r="K44" s="6"/>
      <c r="L44" s="6"/>
      <c r="M44" s="6" t="str">
        <f>IFERROR(__xludf.DUMMYFUNCTION("""COMPUTED_VALUE"""),"C5A1")</f>
        <v>C5A1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 t="str">
        <f>IFERROR(__xludf.DUMMYFUNCTION("""COMPUTED_VALUE"""),"Ext.2")</f>
        <v>Ext.2</v>
      </c>
      <c r="B45" s="6" t="str">
        <f>IFERROR(__xludf.DUMMYFUNCTION("""COMPUTED_VALUE"""),"Patch Ext. Audio")</f>
        <v>Patch Ext. Audio</v>
      </c>
      <c r="C45" s="6"/>
      <c r="D45" s="6"/>
      <c r="E45" s="6" t="str">
        <f>IFERROR(__xludf.DUMMYFUNCTION("""COMPUTED_VALUE"""),"XLR 34")</f>
        <v>XLR 34</v>
      </c>
      <c r="F45" s="6" t="str">
        <f>IFERROR(__xludf.DUMMYFUNCTION("""COMPUTED_VALUE"""),"T")</f>
        <v>T</v>
      </c>
      <c r="G45" s="6" t="str">
        <f>IFERROR(__xludf.DUMMYFUNCTION("""COMPUTED_VALUE"""),"XLR 34")</f>
        <v>XLR 34</v>
      </c>
      <c r="H45" s="6" t="str">
        <f>IFERROR(__xludf.DUMMYFUNCTION("""COMPUTED_VALUE"""),"N/C")</f>
        <v>N/C</v>
      </c>
      <c r="I45" s="6"/>
      <c r="J45" s="6"/>
      <c r="K45" s="6"/>
      <c r="L45" s="6"/>
      <c r="M45" s="6" t="str">
        <f>IFERROR(__xludf.DUMMYFUNCTION("""COMPUTED_VALUE"""),"C5A2")</f>
        <v>C5A2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 t="str">
        <f>IFERROR(__xludf.DUMMYFUNCTION("""COMPUTED_VALUE"""),"Ext.2")</f>
        <v>Ext.2</v>
      </c>
      <c r="B46" s="6" t="str">
        <f>IFERROR(__xludf.DUMMYFUNCTION("""COMPUTED_VALUE"""),"Patch Ext. Audio")</f>
        <v>Patch Ext. Audio</v>
      </c>
      <c r="C46" s="6"/>
      <c r="D46" s="6"/>
      <c r="E46" s="6" t="str">
        <f>IFERROR(__xludf.DUMMYFUNCTION("""COMPUTED_VALUE"""),"XLR 4")</f>
        <v>XLR 4</v>
      </c>
      <c r="F46" s="6" t="str">
        <f>IFERROR(__xludf.DUMMYFUNCTION("""COMPUTED_VALUE"""),"T")</f>
        <v>T</v>
      </c>
      <c r="G46" s="6" t="str">
        <f>IFERROR(__xludf.DUMMYFUNCTION("""COMPUTED_VALUE"""),"XLR 4")</f>
        <v>XLR 4</v>
      </c>
      <c r="H46" s="6" t="str">
        <f>IFERROR(__xludf.DUMMYFUNCTION("""COMPUTED_VALUE"""),"DC.1")</f>
        <v>DC.1</v>
      </c>
      <c r="I46" s="6" t="str">
        <f>IFERROR(__xludf.DUMMYFUNCTION("""COMPUTED_VALUE"""),"Yamaha MG166")</f>
        <v>Yamaha MG166</v>
      </c>
      <c r="J46" s="6"/>
      <c r="K46" s="6"/>
      <c r="L46" s="6" t="str">
        <f>IFERROR(__xludf.DUMMYFUNCTION("""COMPUTED_VALUE"""),"In 4")</f>
        <v>In 4</v>
      </c>
      <c r="M46" s="9" t="str">
        <f>IFERROR(__xludf.DUMMYFUNCTION("""COMPUTED_VALUE"""),"IN 4")</f>
        <v>IN 4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 t="str">
        <f>IFERROR(__xludf.DUMMYFUNCTION("""COMPUTED_VALUE"""),"Ext.2")</f>
        <v>Ext.2</v>
      </c>
      <c r="B47" s="6" t="str">
        <f>IFERROR(__xludf.DUMMYFUNCTION("""COMPUTED_VALUE"""),"Patch Ext. Audio")</f>
        <v>Patch Ext. Audio</v>
      </c>
      <c r="C47" s="6"/>
      <c r="D47" s="6"/>
      <c r="E47" s="6" t="str">
        <f>IFERROR(__xludf.DUMMYFUNCTION("""COMPUTED_VALUE"""),"XLR 5")</f>
        <v>XLR 5</v>
      </c>
      <c r="F47" s="6" t="str">
        <f>IFERROR(__xludf.DUMMYFUNCTION("""COMPUTED_VALUE"""),"T")</f>
        <v>T</v>
      </c>
      <c r="G47" s="6" t="str">
        <f>IFERROR(__xludf.DUMMYFUNCTION("""COMPUTED_VALUE"""),"XLR 5")</f>
        <v>XLR 5</v>
      </c>
      <c r="H47" s="6" t="str">
        <f>IFERROR(__xludf.DUMMYFUNCTION("""COMPUTED_VALUE"""),"DC.1")</f>
        <v>DC.1</v>
      </c>
      <c r="I47" s="6" t="str">
        <f>IFERROR(__xludf.DUMMYFUNCTION("""COMPUTED_VALUE"""),"Yamaha MG166")</f>
        <v>Yamaha MG166</v>
      </c>
      <c r="J47" s="6"/>
      <c r="K47" s="6"/>
      <c r="L47" s="6" t="str">
        <f>IFERROR(__xludf.DUMMYFUNCTION("""COMPUTED_VALUE"""),"In 5")</f>
        <v>In 5</v>
      </c>
      <c r="M47" s="9" t="str">
        <f>IFERROR(__xludf.DUMMYFUNCTION("""COMPUTED_VALUE"""),"IN 5")</f>
        <v>IN 5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 t="str">
        <f>IFERROR(__xludf.DUMMYFUNCTION("""COMPUTED_VALUE"""),"Ext.2")</f>
        <v>Ext.2</v>
      </c>
      <c r="B48" s="6" t="str">
        <f>IFERROR(__xludf.DUMMYFUNCTION("""COMPUTED_VALUE"""),"Patch Ext. Audio")</f>
        <v>Patch Ext. Audio</v>
      </c>
      <c r="C48" s="6"/>
      <c r="D48" s="6"/>
      <c r="E48" s="6" t="str">
        <f>IFERROR(__xludf.DUMMYFUNCTION("""COMPUTED_VALUE"""),"XLR 6")</f>
        <v>XLR 6</v>
      </c>
      <c r="F48" s="6" t="str">
        <f>IFERROR(__xludf.DUMMYFUNCTION("""COMPUTED_VALUE"""),"T")</f>
        <v>T</v>
      </c>
      <c r="G48" s="6" t="str">
        <f>IFERROR(__xludf.DUMMYFUNCTION("""COMPUTED_VALUE"""),"XLR 6")</f>
        <v>XLR 6</v>
      </c>
      <c r="H48" s="6" t="str">
        <f>IFERROR(__xludf.DUMMYFUNCTION("""COMPUTED_VALUE"""),"DC.1")</f>
        <v>DC.1</v>
      </c>
      <c r="I48" s="6" t="str">
        <f>IFERROR(__xludf.DUMMYFUNCTION("""COMPUTED_VALUE"""),"Yamaha MG166")</f>
        <v>Yamaha MG166</v>
      </c>
      <c r="J48" s="6"/>
      <c r="K48" s="6"/>
      <c r="L48" s="6" t="str">
        <f>IFERROR(__xludf.DUMMYFUNCTION("""COMPUTED_VALUE"""),"In 6")</f>
        <v>In 6</v>
      </c>
      <c r="M48" s="9" t="str">
        <f>IFERROR(__xludf.DUMMYFUNCTION("""COMPUTED_VALUE"""),"IN 6")</f>
        <v>IN 6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 t="str">
        <f>IFERROR(__xludf.DUMMYFUNCTION("""COMPUTED_VALUE"""),"Ext.2")</f>
        <v>Ext.2</v>
      </c>
      <c r="B49" s="6" t="str">
        <f>IFERROR(__xludf.DUMMYFUNCTION("""COMPUTED_VALUE"""),"Patch Ext. Audio")</f>
        <v>Patch Ext. Audio</v>
      </c>
      <c r="C49" s="6"/>
      <c r="D49" s="6"/>
      <c r="E49" s="6" t="str">
        <f>IFERROR(__xludf.DUMMYFUNCTION("""COMPUTED_VALUE"""),"XLR 7")</f>
        <v>XLR 7</v>
      </c>
      <c r="F49" s="6" t="str">
        <f>IFERROR(__xludf.DUMMYFUNCTION("""COMPUTED_VALUE"""),"T")</f>
        <v>T</v>
      </c>
      <c r="G49" s="6" t="str">
        <f>IFERROR(__xludf.DUMMYFUNCTION("""COMPUTED_VALUE"""),"XLR 7")</f>
        <v>XLR 7</v>
      </c>
      <c r="H49" s="6" t="str">
        <f>IFERROR(__xludf.DUMMYFUNCTION("""COMPUTED_VALUE"""),"DC.1")</f>
        <v>DC.1</v>
      </c>
      <c r="I49" s="6" t="str">
        <f>IFERROR(__xludf.DUMMYFUNCTION("""COMPUTED_VALUE"""),"Yamaha MG166")</f>
        <v>Yamaha MG166</v>
      </c>
      <c r="J49" s="6"/>
      <c r="K49" s="6"/>
      <c r="L49" s="6" t="str">
        <f>IFERROR(__xludf.DUMMYFUNCTION("""COMPUTED_VALUE"""),"In 7")</f>
        <v>In 7</v>
      </c>
      <c r="M49" s="9" t="str">
        <f>IFERROR(__xludf.DUMMYFUNCTION("""COMPUTED_VALUE"""),"IN 7")</f>
        <v>IN 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 t="str">
        <f>IFERROR(__xludf.DUMMYFUNCTION("""COMPUTED_VALUE"""),"Ext.2")</f>
        <v>Ext.2</v>
      </c>
      <c r="B50" s="6" t="str">
        <f>IFERROR(__xludf.DUMMYFUNCTION("""COMPUTED_VALUE"""),"Patch Ext. Audio")</f>
        <v>Patch Ext. Audio</v>
      </c>
      <c r="C50" s="6"/>
      <c r="D50" s="6"/>
      <c r="E50" s="6" t="str">
        <f>IFERROR(__xludf.DUMMYFUNCTION("""COMPUTED_VALUE"""),"XLR 8")</f>
        <v>XLR 8</v>
      </c>
      <c r="F50" s="6" t="str">
        <f>IFERROR(__xludf.DUMMYFUNCTION("""COMPUTED_VALUE"""),"T")</f>
        <v>T</v>
      </c>
      <c r="G50" s="6" t="str">
        <f>IFERROR(__xludf.DUMMYFUNCTION("""COMPUTED_VALUE"""),"XLR 8")</f>
        <v>XLR 8</v>
      </c>
      <c r="H50" s="6" t="str">
        <f>IFERROR(__xludf.DUMMYFUNCTION("""COMPUTED_VALUE"""),"DC.1")</f>
        <v>DC.1</v>
      </c>
      <c r="I50" s="6" t="str">
        <f>IFERROR(__xludf.DUMMYFUNCTION("""COMPUTED_VALUE"""),"Yamaha MG166")</f>
        <v>Yamaha MG166</v>
      </c>
      <c r="J50" s="6"/>
      <c r="K50" s="6"/>
      <c r="L50" s="6" t="str">
        <f>IFERROR(__xludf.DUMMYFUNCTION("""COMPUTED_VALUE"""),"In 8")</f>
        <v>In 8</v>
      </c>
      <c r="M50" s="9" t="str">
        <f>IFERROR(__xludf.DUMMYFUNCTION("""COMPUTED_VALUE"""),"IN 8")</f>
        <v>IN 8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 t="str">
        <f>IFERROR(__xludf.DUMMYFUNCTION("""COMPUTED_VALUE"""),"Ext.2")</f>
        <v>Ext.2</v>
      </c>
      <c r="B51" s="6" t="str">
        <f>IFERROR(__xludf.DUMMYFUNCTION("""COMPUTED_VALUE"""),"Patch Ext. Audio")</f>
        <v>Patch Ext. Audio</v>
      </c>
      <c r="C51" s="6"/>
      <c r="D51" s="6"/>
      <c r="E51" s="6" t="str">
        <f>IFERROR(__xludf.DUMMYFUNCTION("""COMPUTED_VALUE"""),"XLR 9")</f>
        <v>XLR 9</v>
      </c>
      <c r="F51" s="6" t="str">
        <f>IFERROR(__xludf.DUMMYFUNCTION("""COMPUTED_VALUE"""),"T")</f>
        <v>T</v>
      </c>
      <c r="G51" s="6" t="str">
        <f>IFERROR(__xludf.DUMMYFUNCTION("""COMPUTED_VALUE"""),"XLR 9")</f>
        <v>XLR 9</v>
      </c>
      <c r="H51" s="6" t="str">
        <f>IFERROR(__xludf.DUMMYFUNCTION("""COMPUTED_VALUE"""),"DC.1")</f>
        <v>DC.1</v>
      </c>
      <c r="I51" s="6" t="str">
        <f>IFERROR(__xludf.DUMMYFUNCTION("""COMPUTED_VALUE"""),"Yamaha MG166")</f>
        <v>Yamaha MG166</v>
      </c>
      <c r="J51" s="6"/>
      <c r="K51" s="6"/>
      <c r="L51" s="6" t="str">
        <f>IFERROR(__xludf.DUMMYFUNCTION("""COMPUTED_VALUE"""),"In 9")</f>
        <v>In 9</v>
      </c>
      <c r="M51" s="9" t="str">
        <f>IFERROR(__xludf.DUMMYFUNCTION("""COMPUTED_VALUE"""),"IN 9")</f>
        <v>IN 9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