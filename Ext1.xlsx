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<sst xmlns="http://schemas.openxmlformats.org/spreadsheetml/2006/main" count="1177" uniqueCount="287">
  <si>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</si>
  <si>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</si>
  <si>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</si>
  <si>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</si>
  <si>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</si>
  <si>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</si>
  <si>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</si>
  <si>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</si>
  <si>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</si>
  <si>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</si>
  <si>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</si>
  <si>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</si>
  <si>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</si>
  <si>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</si>
  <si>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</si>
  <si>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</si>
  <si>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</si>
  <si>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</si>
  <si>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</si>
  <si>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</si>
  <si>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</si>
  <si>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</si>
  <si>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</si>
  <si>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</si>
  <si>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</si>
  <si>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</si>
  <si>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</si>
  <si>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</si>
  <si>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</si>
  <si>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</si>
  <si>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</si>
  <si>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</si>
  <si>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</si>
  <si>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</si>
  <si>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</si>
  <si>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</si>
  <si>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</si>
  <si>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</si>
  <si>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</si>
  <si>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</si>
  <si>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</si>
  <si>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</si>
  <si>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</si>
  <si>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</si>
  <si>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</si>
  <si>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</si>
  <si>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</si>
  <si>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</si>
  <si>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</si>
  <si>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</si>
  <si>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</si>
  <si>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</si>
  <si>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</si>
  <si>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</si>
  <si>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</si>
  <si>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</si>
  <si>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</si>
  <si>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</si>
  <si>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</si>
  <si>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</si>
  <si>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</si>
  <si>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</si>
  <si>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</si>
  <si>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</si>
  <si>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</si>
  <si>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</si>
  <si>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</si>
  <si>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</si>
  <si>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</si>
  <si>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</si>
  <si>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</si>
  <si>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</si>
  <si>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</si>
  <si>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</si>
  <si>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</si>
  <si>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</si>
  <si>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</si>
  <si>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</si>
  <si>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</si>
  <si>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</si>
  <si>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</si>
  <si>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</si>
  <si>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</si>
  <si>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</si>
  <si>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</si>
  <si>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</si>
  <si>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</si>
  <si>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</si>
  <si>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</si>
  <si>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</si>
  <si>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</si>
  <si>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</si>
  <si>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</si>
  <si>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</si>
  <si>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</si>
  <si>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</si>
  <si>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</si>
  <si>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</si>
  <si>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</si>
  <si>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</si>
  <si>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</si>
  <si>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</si>
  <si>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</si>
  <si>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</si>
  <si>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</si>
  <si>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</si>
  <si>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</si>
  <si>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</si>
  <si>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</si>
  <si>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</si>
  <si>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</si>
  <si>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</si>
  <si>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</si>
  <si>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</si>
  <si>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</si>
  <si>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</si>
  <si>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</si>
  <si>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</si>
  <si>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</si>
  <si>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</si>
  <si>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</si>
  <si>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</si>
  <si>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</si>
  <si>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</si>
  <si>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</si>
  <si>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</si>
  <si>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</si>
  <si>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</si>
  <si>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</si>
  <si>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</si>
  <si>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</si>
  <si>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</si>
  <si>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</si>
  <si>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</si>
  <si>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</si>
  <si>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</si>
  <si>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</si>
  <si>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</si>
  <si>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</si>
  <si>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</si>
  <si>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</si>
  <si>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</si>
  <si>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</si>
  <si>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</si>
  <si>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</si>
  <si>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</si>
  <si>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</si>
  <si>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</si>
  <si>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</si>
  <si>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</si>
  <si>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</si>
  <si>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</si>
  <si>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</si>
  <si>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</si>
  <si>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</si>
  <si>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</si>
  <si>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</si>
  <si>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</si>
  <si>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</si>
  <si>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Out 5a</t>
  </si>
  <si>
    <t>Audio In 3</t>
  </si>
  <si>
    <t>SUB 1</t>
  </si>
  <si>
    <t>Out 5b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</si>
  <si>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</si>
  <si>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</si>
  <si>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</si>
  <si>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</si>
  <si>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</si>
  <si>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</si>
  <si>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</si>
  <si>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</si>
  <si>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</si>
  <si>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</si>
  <si>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</si>
  <si>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</si>
  <si>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</si>
  <si>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</si>
  <si>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</si>
  <si>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</si>
  <si>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</si>
  <si>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</si>
  <si>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</si>
  <si>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</si>
  <si>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</si>
  <si>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</si>
  <si>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</si>
  <si>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</si>
  <si>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</si>
  <si>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</si>
  <si>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</si>
  <si>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</si>
  <si>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</si>
  <si>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</si>
  <si>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</si>
  <si>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</si>
  <si>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</si>
  <si>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</si>
  <si>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</si>
  <si>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</si>
  <si>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</si>
  <si>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</si>
  <si>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</si>
  <si>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</si>
  <si>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</si>
  <si>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</si>
  <si>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</si>
  <si>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</si>
  <si>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</si>
  <si>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</si>
  <si>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</si>
  <si>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</si>
  <si>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</si>
  <si>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</si>
  <si>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</si>
  <si>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</si>
  <si>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</si>
  <si>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</si>
  <si>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</si>
  <si>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</si>
  <si>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</si>
  <si>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</si>
  <si>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</si>
  <si>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</si>
  <si>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</si>
  <si>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</si>
  <si>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</si>
  <si>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</si>
  <si>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</si>
  <si>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</si>
  <si>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</si>
  <si>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</si>
  <si>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</si>
  <si>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</si>
  <si>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</si>
  <si>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</si>
  <si>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</si>
  <si>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</si>
  <si>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</si>
  <si>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</si>
  <si>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</si>
  <si>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</si>
  <si>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</si>
  <si>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</si>
  <si>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</si>
  <si>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</si>
  <si>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</si>
  <si>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</si>
  <si>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</si>
  <si>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2a</t>
  </si>
  <si>
    <t>Aux Out 2b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</si>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</sst>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159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160</v>
      </c>
      <c r="M66" s="8" t="s">
        <v>161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162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163</v>
      </c>
      <c r="M67" s="8" t="s">
        <v>161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164</v>
      </c>
      <c r="M69" s="7" t="s">
        <v>165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166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167</v>
      </c>
      <c r="F71" s="7" t="s">
        <v>17</v>
      </c>
      <c r="G71" s="7" t="s">
        <v>167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168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169</v>
      </c>
      <c r="F72" s="7" t="s">
        <v>17</v>
      </c>
      <c r="G72" s="7" t="s">
        <v>169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170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171</v>
      </c>
      <c r="F73" s="7" t="s">
        <v>17</v>
      </c>
      <c r="G73" s="7" t="s">
        <v>171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170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172</v>
      </c>
      <c r="F74" s="7" t="s">
        <v>17</v>
      </c>
      <c r="G74" s="7" t="s">
        <v>172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170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173</v>
      </c>
      <c r="F75" s="7" t="s">
        <v>17</v>
      </c>
      <c r="G75" s="7" t="s">
        <v>173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170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174</v>
      </c>
      <c r="F76" s="7" t="s">
        <v>17</v>
      </c>
      <c r="G76" s="7" t="s">
        <v>174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170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175</v>
      </c>
      <c r="F77" s="7" t="s">
        <v>17</v>
      </c>
      <c r="G77" s="7" t="s">
        <v>175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176</v>
      </c>
      <c r="F78" s="7" t="s">
        <v>17</v>
      </c>
      <c r="G78" s="7" t="s">
        <v>176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177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178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177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179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177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180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177</v>
      </c>
      <c r="B82" s="14" t="str">
        <f>IF(A82="","",VLOOKUP(A82,DB!A:B,2,0))</f>
        <v>Patch Ext. Audio</v>
      </c>
      <c r="C82" s="14"/>
      <c r="D82" s="14"/>
      <c r="E82" s="12" t="s">
        <v>181</v>
      </c>
      <c r="F82" s="7" t="s">
        <v>17</v>
      </c>
      <c r="G82" s="12" t="s">
        <v>181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182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177</v>
      </c>
      <c r="B83" s="10" t="str">
        <f>IF(A83="","",VLOOKUP(A83,DB!A:B,2,0))</f>
        <v>Patch Ext. Audio</v>
      </c>
      <c r="C83" s="10"/>
      <c r="D83" s="10"/>
      <c r="E83" s="12" t="s">
        <v>183</v>
      </c>
      <c r="F83" s="7" t="s">
        <v>17</v>
      </c>
      <c r="G83" s="12" t="s">
        <v>183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184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177</v>
      </c>
      <c r="B84" s="14" t="str">
        <f>IF(A84="","",VLOOKUP(A84,DB!A:B,2,0))</f>
        <v>Patch Ext. Audio</v>
      </c>
      <c r="C84" s="14"/>
      <c r="D84" s="14"/>
      <c r="E84" s="12" t="s">
        <v>185</v>
      </c>
      <c r="F84" s="7" t="s">
        <v>17</v>
      </c>
      <c r="G84" s="12" t="s">
        <v>185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186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177</v>
      </c>
      <c r="B85" s="7" t="str">
        <f>IF(A85="","",VLOOKUP(A85,DB!A:B,2,0))</f>
        <v>Patch Ext. Audio</v>
      </c>
      <c r="C85" s="6"/>
      <c r="D85" s="6"/>
      <c r="E85" s="12" t="s">
        <v>187</v>
      </c>
      <c r="F85" s="7" t="s">
        <v>17</v>
      </c>
      <c r="G85" s="12" t="s">
        <v>187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177</v>
      </c>
      <c r="B86" s="7" t="str">
        <f>IF(A86="","",VLOOKUP(A86,DB!A:B,2,0))</f>
        <v>Patch Ext. Audio</v>
      </c>
      <c r="C86" s="6"/>
      <c r="D86" s="6"/>
      <c r="E86" s="12" t="s">
        <v>188</v>
      </c>
      <c r="F86" s="7" t="s">
        <v>17</v>
      </c>
      <c r="G86" s="12" t="s">
        <v>188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177</v>
      </c>
      <c r="B87" s="7" t="str">
        <f>IF(A87="","",VLOOKUP(A87,DB!A:B,2,0))</f>
        <v>Patch Ext. Audio</v>
      </c>
      <c r="C87" s="6"/>
      <c r="D87" s="6"/>
      <c r="E87" s="12" t="s">
        <v>189</v>
      </c>
      <c r="F87" s="7" t="s">
        <v>17</v>
      </c>
      <c r="G87" s="12" t="s">
        <v>189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46</v>
      </c>
      <c r="F88" s="7" t="s">
        <v>17</v>
      </c>
      <c r="G88" s="7" t="s">
        <v>24</v>
      </c>
      <c r="H88" s="7" t="s">
        <v>177</v>
      </c>
      <c r="I88" s="6" t="str">
        <f>IF(H88="","",VLOOKUP(H88,DB!A:B,2,0))</f>
        <v>Patch Ext. Audio</v>
      </c>
      <c r="J88" s="6"/>
      <c r="K88" s="6"/>
      <c r="L88" s="7" t="s">
        <v>190</v>
      </c>
      <c r="M88" s="8" t="s">
        <v>191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24</v>
      </c>
      <c r="H89" s="7" t="s">
        <v>177</v>
      </c>
      <c r="I89" s="6" t="str">
        <f>IF(H89="","",VLOOKUP(H89,DB!A:B,2,0))</f>
        <v>Patch Ext. Audio</v>
      </c>
      <c r="J89" s="6"/>
      <c r="K89" s="6"/>
      <c r="L89" s="7" t="s">
        <v>192</v>
      </c>
      <c r="M89" s="8" t="s">
        <v>191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46</v>
      </c>
      <c r="F90" s="7" t="s">
        <v>17</v>
      </c>
      <c r="G90" s="7" t="s">
        <v>24</v>
      </c>
      <c r="H90" s="7" t="s">
        <v>177</v>
      </c>
      <c r="I90" s="6" t="str">
        <f>IF(H90="","",VLOOKUP(H90,DB!A:B,2,0))</f>
        <v>Patch Ext. Audio</v>
      </c>
      <c r="J90" s="6"/>
      <c r="K90" s="6"/>
      <c r="L90" s="7" t="s">
        <v>193</v>
      </c>
      <c r="M90" s="8" t="s">
        <v>191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46</v>
      </c>
      <c r="F91" s="7" t="s">
        <v>17</v>
      </c>
      <c r="G91" s="7" t="s">
        <v>24</v>
      </c>
      <c r="H91" s="7" t="s">
        <v>177</v>
      </c>
      <c r="I91" s="6" t="str">
        <f>IF(H91="","",VLOOKUP(H91,DB!A:B,2,0))</f>
        <v>Patch Ext. Audio</v>
      </c>
      <c r="J91" s="6"/>
      <c r="K91" s="6"/>
      <c r="L91" s="7" t="s">
        <v>194</v>
      </c>
      <c r="M91" s="8" t="s">
        <v>191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177</v>
      </c>
      <c r="I92" s="6" t="str">
        <f>IF(H92="","",VLOOKUP(H92,DB!A:B,2,0))</f>
        <v>Patch Ext. Audio</v>
      </c>
      <c r="J92" s="6"/>
      <c r="K92" s="6"/>
      <c r="L92" s="7" t="s">
        <v>195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177</v>
      </c>
      <c r="I93" s="6" t="str">
        <f>IF(H93="","",VLOOKUP(H93,DB!A:B,2,0))</f>
        <v>Patch Ext. Audio</v>
      </c>
      <c r="J93" s="6"/>
      <c r="K93" s="6"/>
      <c r="L93" s="7" t="s">
        <v>196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177</v>
      </c>
      <c r="I94" s="6" t="str">
        <f>IF(H94="","",VLOOKUP(H94,DB!A:B,2,0))</f>
        <v>Patch Ext. Audio</v>
      </c>
      <c r="J94" s="6"/>
      <c r="K94" s="6"/>
      <c r="L94" s="7" t="s">
        <v>197</v>
      </c>
      <c r="M94" s="8" t="s">
        <v>161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177</v>
      </c>
      <c r="I95" s="7" t="str">
        <f>IF(H95="","",VLOOKUP(H95,DB!A:B,2,0))</f>
        <v>Patch Ext. Audio</v>
      </c>
      <c r="J95" s="6"/>
      <c r="K95" s="6"/>
      <c r="L95" s="7" t="s">
        <v>198</v>
      </c>
      <c r="M95" s="8" t="s">
        <v>199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177</v>
      </c>
      <c r="I96" s="7" t="str">
        <f>IF(H96="","",VLOOKUP(H96,DB!A:B,2,0))</f>
        <v>Patch Ext. Audio</v>
      </c>
      <c r="J96" s="6"/>
      <c r="K96" s="6"/>
      <c r="L96" s="7" t="s">
        <v>200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177</v>
      </c>
      <c r="I97" s="7" t="str">
        <f>IF(H97="","",VLOOKUP(H97,DB!A:B,2,0))</f>
        <v>Patch Ext. Audio</v>
      </c>
      <c r="J97" s="6"/>
      <c r="K97" s="6"/>
      <c r="L97" s="7" t="s">
        <v>201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177</v>
      </c>
      <c r="I98" s="7" t="str">
        <f>IF(H98="","",VLOOKUP(H98,DB!A:B,2,0))</f>
        <v>Patch Ext. Audio</v>
      </c>
      <c r="J98" s="6"/>
      <c r="K98" s="6"/>
      <c r="L98" s="7" t="s">
        <v>202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177</v>
      </c>
      <c r="I99" s="7" t="str">
        <f>IF(H99="","",VLOOKUP(H99,DB!A:B,2,0))</f>
        <v>Patch Ext. Audio</v>
      </c>
      <c r="J99" s="6"/>
      <c r="K99" s="6"/>
      <c r="L99" s="7" t="s">
        <v>203</v>
      </c>
      <c r="M99" s="7" t="s">
        <v>199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177</v>
      </c>
      <c r="B100" s="7" t="str">
        <f>IF(A100="","",VLOOKUP(A100,DB!A:B,2,0))</f>
        <v>Patch Ext. Audio</v>
      </c>
      <c r="C100" s="6"/>
      <c r="D100" s="6"/>
      <c r="E100" s="7" t="s">
        <v>204</v>
      </c>
      <c r="F100" s="7" t="s">
        <v>17</v>
      </c>
      <c r="G100" s="7" t="s">
        <v>204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205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177</v>
      </c>
      <c r="B101" s="7" t="str">
        <f>IF(A101="","",VLOOKUP(A101,DB!A:B,2,0))</f>
        <v>Patch Ext. Audio</v>
      </c>
      <c r="C101" s="6"/>
      <c r="D101" s="6"/>
      <c r="E101" s="7" t="s">
        <v>206</v>
      </c>
      <c r="F101" s="7" t="s">
        <v>17</v>
      </c>
      <c r="G101" s="7" t="s">
        <v>206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207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177</v>
      </c>
      <c r="B102" s="7" t="str">
        <f>IF(A102="","",VLOOKUP(A102,DB!A:B,2,0))</f>
        <v>Patch Ext. Audio</v>
      </c>
      <c r="C102" s="6"/>
      <c r="D102" s="6"/>
      <c r="E102" s="7" t="s">
        <v>208</v>
      </c>
      <c r="F102" s="7" t="s">
        <v>17</v>
      </c>
      <c r="G102" s="7" t="s">
        <v>208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209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177</v>
      </c>
      <c r="B103" s="7" t="str">
        <f>IF(A103="","",VLOOKUP(A103,DB!A:B,2,0))</f>
        <v>Patch Ext. Audio</v>
      </c>
      <c r="C103" s="6"/>
      <c r="D103" s="6"/>
      <c r="E103" s="7" t="s">
        <v>210</v>
      </c>
      <c r="F103" s="7" t="s">
        <v>17</v>
      </c>
      <c r="G103" s="7" t="s">
        <v>210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211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177</v>
      </c>
      <c r="B104" s="7" t="str">
        <f>IF(A104="","",VLOOKUP(A104,DB!A:B,2,0))</f>
        <v>Patch Ext. Audio</v>
      </c>
      <c r="C104" s="6"/>
      <c r="D104" s="6"/>
      <c r="E104" s="7" t="s">
        <v>212</v>
      </c>
      <c r="F104" s="7" t="s">
        <v>17</v>
      </c>
      <c r="G104" s="7" t="s">
        <v>212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213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177</v>
      </c>
      <c r="B105" s="7" t="str">
        <f>IF(A105="","",VLOOKUP(A105,DB!A:B,2,0))</f>
        <v>Patch Ext. Audio</v>
      </c>
      <c r="C105" s="6"/>
      <c r="D105" s="6"/>
      <c r="E105" s="7" t="s">
        <v>214</v>
      </c>
      <c r="F105" s="7" t="s">
        <v>17</v>
      </c>
      <c r="G105" s="7" t="s">
        <v>214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215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177</v>
      </c>
      <c r="B106" s="7" t="str">
        <f>IF(A106="","",VLOOKUP(A106,DB!A:B,2,0))</f>
        <v>Patch Ext. Audio</v>
      </c>
      <c r="C106" s="6"/>
      <c r="D106" s="6"/>
      <c r="E106" s="7" t="s">
        <v>216</v>
      </c>
      <c r="F106" s="7" t="s">
        <v>17</v>
      </c>
      <c r="G106" s="7" t="s">
        <v>216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217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177</v>
      </c>
      <c r="B107" s="7" t="str">
        <f>IF(A107="","",VLOOKUP(A107,DB!A:B,2,0))</f>
        <v>Patch Ext. Audio</v>
      </c>
      <c r="C107" s="6"/>
      <c r="D107" s="6"/>
      <c r="E107" s="7" t="s">
        <v>218</v>
      </c>
      <c r="F107" s="7" t="s">
        <v>17</v>
      </c>
      <c r="G107" s="7" t="s">
        <v>218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219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177</v>
      </c>
      <c r="B108" s="7" t="str">
        <f>IF(A108="","",VLOOKUP(A108,DB!A:B,2,0))</f>
        <v>Patch Ext. Audio</v>
      </c>
      <c r="C108" s="6"/>
      <c r="D108" s="6"/>
      <c r="E108" s="7" t="s">
        <v>220</v>
      </c>
      <c r="F108" s="7" t="s">
        <v>17</v>
      </c>
      <c r="G108" s="7" t="s">
        <v>220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221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177</v>
      </c>
      <c r="B109" s="14" t="str">
        <f>IF(A109="","",VLOOKUP(A109,DB!A:B,2,0))</f>
        <v>Patch Ext. Audio</v>
      </c>
      <c r="C109" s="15"/>
      <c r="D109" s="14"/>
      <c r="E109" s="7" t="s">
        <v>222</v>
      </c>
      <c r="F109" s="7" t="s">
        <v>17</v>
      </c>
      <c r="G109" s="7" t="s">
        <v>222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223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224</v>
      </c>
      <c r="F110" s="6"/>
      <c r="G110" s="6"/>
      <c r="H110" s="7" t="s">
        <v>225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226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225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227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228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227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227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229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230</v>
      </c>
      <c r="F113" s="6"/>
      <c r="G113" s="6"/>
      <c r="H113" s="7" t="s">
        <v>231</v>
      </c>
      <c r="I113" s="6" t="str">
        <f>IF(H113="","",VLOOKUP(H113,DB!A:B,2,0))</f>
        <v>Monitor Multiview</v>
      </c>
      <c r="J113" s="6"/>
      <c r="K113" s="6"/>
      <c r="L113" s="7" t="s">
        <v>232</v>
      </c>
      <c r="M113" s="8" t="s">
        <v>233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234</v>
      </c>
      <c r="F114" s="6"/>
      <c r="G114" s="6"/>
      <c r="H114" s="7" t="s">
        <v>235</v>
      </c>
      <c r="I114" s="6" t="str">
        <f>IF(H114="","",VLOOKUP(H114,DB!A:B,2,0))</f>
        <v>Monitor Audio L</v>
      </c>
      <c r="J114" s="6"/>
      <c r="K114" s="6"/>
      <c r="L114" s="7" t="s">
        <v>236</v>
      </c>
      <c r="M114" s="8" t="s">
        <v>237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238</v>
      </c>
      <c r="F115" s="6"/>
      <c r="G115" s="6"/>
      <c r="H115" s="7" t="s">
        <v>239</v>
      </c>
      <c r="I115" s="6" t="str">
        <f>IF(H115="","",VLOOKUP(H115,DB!A:B,2,0))</f>
        <v>Monitor Audio R</v>
      </c>
      <c r="J115" s="6"/>
      <c r="K115" s="6"/>
      <c r="L115" s="7" t="s">
        <v>236</v>
      </c>
      <c r="M115" s="8" t="s">
        <v>240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241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242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243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244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245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161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246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199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247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248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249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250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251</v>
      </c>
      <c r="F124" s="6"/>
      <c r="G124" s="6"/>
      <c r="H124" s="7" t="s">
        <v>252</v>
      </c>
      <c r="I124" s="6" t="str">
        <f>IF(H124="","",VLOOKUP(H124,DB!A:B,2,0))</f>
        <v>RF</v>
      </c>
      <c r="J124" s="6"/>
      <c r="K124" s="6"/>
      <c r="L124" s="7" t="s">
        <v>236</v>
      </c>
      <c r="M124" s="8" t="s">
        <v>253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175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176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167</v>
      </c>
      <c r="M129" s="8" t="s">
        <v>168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164</v>
      </c>
      <c r="F133" s="7" t="s">
        <v>17</v>
      </c>
      <c r="G133" s="7" t="s">
        <v>164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165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169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171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172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173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174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177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178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177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179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177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180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177</v>
      </c>
      <c r="I149" s="6" t="str">
        <f>IF(H149="","",VLOOKUP(H149,DB!A:B,2,0))</f>
        <v>Patch Ext. Audio</v>
      </c>
      <c r="J149" s="6"/>
      <c r="K149" s="6"/>
      <c r="L149" s="7" t="s">
        <v>181</v>
      </c>
      <c r="M149" s="13" t="s">
        <v>182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177</v>
      </c>
      <c r="I150" s="6" t="str">
        <f>IF(H150="","",VLOOKUP(H150,DB!A:B,2,0))</f>
        <v>Patch Ext. Audio</v>
      </c>
      <c r="J150" s="6"/>
      <c r="K150" s="6"/>
      <c r="L150" s="7" t="s">
        <v>183</v>
      </c>
      <c r="M150" s="13" t="s">
        <v>184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177</v>
      </c>
      <c r="I151" s="6" t="str">
        <f>IF(H151="","",VLOOKUP(H151,DB!A:B,2,0))</f>
        <v>Patch Ext. Audio</v>
      </c>
      <c r="J151" s="6"/>
      <c r="K151" s="6"/>
      <c r="L151" s="7" t="s">
        <v>185</v>
      </c>
      <c r="M151" s="13" t="s">
        <v>186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177</v>
      </c>
      <c r="I152" s="6" t="str">
        <f>IF(H152="","",VLOOKUP(H152,DB!A:B,2,0))</f>
        <v>Patch Ext. Audio</v>
      </c>
      <c r="J152" s="6"/>
      <c r="K152" s="6"/>
      <c r="L152" s="7" t="s">
        <v>187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177</v>
      </c>
      <c r="I153" s="6" t="str">
        <f>IF(H153="","",VLOOKUP(H153,DB!A:B,2,0))</f>
        <v>Patch Ext. Audio</v>
      </c>
      <c r="J153" s="6"/>
      <c r="K153" s="6"/>
      <c r="L153" s="7" t="s">
        <v>188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177</v>
      </c>
      <c r="I154" s="6" t="str">
        <f>IF(H154="","",VLOOKUP(H154,DB!A:B,2,0))</f>
        <v>Patch Ext. Audio</v>
      </c>
      <c r="J154" s="6"/>
      <c r="K154" s="6"/>
      <c r="L154" s="7" t="s">
        <v>189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177</v>
      </c>
      <c r="B155" s="7" t="str">
        <f>IF(A155="","",VLOOKUP(A155,DB!A:B,2,0))</f>
        <v>Patch Ext. Audio</v>
      </c>
      <c r="C155" s="6"/>
      <c r="D155" s="6"/>
      <c r="E155" s="7" t="s">
        <v>190</v>
      </c>
      <c r="F155" s="7" t="s">
        <v>17</v>
      </c>
      <c r="G155" s="7" t="s">
        <v>190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191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177</v>
      </c>
      <c r="B156" s="7" t="str">
        <f>IF(A156="","",VLOOKUP(A156,DB!A:B,2,0))</f>
        <v>Patch Ext. Audio</v>
      </c>
      <c r="C156" s="6"/>
      <c r="D156" s="6"/>
      <c r="E156" s="7" t="s">
        <v>192</v>
      </c>
      <c r="F156" s="7" t="s">
        <v>17</v>
      </c>
      <c r="G156" s="7" t="s">
        <v>192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191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177</v>
      </c>
      <c r="B157" s="7" t="str">
        <f>IF(A157="","",VLOOKUP(A157,DB!A:B,2,0))</f>
        <v>Patch Ext. Audio</v>
      </c>
      <c r="C157" s="6"/>
      <c r="D157" s="6"/>
      <c r="E157" s="7" t="s">
        <v>193</v>
      </c>
      <c r="F157" s="7" t="s">
        <v>17</v>
      </c>
      <c r="G157" s="7" t="s">
        <v>193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191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177</v>
      </c>
      <c r="B158" s="7" t="str">
        <f>IF(A158="","",VLOOKUP(A158,DB!A:B,2,0))</f>
        <v>Patch Ext. Audio</v>
      </c>
      <c r="C158" s="6"/>
      <c r="D158" s="6"/>
      <c r="E158" s="7" t="s">
        <v>194</v>
      </c>
      <c r="F158" s="7" t="s">
        <v>17</v>
      </c>
      <c r="G158" s="7" t="s">
        <v>194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191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177</v>
      </c>
      <c r="B159" s="7" t="str">
        <f>IF(A159="","",VLOOKUP(A159,DB!A:B,2,0))</f>
        <v>Patch Ext. Audio</v>
      </c>
      <c r="C159" s="6"/>
      <c r="D159" s="6"/>
      <c r="E159" s="7" t="s">
        <v>195</v>
      </c>
      <c r="F159" s="7" t="s">
        <v>17</v>
      </c>
      <c r="G159" s="7" t="s">
        <v>195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177</v>
      </c>
      <c r="B160" s="7" t="str">
        <f>IF(A160="","",VLOOKUP(A160,DB!A:B,2,0))</f>
        <v>Patch Ext. Audio</v>
      </c>
      <c r="C160" s="6"/>
      <c r="D160" s="6"/>
      <c r="E160" s="7" t="s">
        <v>196</v>
      </c>
      <c r="F160" s="7" t="s">
        <v>17</v>
      </c>
      <c r="G160" s="7" t="s">
        <v>196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177</v>
      </c>
      <c r="B161" s="7" t="str">
        <f>IF(A161="","",VLOOKUP(A161,DB!A:B,2,0))</f>
        <v>Patch Ext. Audio</v>
      </c>
      <c r="C161" s="6"/>
      <c r="D161" s="6"/>
      <c r="E161" s="7" t="s">
        <v>197</v>
      </c>
      <c r="F161" s="7" t="s">
        <v>17</v>
      </c>
      <c r="G161" s="7" t="s">
        <v>197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161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177</v>
      </c>
      <c r="B162" s="7" t="str">
        <f>IF(A162="","",VLOOKUP(A162,DB!A:B,2,0))</f>
        <v>Patch Ext. Audio</v>
      </c>
      <c r="C162" s="6"/>
      <c r="D162" s="6"/>
      <c r="E162" s="7" t="s">
        <v>198</v>
      </c>
      <c r="F162" s="7" t="s">
        <v>17</v>
      </c>
      <c r="G162" s="7" t="s">
        <v>198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199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177</v>
      </c>
      <c r="B163" s="7" t="str">
        <f>IF(A163="","",VLOOKUP(A163,DB!A:B,2,0))</f>
        <v>Patch Ext. Audio</v>
      </c>
      <c r="C163" s="6"/>
      <c r="D163" s="6"/>
      <c r="E163" s="7" t="s">
        <v>200</v>
      </c>
      <c r="F163" s="7" t="s">
        <v>17</v>
      </c>
      <c r="G163" s="7" t="s">
        <v>200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177</v>
      </c>
      <c r="B164" s="7" t="str">
        <f>IF(A164="","",VLOOKUP(A164,DB!A:B,2,0))</f>
        <v>Patch Ext. Audio</v>
      </c>
      <c r="C164" s="6"/>
      <c r="D164" s="6"/>
      <c r="E164" s="7" t="s">
        <v>201</v>
      </c>
      <c r="F164" s="7" t="s">
        <v>17</v>
      </c>
      <c r="G164" s="7" t="s">
        <v>201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177</v>
      </c>
      <c r="B165" s="7" t="str">
        <f>IF(A165="","",VLOOKUP(A165,DB!A:B,2,0))</f>
        <v>Patch Ext. Audio</v>
      </c>
      <c r="C165" s="6"/>
      <c r="D165" s="6"/>
      <c r="E165" s="7" t="s">
        <v>202</v>
      </c>
      <c r="F165" s="7" t="s">
        <v>17</v>
      </c>
      <c r="G165" s="7" t="s">
        <v>202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177</v>
      </c>
      <c r="B166" s="7" t="str">
        <f>IF(A166="","",VLOOKUP(A166,DB!A:B,2,0))</f>
        <v>Patch Ext. Audio</v>
      </c>
      <c r="C166" s="6"/>
      <c r="D166" s="6"/>
      <c r="E166" s="7" t="s">
        <v>203</v>
      </c>
      <c r="F166" s="7" t="s">
        <v>17</v>
      </c>
      <c r="G166" s="7" t="s">
        <v>203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199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177</v>
      </c>
      <c r="I167" s="6" t="str">
        <f>IF(H167="","",VLOOKUP(H167,DB!A:B,2,0))</f>
        <v>Patch Ext. Audio</v>
      </c>
      <c r="J167" s="6"/>
      <c r="K167" s="6"/>
      <c r="L167" s="7" t="s">
        <v>204</v>
      </c>
      <c r="M167" s="7" t="s">
        <v>205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177</v>
      </c>
      <c r="I168" s="6" t="str">
        <f>IF(H168="","",VLOOKUP(H168,DB!A:B,2,0))</f>
        <v>Patch Ext. Audio</v>
      </c>
      <c r="J168" s="6"/>
      <c r="K168" s="6"/>
      <c r="L168" s="7" t="s">
        <v>206</v>
      </c>
      <c r="M168" s="7" t="s">
        <v>207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177</v>
      </c>
      <c r="I169" s="6" t="str">
        <f>IF(H169="","",VLOOKUP(H169,DB!A:B,2,0))</f>
        <v>Patch Ext. Audio</v>
      </c>
      <c r="J169" s="6"/>
      <c r="K169" s="6"/>
      <c r="L169" s="7" t="s">
        <v>208</v>
      </c>
      <c r="M169" s="7" t="s">
        <v>209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177</v>
      </c>
      <c r="I170" s="6" t="str">
        <f>IF(H170="","",VLOOKUP(H170,DB!A:B,2,0))</f>
        <v>Patch Ext. Audio</v>
      </c>
      <c r="J170" s="6"/>
      <c r="K170" s="6"/>
      <c r="L170" s="7" t="s">
        <v>210</v>
      </c>
      <c r="M170" s="7" t="s">
        <v>211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177</v>
      </c>
      <c r="I171" s="6" t="str">
        <f>IF(H171="","",VLOOKUP(H171,DB!A:B,2,0))</f>
        <v>Patch Ext. Audio</v>
      </c>
      <c r="J171" s="6"/>
      <c r="K171" s="6"/>
      <c r="L171" s="7" t="s">
        <v>212</v>
      </c>
      <c r="M171" s="7" t="s">
        <v>213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177</v>
      </c>
      <c r="I172" s="6" t="str">
        <f>IF(H172="","",VLOOKUP(H172,DB!A:B,2,0))</f>
        <v>Patch Ext. Audio</v>
      </c>
      <c r="J172" s="6"/>
      <c r="K172" s="6"/>
      <c r="L172" s="7" t="s">
        <v>214</v>
      </c>
      <c r="M172" s="7" t="s">
        <v>215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177</v>
      </c>
      <c r="I173" s="6" t="str">
        <f>IF(H173="","",VLOOKUP(H173,DB!A:B,2,0))</f>
        <v>Patch Ext. Audio</v>
      </c>
      <c r="J173" s="6"/>
      <c r="K173" s="6"/>
      <c r="L173" s="7" t="s">
        <v>216</v>
      </c>
      <c r="M173" s="7" t="s">
        <v>217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177</v>
      </c>
      <c r="I174" s="6" t="str">
        <f>IF(H174="","",VLOOKUP(H174,DB!A:B,2,0))</f>
        <v>Patch Ext. Audio</v>
      </c>
      <c r="J174" s="6"/>
      <c r="K174" s="6"/>
      <c r="L174" s="7" t="s">
        <v>218</v>
      </c>
      <c r="M174" s="7" t="s">
        <v>219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177</v>
      </c>
      <c r="I175" s="6" t="str">
        <f>IF(H175="","",VLOOKUP(H175,DB!A:B,2,0))</f>
        <v>Patch Ext. Audio</v>
      </c>
      <c r="J175" s="6"/>
      <c r="K175" s="6"/>
      <c r="L175" s="7" t="s">
        <v>220</v>
      </c>
      <c r="M175" s="7" t="s">
        <v>221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177</v>
      </c>
      <c r="I176" s="6" t="str">
        <f>IF(H176="","",VLOOKUP(H176,DB!A:B,2,0))</f>
        <v>Patch Ext. Audio</v>
      </c>
      <c r="J176" s="6"/>
      <c r="K176" s="6"/>
      <c r="L176" s="7" t="s">
        <v>222</v>
      </c>
      <c r="M176" s="16" t="s">
        <v>223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254</v>
      </c>
      <c r="B1" s="18" t="s">
        <v>255</v>
      </c>
      <c r="C1" s="19" t="s">
        <v>256</v>
      </c>
      <c r="D1" s="20" t="s">
        <v>257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258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259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260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261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262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263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264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265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252</v>
      </c>
      <c r="B13" s="12" t="s">
        <v>253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266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267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268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266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269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270</v>
      </c>
      <c r="B19" s="7" t="s">
        <v>271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272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235</v>
      </c>
      <c r="B22" s="23" t="s">
        <v>273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274</v>
      </c>
      <c r="B23" s="10" t="s">
        <v>275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276</v>
      </c>
      <c r="B24" s="16" t="s">
        <v>277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225</v>
      </c>
      <c r="B25" s="12" t="s">
        <v>278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227</v>
      </c>
      <c r="B26" s="16" t="s">
        <v>269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279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231</v>
      </c>
      <c r="B28" s="14" t="s">
        <v>280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239</v>
      </c>
      <c r="B29" s="10" t="s">
        <v>281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282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177</v>
      </c>
      <c r="B32" s="12" t="s">
        <v>283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284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285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286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7">
        <v>8.0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IFERROR(__xludf.DUMMYFUNCTION("""COMPUTED_VALUE"""),8.0)</f>
        <v>8</v>
      </c>
      <c r="D3" s="6" t="str">
        <f>IFERROR(__xludf.DUMMYFUNCTION("""COMPUTED_VALUE"""),"Audio Dist.")</f>
        <v>Audio Dist.</v>
      </c>
      <c r="E3" s="6" t="str">
        <f>IFERROR(__xludf.DUMMYFUNCTION("""COMPUTED_VALUE"""),"Out 5a")</f>
        <v>Out 5a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IFERROR(__xludf.DUMMYFUNCTION("""COMPUTED_VALUE"""),"C.5")</f>
        <v>C.5</v>
      </c>
      <c r="I3" s="6" t="str">
        <f>IFERROR(__xludf.DUMMYFUNCTION("""COMPUTED_VALUE"""),"Miranda Densite3")</f>
        <v>Miranda Densite3</v>
      </c>
      <c r="J3" s="6">
        <f>IFERROR(__xludf.DUMMYFUNCTION("""COMPUTED_VALUE"""),1.0)</f>
        <v>1</v>
      </c>
      <c r="K3" s="6" t="str">
        <f>IFERROR(__xludf.DUMMYFUNCTION("""COMPUTED_VALUE"""),"Embedder")</f>
        <v>Embedder</v>
      </c>
      <c r="L3" s="6" t="str">
        <f>IFERROR(__xludf.DUMMYFUNCTION("""COMPUTED_VALUE"""),"Audio In 3")</f>
        <v>Audio In 3</v>
      </c>
      <c r="M3" s="9" t="str">
        <f>IFERROR(__xludf.DUMMYFUNCTION("""COMPUTED_VALUE"""),"SUB 1")</f>
        <v>SUB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IFERROR(__xludf.DUMMYFUNCTION("""COMPUTED_VALUE"""),8.0)</f>
        <v>8</v>
      </c>
      <c r="D4" s="6" t="str">
        <f>IFERROR(__xludf.DUMMYFUNCTION("""COMPUTED_VALUE"""),"Audio Dist.")</f>
        <v>Audio Dist.</v>
      </c>
      <c r="E4" s="6" t="str">
        <f>IFERROR(__xludf.DUMMYFUNCTION("""COMPUTED_VALUE"""),"Out 5b")</f>
        <v>Out 5b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IFERROR(__xludf.DUMMYFUNCTION("""COMPUTED_VALUE"""),"C.5")</f>
        <v>C.5</v>
      </c>
      <c r="I4" s="6" t="str">
        <f>IFERROR(__xludf.DUMMYFUNCTION("""COMPUTED_VALUE"""),"Miranda Densite3")</f>
        <v>Miranda Densite3</v>
      </c>
      <c r="J4" s="6">
        <f>IFERROR(__xludf.DUMMYFUNCTION("""COMPUTED_VALUE"""),1.0)</f>
        <v>1</v>
      </c>
      <c r="K4" s="6" t="str">
        <f>IFERROR(__xludf.DUMMYFUNCTION("""COMPUTED_VALUE"""),"Embedder")</f>
        <v>Embedder</v>
      </c>
      <c r="L4" s="6" t="str">
        <f>IFERROR(__xludf.DUMMYFUNCTION("""COMPUTED_VALUE"""),"Audio In 4")</f>
        <v>Audio In 4</v>
      </c>
      <c r="M4" s="9" t="str">
        <f>IFERROR(__xludf.DUMMYFUNCTION("""COMPUTED_VALUE"""),"SUB 1")</f>
        <v>SUB 1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IFERROR(__xludf.DUMMYFUNCTION("""COMPUTED_VALUE"""),8.0)</f>
        <v>8</v>
      </c>
      <c r="D5" s="6" t="str">
        <f>IFERROR(__xludf.DUMMYFUNCTION("""COMPUTED_VALUE"""),"Audio Dist.")</f>
        <v>Audio Dist.</v>
      </c>
      <c r="E5" s="6" t="str">
        <f>IFERROR(__xludf.DUMMYFUNCTION("""COMPUTED_VALUE"""),"Out 6")</f>
        <v>Out 6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IFERROR(__xludf.DUMMYFUNCTION("""COMPUTED_VALUE"""),"A19")</f>
        <v>A19</v>
      </c>
      <c r="M5" s="9" t="str">
        <f>IFERROR(__xludf.DUMMYFUNCTION("""COMPUTED_VALUE"""),"SUB 1")</f>
        <v>SUB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IFERROR(__xludf.DUMMYFUNCTION("""COMPUTED_VALUE"""),8.0)</f>
        <v>8</v>
      </c>
      <c r="D6" s="6" t="str">
        <f>IFERROR(__xludf.DUMMYFUNCTION("""COMPUTED_VALUE"""),"Audio Dist.")</f>
        <v>Audio Dist.</v>
      </c>
      <c r="E6" s="6" t="str">
        <f>IFERROR(__xludf.DUMMYFUNCTION("""COMPUTED_VALUE"""),"Out 1")</f>
        <v>Out 1</v>
      </c>
      <c r="F6" s="6" t="str">
        <f>IFERROR(__xludf.DUMMYFUNCTION("""COMPUTED_VALUE"""),"T")</f>
        <v>T</v>
      </c>
      <c r="G6" s="6" t="str">
        <f>IFERROR(__xludf.DUMMYFUNCTION("""COMPUTED_VALUE"""),"In 1")</f>
        <v>In 1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IFERROR(__xludf.DUMMYFUNCTION("""COMPUTED_VALUE"""),"A20")</f>
        <v>A20</v>
      </c>
      <c r="M6" s="9" t="str">
        <f>IFERROR(__xludf.DUMMYFUNCTION("""COMPUTED_VALUE"""),"SUB 3")</f>
        <v>SUB 3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IFERROR(__xludf.DUMMYFUNCTION("""COMPUTED_VALUE"""),"C.5")</f>
        <v>C.5</v>
      </c>
      <c r="B7" s="6" t="str">
        <f>IFERROR(__xludf.DUMMYFUNCTION("""COMPUTED_VALUE"""),"Miranda Densite3")</f>
        <v>Miranda Densite3</v>
      </c>
      <c r="C7" s="6">
        <f>IFERROR(__xludf.DUMMYFUNCTION("""COMPUTED_VALUE"""),8.0)</f>
        <v>8</v>
      </c>
      <c r="D7" s="6" t="str">
        <f>IFERROR(__xludf.DUMMYFUNCTION("""COMPUTED_VALUE"""),"Audio Dist.")</f>
        <v>Audio Dist.</v>
      </c>
      <c r="E7" s="6" t="str">
        <f>IFERROR(__xludf.DUMMYFUNCTION("""COMPUTED_VALUE"""),"Out 2")</f>
        <v>Out 2</v>
      </c>
      <c r="F7" s="6" t="str">
        <f>IFERROR(__xludf.DUMMYFUNCTION("""COMPUTED_VALUE"""),"T")</f>
        <v>T</v>
      </c>
      <c r="G7" s="6" t="str">
        <f>IFERROR(__xludf.DUMMYFUNCTION("""COMPUTED_VALUE"""),"In 1")</f>
        <v>In 1</v>
      </c>
      <c r="H7" s="6" t="str">
        <f>IFERROR(__xludf.DUMMYFUNCTION("""COMPUTED_VALUE"""),"Ext.2")</f>
        <v>Ext.2</v>
      </c>
      <c r="I7" s="6" t="str">
        <f>IFERROR(__xludf.DUMMYFUNCTION("""COMPUTED_VALUE"""),"Patch Ext. Audio")</f>
        <v>Patch Ext. Audio</v>
      </c>
      <c r="J7" s="6"/>
      <c r="K7" s="6"/>
      <c r="L7" s="6" t="str">
        <f>IFERROR(__xludf.DUMMYFUNCTION("""COMPUTED_VALUE"""),"A24")</f>
        <v>A24</v>
      </c>
      <c r="M7" s="6" t="str">
        <f>IFERROR(__xludf.DUMMYFUNCTION("""COMPUTED_VALUE"""),"SUB 3")</f>
        <v>SUB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