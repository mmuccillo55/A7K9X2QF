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exiones" sheetId="1" r:id="rId5"/>
    <sheet state="visible" name="DB" sheetId="2" r:id="rId6"/>
    <sheet state="visible" name="Consulta" sheetId="3" r:id="rId7"/>
  </sheets>
  <definedNames/>
  <calcPr/>
</workbook>
</file>

<file path=xl/sharedStrings.xml><?xml version="1.0" encoding="utf-8"?>
<sst xmlns="http://schemas.openxmlformats.org/spreadsheetml/2006/main" count="272" uniqueCount="158">
  <si>
    <t>Rack (Origen)</t>
  </si>
  <si>
    <t>Equipo (Origen)</t>
  </si>
  <si>
    <t>Slot (Origen)</t>
  </si>
  <si>
    <t>Placa (Origen)</t>
  </si>
  <si>
    <t>Puerto (Origen)</t>
  </si>
  <si>
    <t>Thru</t>
  </si>
  <si>
    <t>Puerto Thru</t>
  </si>
  <si>
    <t>Rack (Destino)</t>
  </si>
  <si>
    <t>Equipo (Destino)</t>
  </si>
  <si>
    <t>Slot (Destino)</t>
  </si>
  <si>
    <t>Placa (Destino)</t>
  </si>
  <si>
    <t>Puerto (Destino)</t>
  </si>
  <si>
    <t>Rótulo</t>
  </si>
  <si>
    <t>Notas</t>
  </si>
  <si>
    <t>Disp. Ext.</t>
  </si>
  <si>
    <t>C.2</t>
  </si>
  <si>
    <t>SDI Out 1</t>
  </si>
  <si>
    <t>B.2</t>
  </si>
  <si>
    <t>SDI In 5</t>
  </si>
  <si>
    <t>SDI Out 2</t>
  </si>
  <si>
    <t>B.1</t>
  </si>
  <si>
    <t>In 1</t>
  </si>
  <si>
    <t>C.3</t>
  </si>
  <si>
    <t>SDI In 6</t>
  </si>
  <si>
    <t>In 2</t>
  </si>
  <si>
    <t>Out 1</t>
  </si>
  <si>
    <t>T</t>
  </si>
  <si>
    <t>B.8</t>
  </si>
  <si>
    <t>DeckLink</t>
  </si>
  <si>
    <t>P1</t>
  </si>
  <si>
    <t>Out 2</t>
  </si>
  <si>
    <t>P2</t>
  </si>
  <si>
    <t>Out 3</t>
  </si>
  <si>
    <t>In 3</t>
  </si>
  <si>
    <t>P3</t>
  </si>
  <si>
    <t>Out 4</t>
  </si>
  <si>
    <t>In 4</t>
  </si>
  <si>
    <t>P4</t>
  </si>
  <si>
    <t>B.3</t>
  </si>
  <si>
    <t>SDI In 2</t>
  </si>
  <si>
    <t>B.4</t>
  </si>
  <si>
    <t>SDI In 3</t>
  </si>
  <si>
    <t>B.5</t>
  </si>
  <si>
    <t>In 5</t>
  </si>
  <si>
    <t>SDI In 4</t>
  </si>
  <si>
    <t>Out 6</t>
  </si>
  <si>
    <t>In 6</t>
  </si>
  <si>
    <t>In 7</t>
  </si>
  <si>
    <t>Out 7</t>
  </si>
  <si>
    <t>In 8</t>
  </si>
  <si>
    <t>Out 8</t>
  </si>
  <si>
    <t>In 9</t>
  </si>
  <si>
    <t>Out 9</t>
  </si>
  <si>
    <t>In 10</t>
  </si>
  <si>
    <t>Ext.Patch</t>
  </si>
  <si>
    <t>SDI 7</t>
  </si>
  <si>
    <t>SDI 8</t>
  </si>
  <si>
    <t>SDI 9</t>
  </si>
  <si>
    <t>SDI 10</t>
  </si>
  <si>
    <t>Aux 1</t>
  </si>
  <si>
    <t>Aux 2</t>
  </si>
  <si>
    <t>In 11</t>
  </si>
  <si>
    <t>Aux 3</t>
  </si>
  <si>
    <t>In 12</t>
  </si>
  <si>
    <t>Out 15</t>
  </si>
  <si>
    <t>B.9</t>
  </si>
  <si>
    <t>Patch Cable Externo</t>
  </si>
  <si>
    <t>Out 13</t>
  </si>
  <si>
    <t>In 13</t>
  </si>
  <si>
    <t>Trunk In</t>
  </si>
  <si>
    <t>Out 14</t>
  </si>
  <si>
    <t>In 14</t>
  </si>
  <si>
    <t>C.1</t>
  </si>
  <si>
    <t>Dist. Amp. 2x4</t>
  </si>
  <si>
    <t>A1</t>
  </si>
  <si>
    <t>SDI In A</t>
  </si>
  <si>
    <t>HD-QTV In</t>
  </si>
  <si>
    <t>B1</t>
  </si>
  <si>
    <t>SDI In B</t>
  </si>
  <si>
    <t>Rack</t>
  </si>
  <si>
    <t>Equipo</t>
  </si>
  <si>
    <t>IP</t>
  </si>
  <si>
    <t>Puerto</t>
  </si>
  <si>
    <t>A.1</t>
  </si>
  <si>
    <t>Monitor PC CGX</t>
  </si>
  <si>
    <t>Patch panel</t>
  </si>
  <si>
    <t>ATEM 1 Production Studio</t>
  </si>
  <si>
    <t>Telecast CopperHead ProHD 1</t>
  </si>
  <si>
    <t>Telecast CopperHead ProHD 2</t>
  </si>
  <si>
    <t>Telecast CopperHead ProHD 3</t>
  </si>
  <si>
    <t>B.6</t>
  </si>
  <si>
    <t>Blackmagic HyperDeck Studio Pro</t>
  </si>
  <si>
    <t>B.7</t>
  </si>
  <si>
    <t>Blackmagic SmartView Duo</t>
  </si>
  <si>
    <t>PC Player</t>
  </si>
  <si>
    <t>PC CGX</t>
  </si>
  <si>
    <t>Miranda Densite3</t>
  </si>
  <si>
    <t>Ikegami BS-80 4</t>
  </si>
  <si>
    <t>Ikegami BS-80 5</t>
  </si>
  <si>
    <t>C.4</t>
  </si>
  <si>
    <t>C.5</t>
  </si>
  <si>
    <t>Modulador FM</t>
  </si>
  <si>
    <t>C.6</t>
  </si>
  <si>
    <t>PC Audio</t>
  </si>
  <si>
    <t>D.1</t>
  </si>
  <si>
    <t>Yamaha MG166</t>
  </si>
  <si>
    <t>D.2</t>
  </si>
  <si>
    <t>Monitor PC Audio</t>
  </si>
  <si>
    <t>D.3</t>
  </si>
  <si>
    <t>Monitor Audio L</t>
  </si>
  <si>
    <t>D.4</t>
  </si>
  <si>
    <t>Mixer Intercom</t>
  </si>
  <si>
    <t>D.5</t>
  </si>
  <si>
    <t>ATEM 1 Broadcast Panel</t>
  </si>
  <si>
    <t>D.6</t>
  </si>
  <si>
    <t>Blackmagic SmartView HD</t>
  </si>
  <si>
    <t>D.7</t>
  </si>
  <si>
    <t>Blackmagic SmartScope Duo</t>
  </si>
  <si>
    <t>D.8</t>
  </si>
  <si>
    <t>Monitor Aire</t>
  </si>
  <si>
    <t>D.9</t>
  </si>
  <si>
    <t>Monitor Multiview</t>
  </si>
  <si>
    <t>D.10</t>
  </si>
  <si>
    <t>Remoto CCU 1</t>
  </si>
  <si>
    <t>D.11</t>
  </si>
  <si>
    <t>Remoto CCU 2</t>
  </si>
  <si>
    <t>D.12</t>
  </si>
  <si>
    <t>Remoto CCU 3</t>
  </si>
  <si>
    <t>D.13</t>
  </si>
  <si>
    <t>Remoto CCU 4</t>
  </si>
  <si>
    <t>D.14</t>
  </si>
  <si>
    <t>Remoto CCU 5</t>
  </si>
  <si>
    <t>D.15</t>
  </si>
  <si>
    <t>Monitor PC Player</t>
  </si>
  <si>
    <t>D.16</t>
  </si>
  <si>
    <t>Monitor Audio R</t>
  </si>
  <si>
    <t>Patchera Externa</t>
  </si>
  <si>
    <t>P.1</t>
  </si>
  <si>
    <t>P.2</t>
  </si>
  <si>
    <t>P.3</t>
  </si>
  <si>
    <t>P.4</t>
  </si>
  <si>
    <t>P.5</t>
  </si>
  <si>
    <t>P.6</t>
  </si>
  <si>
    <t>P.7</t>
  </si>
  <si>
    <t>P.8</t>
  </si>
  <si>
    <t>P.9</t>
  </si>
  <si>
    <t>P.10</t>
  </si>
  <si>
    <t>P.11</t>
  </si>
  <si>
    <t>P.12</t>
  </si>
  <si>
    <t>P.13</t>
  </si>
  <si>
    <t>P.14</t>
  </si>
  <si>
    <t>P.15</t>
  </si>
  <si>
    <t>P.16</t>
  </si>
  <si>
    <t>VACANTE</t>
  </si>
  <si>
    <t>N/D</t>
  </si>
  <si>
    <t>N/C</t>
  </si>
  <si>
    <t>Ordenar por Columna:</t>
  </si>
  <si>
    <t>b.1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</si>
</sst>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ill="1" applyFont="1">
      <alignment vertical="bottom"/>
    </xf>
    <xf borderId="0" fillId="8" fontId="1" numFmtId="0" xfId="0" applyFill="1" applyFont="1"/>
    <xf borderId="0" fillId="2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2" numFmtId="49" xfId="0" applyAlignment="1" applyFont="1" applyNumberFormat="1">
      <alignment vertical="bottom"/>
    </xf>
    <xf borderId="0" fillId="9" fontId="1" numFmtId="0" xfId="0" applyAlignment="1" applyFill="1" applyFont="1">
      <alignment readingOrder="0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6" fontId="2" numFmtId="0" xfId="0" applyAlignment="1" applyFont="1">
      <alignment vertical="bottom"/>
    </xf>
    <xf borderId="0" fillId="10" fontId="2" numFmtId="0" xfId="0" applyAlignment="1" applyFill="1" applyFont="1">
      <alignment vertical="bottom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4.75"/>
    <col customWidth="1" min="3" max="3" width="10.5"/>
    <col customWidth="1" min="4" max="4" width="14.38"/>
    <col customWidth="1" min="5" max="5" width="12.75"/>
    <col customWidth="1" min="6" max="6" width="4.38"/>
    <col customWidth="1" min="7" max="7" width="9.75"/>
    <col customWidth="1" min="8" max="8" width="12.0"/>
    <col customWidth="1" min="9" max="9" width="22.63"/>
    <col customWidth="1" min="10" max="10" width="11.13"/>
    <col customWidth="1" min="11" max="11" width="14.38"/>
    <col customWidth="1" min="12" max="12" width="13.13"/>
    <col customWidth="1" min="13" max="13" width="16.13"/>
    <col customWidth="1" min="14" max="14" width="36.25"/>
    <col customWidth="1" min="15" max="15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 t="s">
        <v>15</v>
      </c>
      <c r="B2" s="6" t="str">
        <f>IF(A2="","",VLOOKUP(A2,DB!A:B,2,0))</f>
        <v>Ikegami BS-80 4</v>
      </c>
      <c r="C2" s="5"/>
      <c r="D2" s="5"/>
      <c r="E2" s="6" t="s">
        <v>16</v>
      </c>
      <c r="F2" s="5"/>
      <c r="G2" s="5"/>
      <c r="H2" s="6" t="s">
        <v>17</v>
      </c>
      <c r="I2" s="5" t="str">
        <f>IF(H2="","",VLOOKUP(H2,DB!A:B,2,0))</f>
        <v>ATEM 1 Production Studio</v>
      </c>
      <c r="J2" s="5"/>
      <c r="K2" s="5"/>
      <c r="L2" s="6" t="s">
        <v>18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6" t="s">
        <v>15</v>
      </c>
      <c r="B3" s="6" t="str">
        <f>IF(A3="","",VLOOKUP(A3,DB!A:B,2,0))</f>
        <v>Ikegami BS-80 4</v>
      </c>
      <c r="C3" s="5"/>
      <c r="D3" s="5"/>
      <c r="E3" s="6" t="s">
        <v>19</v>
      </c>
      <c r="F3" s="5"/>
      <c r="G3" s="5"/>
      <c r="H3" s="6" t="s">
        <v>20</v>
      </c>
      <c r="I3" s="5" t="str">
        <f>IF(H3="","",VLOOKUP(H3,DB!A:B,2,0))</f>
        <v>Patch panel</v>
      </c>
      <c r="J3" s="5"/>
      <c r="K3" s="5"/>
      <c r="L3" s="6" t="s">
        <v>21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6" t="s">
        <v>22</v>
      </c>
      <c r="B4" s="6" t="str">
        <f>IF(A4="","",VLOOKUP(A4,DB!A:B,2,0))</f>
        <v>Ikegami BS-80 5</v>
      </c>
      <c r="C4" s="5"/>
      <c r="D4" s="5"/>
      <c r="E4" s="6" t="s">
        <v>16</v>
      </c>
      <c r="F4" s="5"/>
      <c r="G4" s="5"/>
      <c r="H4" s="6" t="s">
        <v>17</v>
      </c>
      <c r="I4" s="5" t="str">
        <f>IF(H4="","",VLOOKUP(H4,DB!A:B,2,0))</f>
        <v>ATEM 1 Production Studio</v>
      </c>
      <c r="J4" s="5"/>
      <c r="K4" s="5"/>
      <c r="L4" s="6" t="s">
        <v>23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" t="s">
        <v>22</v>
      </c>
      <c r="B5" s="6" t="str">
        <f>IF(A5="","",VLOOKUP(A5,DB!A:B,2,0))</f>
        <v>Ikegami BS-80 5</v>
      </c>
      <c r="C5" s="5"/>
      <c r="D5" s="5"/>
      <c r="E5" s="6" t="s">
        <v>19</v>
      </c>
      <c r="F5" s="5"/>
      <c r="G5" s="5"/>
      <c r="H5" s="6" t="s">
        <v>20</v>
      </c>
      <c r="I5" s="5" t="str">
        <f>IF(H5="","",VLOOKUP(H5,DB!A:B,2,0))</f>
        <v>Patch panel</v>
      </c>
      <c r="J5" s="5"/>
      <c r="K5" s="5"/>
      <c r="L5" s="6" t="s">
        <v>24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6" t="s">
        <v>20</v>
      </c>
      <c r="B6" s="6" t="str">
        <f>IF(A6="","",VLOOKUP(A6,DB!A:B,2,0))</f>
        <v>Patch panel</v>
      </c>
      <c r="C6" s="5"/>
      <c r="D6" s="5"/>
      <c r="E6" s="6" t="s">
        <v>25</v>
      </c>
      <c r="F6" s="6" t="s">
        <v>26</v>
      </c>
      <c r="G6" s="6" t="s">
        <v>21</v>
      </c>
      <c r="H6" s="6" t="s">
        <v>27</v>
      </c>
      <c r="I6" s="5" t="str">
        <f>IF(H6="","",VLOOKUP(H6,DB!A:B,2,0))</f>
        <v>PC Player</v>
      </c>
      <c r="J6" s="6">
        <v>1.0</v>
      </c>
      <c r="K6" s="6" t="s">
        <v>28</v>
      </c>
      <c r="L6" s="6" t="s">
        <v>29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6" t="s">
        <v>20</v>
      </c>
      <c r="B7" s="6" t="str">
        <f>IF(A7="","",VLOOKUP(A7,DB!A:B,2,0))</f>
        <v>Patch panel</v>
      </c>
      <c r="C7" s="5"/>
      <c r="D7" s="5"/>
      <c r="E7" s="6" t="s">
        <v>30</v>
      </c>
      <c r="F7" s="6" t="s">
        <v>26</v>
      </c>
      <c r="G7" s="6" t="s">
        <v>24</v>
      </c>
      <c r="H7" s="6" t="s">
        <v>27</v>
      </c>
      <c r="I7" s="5" t="str">
        <f>IF(H7="","",VLOOKUP(H7,DB!A:B,2,0))</f>
        <v>PC Player</v>
      </c>
      <c r="J7" s="6">
        <v>1.0</v>
      </c>
      <c r="K7" s="6" t="s">
        <v>28</v>
      </c>
      <c r="L7" s="6" t="s">
        <v>31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6" t="s">
        <v>20</v>
      </c>
      <c r="B8" s="6" t="str">
        <f>IF(A8="","",VLOOKUP(A8,DB!A:B,2,0))</f>
        <v>Patch panel</v>
      </c>
      <c r="C8" s="5"/>
      <c r="D8" s="5"/>
      <c r="E8" s="6" t="s">
        <v>32</v>
      </c>
      <c r="F8" s="6" t="s">
        <v>26</v>
      </c>
      <c r="G8" s="6" t="s">
        <v>33</v>
      </c>
      <c r="H8" s="6" t="s">
        <v>27</v>
      </c>
      <c r="I8" s="5" t="str">
        <f>IF(H8="","",VLOOKUP(H8,DB!A:B,2,0))</f>
        <v>PC Player</v>
      </c>
      <c r="J8" s="6">
        <v>1.0</v>
      </c>
      <c r="K8" s="6" t="s">
        <v>28</v>
      </c>
      <c r="L8" s="6" t="s">
        <v>34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6" t="s">
        <v>20</v>
      </c>
      <c r="B9" s="6" t="str">
        <f>IF(A9="","",VLOOKUP(A9,DB!A:B,2,0))</f>
        <v>Patch panel</v>
      </c>
      <c r="C9" s="5"/>
      <c r="D9" s="5"/>
      <c r="E9" s="6" t="s">
        <v>35</v>
      </c>
      <c r="F9" s="6" t="s">
        <v>26</v>
      </c>
      <c r="G9" s="6" t="s">
        <v>36</v>
      </c>
      <c r="H9" s="6" t="s">
        <v>27</v>
      </c>
      <c r="I9" s="5" t="str">
        <f>IF(H9="","",VLOOKUP(H9,DB!A:B,2,0))</f>
        <v>PC Player</v>
      </c>
      <c r="J9" s="6">
        <v>1.0</v>
      </c>
      <c r="K9" s="6" t="s">
        <v>28</v>
      </c>
      <c r="L9" s="6" t="s">
        <v>37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6" t="s">
        <v>38</v>
      </c>
      <c r="B10" s="6" t="str">
        <f>IF(A10="","",VLOOKUP(A10,DB!A:B,2,0))</f>
        <v>Telecast CopperHead ProHD 1</v>
      </c>
      <c r="C10" s="5"/>
      <c r="D10" s="5"/>
      <c r="E10" s="6" t="s">
        <v>16</v>
      </c>
      <c r="F10" s="5"/>
      <c r="G10" s="5"/>
      <c r="H10" s="6" t="s">
        <v>20</v>
      </c>
      <c r="I10" s="5" t="str">
        <f>IF(H10="","",VLOOKUP(H10,DB!A:B,2,0))</f>
        <v>Patch panel</v>
      </c>
      <c r="J10" s="5"/>
      <c r="K10" s="5"/>
      <c r="L10" s="6" t="s">
        <v>33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6" t="s">
        <v>38</v>
      </c>
      <c r="B11" s="6" t="str">
        <f>IF(A11="","",VLOOKUP(A11,DB!A:B,2,0))</f>
        <v>Telecast CopperHead ProHD 1</v>
      </c>
      <c r="C11" s="5"/>
      <c r="D11" s="5"/>
      <c r="E11" s="6" t="s">
        <v>19</v>
      </c>
      <c r="F11" s="5"/>
      <c r="G11" s="5"/>
      <c r="H11" s="6" t="s">
        <v>17</v>
      </c>
      <c r="I11" s="5" t="str">
        <f>IF(H11="","",VLOOKUP(H11,DB!A:B,2,0))</f>
        <v>ATEM 1 Production Studio</v>
      </c>
      <c r="J11" s="5"/>
      <c r="K11" s="5"/>
      <c r="L11" s="6" t="s">
        <v>39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6" t="s">
        <v>40</v>
      </c>
      <c r="B12" s="6" t="str">
        <f>IF(A12="","",VLOOKUP(A12,DB!A:B,2,0))</f>
        <v>Telecast CopperHead ProHD 2</v>
      </c>
      <c r="C12" s="5"/>
      <c r="D12" s="5"/>
      <c r="E12" s="6" t="s">
        <v>16</v>
      </c>
      <c r="F12" s="5"/>
      <c r="G12" s="5"/>
      <c r="H12" s="6" t="s">
        <v>20</v>
      </c>
      <c r="I12" s="5" t="str">
        <f>IF(H12="","",VLOOKUP(H12,DB!A:B,2,0))</f>
        <v>Patch panel</v>
      </c>
      <c r="J12" s="5"/>
      <c r="K12" s="5"/>
      <c r="L12" s="6" t="s">
        <v>36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6" t="s">
        <v>40</v>
      </c>
      <c r="B13" s="6" t="str">
        <f>IF(A13="","",VLOOKUP(A13,DB!A:B,2,0))</f>
        <v>Telecast CopperHead ProHD 2</v>
      </c>
      <c r="C13" s="5"/>
      <c r="D13" s="5"/>
      <c r="E13" s="6" t="s">
        <v>19</v>
      </c>
      <c r="F13" s="5"/>
      <c r="G13" s="5"/>
      <c r="H13" s="6" t="s">
        <v>17</v>
      </c>
      <c r="I13" s="5" t="str">
        <f>IF(H13="","",VLOOKUP(H13,DB!A:B,2,0))</f>
        <v>ATEM 1 Production Studio</v>
      </c>
      <c r="J13" s="5"/>
      <c r="K13" s="5"/>
      <c r="L13" s="6" t="s">
        <v>41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6" t="s">
        <v>42</v>
      </c>
      <c r="B14" s="6" t="str">
        <f>IF(A14="","",VLOOKUP(A14,DB!A:B,2,0))</f>
        <v>Telecast CopperHead ProHD 3</v>
      </c>
      <c r="C14" s="5"/>
      <c r="D14" s="5"/>
      <c r="E14" s="6" t="s">
        <v>16</v>
      </c>
      <c r="F14" s="5"/>
      <c r="G14" s="5"/>
      <c r="H14" s="6" t="s">
        <v>20</v>
      </c>
      <c r="I14" s="5" t="str">
        <f>IF(H14="","",VLOOKUP(H14,DB!A:B,2,0))</f>
        <v>Patch panel</v>
      </c>
      <c r="J14" s="5"/>
      <c r="K14" s="5"/>
      <c r="L14" s="6" t="s">
        <v>43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6" t="s">
        <v>42</v>
      </c>
      <c r="B15" s="6" t="str">
        <f>IF(A15="","",VLOOKUP(A15,DB!A:B,2,0))</f>
        <v>Telecast CopperHead ProHD 3</v>
      </c>
      <c r="C15" s="5"/>
      <c r="D15" s="5"/>
      <c r="E15" s="6" t="s">
        <v>19</v>
      </c>
      <c r="F15" s="5"/>
      <c r="G15" s="5"/>
      <c r="H15" s="6" t="s">
        <v>17</v>
      </c>
      <c r="I15" s="5" t="str">
        <f>IF(H15="","",VLOOKUP(H15,DB!A:B,2,0))</f>
        <v>ATEM 1 Production Studio</v>
      </c>
      <c r="J15" s="5"/>
      <c r="K15" s="5"/>
      <c r="L15" s="6" t="s">
        <v>44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6" t="s">
        <v>20</v>
      </c>
      <c r="B16" s="6" t="str">
        <f>IF(A16="","",VLOOKUP(A16,DB!A:B,2,0))</f>
        <v>Patch panel</v>
      </c>
      <c r="C16" s="5"/>
      <c r="D16" s="5"/>
      <c r="E16" s="6" t="s">
        <v>45</v>
      </c>
      <c r="F16" s="6" t="s">
        <v>26</v>
      </c>
      <c r="G16" s="6" t="s">
        <v>46</v>
      </c>
      <c r="H16" s="6" t="s">
        <v>17</v>
      </c>
      <c r="I16" s="5" t="str">
        <f>IF(H16="","",VLOOKUP(H16,DB!A:B,2,0))</f>
        <v>ATEM 1 Production Studio</v>
      </c>
      <c r="J16" s="5"/>
      <c r="K16" s="5"/>
      <c r="L16" s="6" t="s">
        <v>47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6" t="s">
        <v>20</v>
      </c>
      <c r="B17" s="6" t="str">
        <f>IF(A17="","",VLOOKUP(A17,DB!A:B,2,0))</f>
        <v>Patch panel</v>
      </c>
      <c r="C17" s="5"/>
      <c r="D17" s="5"/>
      <c r="E17" s="6" t="s">
        <v>48</v>
      </c>
      <c r="F17" s="6" t="s">
        <v>26</v>
      </c>
      <c r="G17" s="6" t="s">
        <v>47</v>
      </c>
      <c r="H17" s="6" t="s">
        <v>17</v>
      </c>
      <c r="I17" s="5" t="str">
        <f>IF(H17="","",VLOOKUP(H17,DB!A:B,2,0))</f>
        <v>ATEM 1 Production Studio</v>
      </c>
      <c r="J17" s="5"/>
      <c r="K17" s="5"/>
      <c r="L17" s="6" t="s">
        <v>49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6" t="s">
        <v>20</v>
      </c>
      <c r="B18" s="6" t="str">
        <f>IF(A18="","",VLOOKUP(A18,DB!A:B,2,0))</f>
        <v>Patch panel</v>
      </c>
      <c r="C18" s="5"/>
      <c r="D18" s="5"/>
      <c r="E18" s="6" t="s">
        <v>50</v>
      </c>
      <c r="F18" s="6" t="s">
        <v>26</v>
      </c>
      <c r="G18" s="6" t="s">
        <v>49</v>
      </c>
      <c r="H18" s="6" t="s">
        <v>17</v>
      </c>
      <c r="I18" s="5" t="str">
        <f>IF(H18="","",VLOOKUP(H18,DB!A:B,2,0))</f>
        <v>ATEM 1 Production Studio</v>
      </c>
      <c r="J18" s="5"/>
      <c r="K18" s="5"/>
      <c r="L18" s="6" t="s">
        <v>51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6" t="s">
        <v>20</v>
      </c>
      <c r="B19" s="6" t="str">
        <f>IF(A19="","",VLOOKUP(A19,DB!A:B,2,0))</f>
        <v>Patch panel</v>
      </c>
      <c r="C19" s="5"/>
      <c r="D19" s="5"/>
      <c r="E19" s="6" t="s">
        <v>52</v>
      </c>
      <c r="F19" s="5"/>
      <c r="G19" s="5"/>
      <c r="H19" s="6" t="s">
        <v>17</v>
      </c>
      <c r="I19" s="5" t="str">
        <f>IF(H19="","",VLOOKUP(H19,DB!A:B,2,0))</f>
        <v>ATEM 1 Production Studio</v>
      </c>
      <c r="J19" s="5"/>
      <c r="K19" s="5"/>
      <c r="L19" s="6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6" t="s">
        <v>54</v>
      </c>
      <c r="B20" s="6" t="str">
        <f>IF(A20="","",VLOOKUP(A20,DB!A:B,2,0))</f>
        <v>Patchera Externa</v>
      </c>
      <c r="C20" s="5"/>
      <c r="D20" s="5"/>
      <c r="E20" s="6" t="s">
        <v>55</v>
      </c>
      <c r="F20" s="5"/>
      <c r="G20" s="5"/>
      <c r="H20" s="6" t="s">
        <v>20</v>
      </c>
      <c r="I20" s="5" t="str">
        <f>IF(H20="","",VLOOKUP(H20,DB!A:B,2,0))</f>
        <v>Patch panel</v>
      </c>
      <c r="J20" s="5"/>
      <c r="K20" s="5"/>
      <c r="L20" s="6" t="s">
        <v>46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6" t="s">
        <v>54</v>
      </c>
      <c r="B21" s="6" t="str">
        <f>IF(A21="","",VLOOKUP(A21,DB!A:B,2,0))</f>
        <v>Patchera Externa</v>
      </c>
      <c r="C21" s="5"/>
      <c r="D21" s="5"/>
      <c r="E21" s="6" t="s">
        <v>56</v>
      </c>
      <c r="F21" s="5"/>
      <c r="G21" s="5"/>
      <c r="H21" s="6" t="s">
        <v>20</v>
      </c>
      <c r="I21" s="5" t="str">
        <f>IF(H21="","",VLOOKUP(H21,DB!A:B,2,0))</f>
        <v>Patch panel</v>
      </c>
      <c r="J21" s="5"/>
      <c r="K21" s="5"/>
      <c r="L21" s="6" t="s">
        <v>47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6" t="s">
        <v>54</v>
      </c>
      <c r="B22" s="6" t="str">
        <f>IF(A22="","",VLOOKUP(A22,DB!A:B,2,0))</f>
        <v>Patchera Externa</v>
      </c>
      <c r="C22" s="5"/>
      <c r="D22" s="5"/>
      <c r="E22" s="6" t="s">
        <v>57</v>
      </c>
      <c r="F22" s="5"/>
      <c r="G22" s="5"/>
      <c r="H22" s="6" t="s">
        <v>20</v>
      </c>
      <c r="I22" s="5" t="str">
        <f>IF(H22="","",VLOOKUP(H22,DB!A:B,2,0))</f>
        <v>Patch panel</v>
      </c>
      <c r="J22" s="5"/>
      <c r="K22" s="5"/>
      <c r="L22" s="6" t="s">
        <v>49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6" t="s">
        <v>54</v>
      </c>
      <c r="B23" s="6" t="str">
        <f>IF(A23="","",VLOOKUP(A23,DB!A:B,2,0))</f>
        <v>Patchera Externa</v>
      </c>
      <c r="C23" s="5"/>
      <c r="D23" s="5"/>
      <c r="E23" s="6" t="s">
        <v>58</v>
      </c>
      <c r="F23" s="5"/>
      <c r="G23" s="5"/>
      <c r="H23" s="6" t="s">
        <v>20</v>
      </c>
      <c r="I23" s="5" t="str">
        <f>IF(H23="","",VLOOKUP(H23,DB!A:B,2,0))</f>
        <v>Patch panel</v>
      </c>
      <c r="J23" s="5"/>
      <c r="K23" s="5"/>
      <c r="L23" s="6" t="s">
        <v>51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6" t="s">
        <v>17</v>
      </c>
      <c r="B24" s="6" t="str">
        <f>IF(A24="","",VLOOKUP(A24,DB!A:B,2,0))</f>
        <v>ATEM 1 Production Studio</v>
      </c>
      <c r="C24" s="5"/>
      <c r="D24" s="5"/>
      <c r="E24" s="6" t="s">
        <v>59</v>
      </c>
      <c r="F24" s="5"/>
      <c r="G24" s="5"/>
      <c r="H24" s="6" t="s">
        <v>20</v>
      </c>
      <c r="I24" s="5" t="str">
        <f>IF(H24="","",VLOOKUP(H24,DB!A:B,2,0))</f>
        <v>Patch panel</v>
      </c>
      <c r="J24" s="5"/>
      <c r="K24" s="5"/>
      <c r="L24" s="6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6" t="s">
        <v>17</v>
      </c>
      <c r="B25" s="6" t="str">
        <f>IF(A25="","",VLOOKUP(A25,DB!A:B,2,0))</f>
        <v>ATEM 1 Production Studio</v>
      </c>
      <c r="C25" s="5"/>
      <c r="D25" s="5"/>
      <c r="E25" s="6" t="s">
        <v>60</v>
      </c>
      <c r="F25" s="5"/>
      <c r="G25" s="5"/>
      <c r="H25" s="6" t="s">
        <v>20</v>
      </c>
      <c r="I25" s="5" t="str">
        <f>IF(H25="","",VLOOKUP(H25,DB!A:B,2,0))</f>
        <v>Patch panel</v>
      </c>
      <c r="J25" s="5"/>
      <c r="K25" s="5"/>
      <c r="L25" s="6" t="s">
        <v>61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6" t="s">
        <v>17</v>
      </c>
      <c r="B26" s="6" t="str">
        <f>IF(A26="","",VLOOKUP(A26,DB!A:B,2,0))</f>
        <v>ATEM 1 Production Studio</v>
      </c>
      <c r="C26" s="5"/>
      <c r="D26" s="5"/>
      <c r="E26" s="6" t="s">
        <v>62</v>
      </c>
      <c r="F26" s="5"/>
      <c r="G26" s="5"/>
      <c r="H26" s="6" t="s">
        <v>20</v>
      </c>
      <c r="I26" s="5" t="str">
        <f>IF(H26="","",VLOOKUP(H26,DB!A:B,2,0))</f>
        <v>Patch panel</v>
      </c>
      <c r="J26" s="5"/>
      <c r="K26" s="5"/>
      <c r="L26" s="6" t="s">
        <v>63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6" t="s">
        <v>20</v>
      </c>
      <c r="B27" s="6" t="str">
        <f>IF(A27="","",VLOOKUP(A27,DB!A:B,2,0))</f>
        <v>Patch panel</v>
      </c>
      <c r="C27" s="5"/>
      <c r="D27" s="5"/>
      <c r="E27" s="6" t="s">
        <v>64</v>
      </c>
      <c r="F27" s="6" t="s">
        <v>26</v>
      </c>
      <c r="G27" s="6" t="s">
        <v>51</v>
      </c>
      <c r="H27" s="6" t="s">
        <v>65</v>
      </c>
      <c r="I27" s="5" t="str">
        <f>IF(H27="","",VLOOKUP(H27,DB!A:B,2,0))</f>
        <v>PC CGX</v>
      </c>
      <c r="J27" s="6">
        <v>1.0</v>
      </c>
      <c r="K27" s="6" t="s">
        <v>28</v>
      </c>
      <c r="L27" s="6" t="s">
        <v>29</v>
      </c>
      <c r="M27" s="5"/>
      <c r="N27" s="5"/>
      <c r="O27" s="6" t="s">
        <v>66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6" t="s">
        <v>20</v>
      </c>
      <c r="B28" s="6" t="str">
        <f>IF(A28="","",VLOOKUP(A28,DB!A:B,2,0))</f>
        <v>Patch panel</v>
      </c>
      <c r="C28" s="5"/>
      <c r="D28" s="5"/>
      <c r="E28" s="6" t="s">
        <v>67</v>
      </c>
      <c r="F28" s="6" t="s">
        <v>26</v>
      </c>
      <c r="G28" s="6" t="s">
        <v>68</v>
      </c>
      <c r="H28" s="6" t="s">
        <v>15</v>
      </c>
      <c r="I28" s="5" t="str">
        <f>IF(H28="","",VLOOKUP(H28,DB!A:B,2,0))</f>
        <v>Ikegami BS-80 4</v>
      </c>
      <c r="J28" s="5"/>
      <c r="K28" s="5"/>
      <c r="L28" s="6" t="s">
        <v>69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6" t="s">
        <v>20</v>
      </c>
      <c r="B29" s="6" t="str">
        <f>IF(A29="","",VLOOKUP(A29,DB!A:B,2,0))</f>
        <v>Patch panel</v>
      </c>
      <c r="C29" s="5"/>
      <c r="D29" s="5"/>
      <c r="E29" s="6" t="s">
        <v>70</v>
      </c>
      <c r="F29" s="6" t="s">
        <v>26</v>
      </c>
      <c r="G29" s="6" t="s">
        <v>71</v>
      </c>
      <c r="H29" s="6" t="s">
        <v>22</v>
      </c>
      <c r="I29" s="5" t="str">
        <f>IF(H29="","",VLOOKUP(H29,DB!A:B,2,0))</f>
        <v>Ikegami BS-80 5</v>
      </c>
      <c r="J29" s="5"/>
      <c r="K29" s="5"/>
      <c r="L29" s="6" t="s">
        <v>69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6" t="s">
        <v>72</v>
      </c>
      <c r="B30" s="6" t="str">
        <f>IF(A30="","",VLOOKUP(A30,DB!A:B,2,0))</f>
        <v>Miranda Densite3</v>
      </c>
      <c r="C30" s="6">
        <v>6.0</v>
      </c>
      <c r="D30" s="6" t="s">
        <v>73</v>
      </c>
      <c r="E30" s="6" t="s">
        <v>74</v>
      </c>
      <c r="F30" s="6" t="s">
        <v>26</v>
      </c>
      <c r="G30" s="6" t="s">
        <v>75</v>
      </c>
      <c r="H30" s="6" t="s">
        <v>15</v>
      </c>
      <c r="I30" s="5" t="str">
        <f>IF(H30="","",VLOOKUP(H30,DB!A:B,2,0))</f>
        <v>Ikegami BS-80 4</v>
      </c>
      <c r="J30" s="5"/>
      <c r="K30" s="5"/>
      <c r="L30" s="6" t="s">
        <v>76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6" t="s">
        <v>72</v>
      </c>
      <c r="B31" s="6" t="str">
        <f>IF(A31="","",VLOOKUP(A31,DB!A:B,2,0))</f>
        <v>Miranda Densite3</v>
      </c>
      <c r="C31" s="6">
        <v>7.0</v>
      </c>
      <c r="D31" s="6" t="s">
        <v>73</v>
      </c>
      <c r="E31" s="6" t="s">
        <v>77</v>
      </c>
      <c r="F31" s="6" t="s">
        <v>26</v>
      </c>
      <c r="G31" s="6" t="s">
        <v>78</v>
      </c>
      <c r="H31" s="6" t="s">
        <v>22</v>
      </c>
      <c r="I31" s="5" t="str">
        <f>IF(H31="","",VLOOKUP(H31,DB!A:B,2,0))</f>
        <v>Ikegami BS-80 5</v>
      </c>
      <c r="J31" s="5"/>
      <c r="K31" s="5"/>
      <c r="L31" s="6" t="s">
        <v>76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6" t="str">
        <f>IF(A32="","",VLOOKUP(A32,DB!A:B,2,0))</f>
        <v/>
      </c>
      <c r="C32" s="5"/>
      <c r="D32" s="5"/>
      <c r="E32" s="5"/>
      <c r="F32" s="5"/>
      <c r="G32" s="5"/>
      <c r="H32" s="5"/>
      <c r="I32" s="5" t="str">
        <f>IF(H32="","",VLOOKUP(H32,DB!A:B,2,0))</f>
        <v/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6" t="str">
        <f>IF(A33="","",VLOOKUP(A33,DB!A:B,2,0))</f>
        <v/>
      </c>
      <c r="C33" s="5"/>
      <c r="D33" s="5"/>
      <c r="E33" s="5"/>
      <c r="F33" s="5"/>
      <c r="G33" s="5"/>
      <c r="H33" s="5"/>
      <c r="I33" s="5" t="str">
        <f>IF(H33="","",VLOOKUP(H33,DB!A:B,2,0))</f>
        <v/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6" t="str">
        <f>IF(A34="","",VLOOKUP(A34,DB!A:B,2,0))</f>
        <v/>
      </c>
      <c r="C34" s="5"/>
      <c r="D34" s="5"/>
      <c r="E34" s="5"/>
      <c r="F34" s="5"/>
      <c r="G34" s="5"/>
      <c r="H34" s="5"/>
      <c r="I34" s="5" t="str">
        <f>IF(H34="","",VLOOKUP(H34,DB!A:B,2,0))</f>
        <v/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6" t="str">
        <f>IF(A35="","",VLOOKUP(A35,DB!A:B,2,0))</f>
        <v/>
      </c>
      <c r="C35" s="5"/>
      <c r="D35" s="5"/>
      <c r="E35" s="5"/>
      <c r="F35" s="5"/>
      <c r="G35" s="5"/>
      <c r="H35" s="5"/>
      <c r="I35" s="5" t="str">
        <f>IF(H35="","",VLOOKUP(H35,DB!A:B,2,0))</f>
        <v/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6" t="str">
        <f>IF(A36="","",VLOOKUP(A36,DB!A:B,2,0))</f>
        <v/>
      </c>
      <c r="C36" s="5"/>
      <c r="D36" s="5"/>
      <c r="E36" s="5"/>
      <c r="F36" s="5"/>
      <c r="G36" s="5"/>
      <c r="H36" s="5"/>
      <c r="I36" s="5" t="str">
        <f>IF(H36="","",VLOOKUP(H36,DB!A:B,2,0))</f>
        <v/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6" t="str">
        <f>IF(A37="","",VLOOKUP(A37,DB!A:B,2,0))</f>
        <v/>
      </c>
      <c r="C37" s="5"/>
      <c r="D37" s="5"/>
      <c r="E37" s="5"/>
      <c r="F37" s="5"/>
      <c r="G37" s="5"/>
      <c r="H37" s="5"/>
      <c r="I37" s="5" t="str">
        <f>IF(H37="","",VLOOKUP(H37,DB!A:B,2,0))</f>
        <v/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6" t="str">
        <f>IF(A38="","",VLOOKUP(A38,DB!A:B,2,0))</f>
        <v/>
      </c>
      <c r="C38" s="5"/>
      <c r="D38" s="5"/>
      <c r="E38" s="5"/>
      <c r="F38" s="5"/>
      <c r="G38" s="5"/>
      <c r="H38" s="5"/>
      <c r="I38" s="5" t="str">
        <f>IF(H38="","",VLOOKUP(H38,DB!A:B,2,0))</f>
        <v/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6" t="str">
        <f>IF(A39="","",VLOOKUP(A39,DB!A:B,2,0))</f>
        <v/>
      </c>
      <c r="C39" s="5"/>
      <c r="D39" s="5"/>
      <c r="E39" s="5"/>
      <c r="F39" s="5"/>
      <c r="G39" s="5"/>
      <c r="H39" s="5"/>
      <c r="I39" s="5" t="str">
        <f>IF(H39="","",VLOOKUP(H39,DB!A:B,2,0))</f>
        <v/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6" t="str">
        <f>IF(A40="","",VLOOKUP(A40,DB!A:B,2,0))</f>
        <v/>
      </c>
      <c r="C40" s="5"/>
      <c r="D40" s="5"/>
      <c r="E40" s="5"/>
      <c r="F40" s="5"/>
      <c r="G40" s="5"/>
      <c r="H40" s="5"/>
      <c r="I40" s="5" t="str">
        <f>IF(H40="","",VLOOKUP(H40,DB!A:B,2,0))</f>
        <v/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6" t="str">
        <f>IF(A41="","",VLOOKUP(A41,DB!A:B,2,0))</f>
        <v/>
      </c>
      <c r="C41" s="5"/>
      <c r="D41" s="5"/>
      <c r="E41" s="5"/>
      <c r="F41" s="5"/>
      <c r="G41" s="5"/>
      <c r="H41" s="5"/>
      <c r="I41" s="5" t="str">
        <f>IF(H41="","",VLOOKUP(H41,DB!A:B,2,0))</f>
        <v/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6" t="str">
        <f>IF(A42="","",VLOOKUP(A42,DB!A:B,2,0))</f>
        <v/>
      </c>
      <c r="C42" s="5"/>
      <c r="D42" s="5"/>
      <c r="E42" s="5"/>
      <c r="F42" s="5"/>
      <c r="G42" s="5"/>
      <c r="H42" s="5"/>
      <c r="I42" s="5" t="str">
        <f>IF(H42="","",VLOOKUP(H42,DB!A:B,2,0))</f>
        <v/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6" t="str">
        <f>IF(A43="","",VLOOKUP(A43,DB!A:B,2,0))</f>
        <v/>
      </c>
      <c r="C43" s="5"/>
      <c r="D43" s="5"/>
      <c r="E43" s="5"/>
      <c r="F43" s="5"/>
      <c r="G43" s="5"/>
      <c r="H43" s="5"/>
      <c r="I43" s="5" t="str">
        <f>IF(H43="","",VLOOKUP(H43,DB!A:B,2,0))</f>
        <v/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6" t="str">
        <f>IF(A44="","",VLOOKUP(A44,DB!A:B,2,0))</f>
        <v/>
      </c>
      <c r="C44" s="5"/>
      <c r="D44" s="5"/>
      <c r="E44" s="5"/>
      <c r="F44" s="5"/>
      <c r="G44" s="5"/>
      <c r="H44" s="5"/>
      <c r="I44" s="5" t="str">
        <f>IF(H44="","",VLOOKUP(H44,DB!A:B,2,0))</f>
        <v/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6" t="str">
        <f>IF(A45="","",VLOOKUP(A45,DB!A:B,2,0))</f>
        <v/>
      </c>
      <c r="C45" s="5"/>
      <c r="D45" s="5"/>
      <c r="E45" s="5"/>
      <c r="F45" s="5"/>
      <c r="G45" s="5"/>
      <c r="H45" s="5"/>
      <c r="I45" s="5" t="str">
        <f>IF(H45="","",VLOOKUP(H45,DB!A:B,2,0))</f>
        <v/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6" t="str">
        <f>IF(A46="","",VLOOKUP(A46,DB!A:B,2,0))</f>
        <v/>
      </c>
      <c r="C46" s="5"/>
      <c r="D46" s="5"/>
      <c r="E46" s="5"/>
      <c r="F46" s="5"/>
      <c r="G46" s="5"/>
      <c r="H46" s="5"/>
      <c r="I46" s="5" t="str">
        <f>IF(H46="","",VLOOKUP(H46,DB!A:B,2,0))</f>
        <v/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6" t="str">
        <f>IF(A47="","",VLOOKUP(A47,DB!A:B,2,0))</f>
        <v/>
      </c>
      <c r="C47" s="5"/>
      <c r="D47" s="5"/>
      <c r="E47" s="5"/>
      <c r="F47" s="5"/>
      <c r="G47" s="5"/>
      <c r="H47" s="5"/>
      <c r="I47" s="5" t="str">
        <f>IF(H47="","",VLOOKUP(H47,DB!A:B,2,0))</f>
        <v/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6" t="str">
        <f>IF(A48="","",VLOOKUP(A48,DB!A:B,2,0))</f>
        <v/>
      </c>
      <c r="C48" s="5"/>
      <c r="D48" s="5"/>
      <c r="E48" s="5"/>
      <c r="F48" s="5"/>
      <c r="G48" s="5"/>
      <c r="H48" s="5"/>
      <c r="I48" s="5" t="str">
        <f>IF(H48="","",VLOOKUP(H48,DB!A:B,2,0))</f>
        <v/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6" t="str">
        <f>IF(A49="","",VLOOKUP(A49,DB!A:B,2,0))</f>
        <v/>
      </c>
      <c r="C49" s="5"/>
      <c r="D49" s="5"/>
      <c r="E49" s="5"/>
      <c r="F49" s="5"/>
      <c r="G49" s="5"/>
      <c r="H49" s="5"/>
      <c r="I49" s="5" t="str">
        <f>IF(H49="","",VLOOKUP(H49,DB!A:B,2,0))</f>
        <v/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6" t="str">
        <f>IF(A50="","",VLOOKUP(A50,DB!A:B,2,0))</f>
        <v/>
      </c>
      <c r="C50" s="5"/>
      <c r="D50" s="5"/>
      <c r="E50" s="5"/>
      <c r="F50" s="5"/>
      <c r="G50" s="5"/>
      <c r="H50" s="5"/>
      <c r="I50" s="5" t="str">
        <f>IF(H50="","",VLOOKUP(H50,DB!A:B,2,0))</f>
        <v/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6" t="str">
        <f>IF(A51="","",VLOOKUP(A51,DB!A:B,2,0))</f>
        <v/>
      </c>
      <c r="C51" s="5"/>
      <c r="D51" s="5"/>
      <c r="E51" s="5"/>
      <c r="F51" s="5"/>
      <c r="G51" s="5"/>
      <c r="H51" s="5"/>
      <c r="I51" s="5" t="str">
        <f>IF(H51="","",VLOOKUP(H51,DB!A:B,2,0))</f>
        <v/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6" t="str">
        <f>IF(A52="","",VLOOKUP(A52,DB!A:B,2,0))</f>
        <v/>
      </c>
      <c r="C52" s="5"/>
      <c r="D52" s="5"/>
      <c r="E52" s="5"/>
      <c r="F52" s="5"/>
      <c r="G52" s="5"/>
      <c r="H52" s="5"/>
      <c r="I52" s="5" t="str">
        <f>IF(H52="","",VLOOKUP(H52,DB!A:B,2,0))</f>
        <v/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6" t="str">
        <f>IF(A53="","",VLOOKUP(A53,DB!A:B,2,0))</f>
        <v/>
      </c>
      <c r="C53" s="5"/>
      <c r="D53" s="5"/>
      <c r="E53" s="5"/>
      <c r="F53" s="5"/>
      <c r="G53" s="5"/>
      <c r="H53" s="5"/>
      <c r="I53" s="5" t="str">
        <f>IF(H53="","",VLOOKUP(H53,DB!A:B,2,0))</f>
        <v/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6" t="str">
        <f>IF(A54="","",VLOOKUP(A54,DB!A:B,2,0))</f>
        <v/>
      </c>
      <c r="C54" s="5"/>
      <c r="D54" s="5"/>
      <c r="E54" s="5"/>
      <c r="F54" s="5"/>
      <c r="G54" s="5"/>
      <c r="H54" s="5"/>
      <c r="I54" s="5" t="str">
        <f>IF(H54="","",VLOOKUP(H54,DB!A:B,2,0))</f>
        <v/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6" t="str">
        <f>IF(A55="","",VLOOKUP(A55,DB!A:B,2,0))</f>
        <v/>
      </c>
      <c r="C55" s="5"/>
      <c r="D55" s="5"/>
      <c r="E55" s="5"/>
      <c r="F55" s="5"/>
      <c r="G55" s="5"/>
      <c r="H55" s="5"/>
      <c r="I55" s="5" t="str">
        <f>IF(H55="","",VLOOKUP(H55,DB!A:B,2,0))</f>
        <v/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6" t="str">
        <f>IF(A56="","",VLOOKUP(A56,DB!A:B,2,0))</f>
        <v/>
      </c>
      <c r="C56" s="5"/>
      <c r="D56" s="5"/>
      <c r="E56" s="5"/>
      <c r="F56" s="5"/>
      <c r="G56" s="5"/>
      <c r="H56" s="5"/>
      <c r="I56" s="5" t="str">
        <f>IF(H56="","",VLOOKUP(H56,DB!A:B,2,0))</f>
        <v/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6" t="str">
        <f>IF(A57="","",VLOOKUP(A57,DB!A:B,2,0))</f>
        <v/>
      </c>
      <c r="C57" s="5"/>
      <c r="D57" s="5"/>
      <c r="E57" s="5"/>
      <c r="F57" s="5"/>
      <c r="G57" s="5"/>
      <c r="H57" s="5"/>
      <c r="I57" s="5" t="str">
        <f>IF(H57="","",VLOOKUP(H57,DB!A:B,2,0))</f>
        <v/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6" t="str">
        <f>IF(A58="","",VLOOKUP(A58,DB!A:B,2,0))</f>
        <v/>
      </c>
      <c r="C58" s="5"/>
      <c r="D58" s="5"/>
      <c r="E58" s="5"/>
      <c r="F58" s="5"/>
      <c r="G58" s="5"/>
      <c r="H58" s="5"/>
      <c r="I58" s="5" t="str">
        <f>IF(H58="","",VLOOKUP(H58,DB!A:B,2,0))</f>
        <v/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6" t="str">
        <f>IF(A59="","",VLOOKUP(A59,DB!A:B,2,0))</f>
        <v/>
      </c>
      <c r="C59" s="5"/>
      <c r="D59" s="5"/>
      <c r="E59" s="5"/>
      <c r="F59" s="5"/>
      <c r="G59" s="5"/>
      <c r="H59" s="5"/>
      <c r="I59" s="5" t="str">
        <f>IF(H59="","",VLOOKUP(H59,DB!A:B,2,0))</f>
        <v/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6" t="str">
        <f>IF(A60="","",VLOOKUP(A60,DB!A:B,2,0))</f>
        <v/>
      </c>
      <c r="C60" s="5"/>
      <c r="D60" s="5"/>
      <c r="E60" s="5"/>
      <c r="F60" s="5"/>
      <c r="G60" s="5"/>
      <c r="H60" s="5"/>
      <c r="I60" s="5" t="str">
        <f>IF(H60="","",VLOOKUP(H60,DB!A:B,2,0))</f>
        <v/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6" t="str">
        <f>IF(A61="","",VLOOKUP(A61,DB!A:B,2,0))</f>
        <v/>
      </c>
      <c r="C61" s="5"/>
      <c r="D61" s="5"/>
      <c r="E61" s="5"/>
      <c r="F61" s="5"/>
      <c r="G61" s="5"/>
      <c r="H61" s="5"/>
      <c r="I61" s="5" t="str">
        <f>IF(H61="","",VLOOKUP(H61,DB!A:B,2,0))</f>
        <v/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6" t="str">
        <f>IF(A62="","",VLOOKUP(A62,DB!A:B,2,0))</f>
        <v/>
      </c>
      <c r="C62" s="5"/>
      <c r="D62" s="5"/>
      <c r="E62" s="5"/>
      <c r="F62" s="5"/>
      <c r="G62" s="5"/>
      <c r="H62" s="5"/>
      <c r="I62" s="5" t="str">
        <f>IF(H62="","",VLOOKUP(H62,DB!A:B,2,0))</f>
        <v/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6" t="str">
        <f>IF(A63="","",VLOOKUP(A63,DB!A:B,2,0))</f>
        <v/>
      </c>
      <c r="C63" s="5"/>
      <c r="D63" s="5"/>
      <c r="E63" s="5"/>
      <c r="F63" s="5"/>
      <c r="G63" s="5"/>
      <c r="H63" s="5"/>
      <c r="I63" s="5" t="str">
        <f>IF(H63="","",VLOOKUP(H63,DB!A:B,2,0))</f>
        <v/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7"/>
      <c r="B64" s="7" t="str">
        <f>IF(A64="","",VLOOKUP(A64,DB!A:B,2,0))</f>
        <v/>
      </c>
      <c r="C64" s="8"/>
      <c r="D64" s="7"/>
      <c r="E64" s="7"/>
      <c r="F64" s="7"/>
      <c r="G64" s="7"/>
      <c r="H64" s="7"/>
      <c r="I64" s="7" t="str">
        <f>IF(H64="","",VLOOKUP(H64,DB!A:B,2,0))</f>
        <v/>
      </c>
      <c r="J64" s="7"/>
      <c r="K64" s="7"/>
      <c r="L64" s="7"/>
      <c r="M64" s="7"/>
      <c r="N64" s="7"/>
      <c r="O64" s="7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9"/>
      <c r="B65" s="9" t="str">
        <f>IF(A65="","",VLOOKUP(A65,DB!A:B,2,0))</f>
        <v/>
      </c>
      <c r="C65" s="10"/>
      <c r="D65" s="9"/>
      <c r="E65" s="9"/>
      <c r="F65" s="9"/>
      <c r="G65" s="9"/>
      <c r="H65" s="9"/>
      <c r="I65" s="9" t="str">
        <f>IF(H65="","",VLOOKUP(H65,DB!A:B,2,0))</f>
        <v/>
      </c>
      <c r="J65" s="9"/>
      <c r="K65" s="9"/>
      <c r="L65" s="9"/>
      <c r="M65" s="9"/>
      <c r="N65" s="9"/>
      <c r="O65" s="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7"/>
      <c r="B66" s="7" t="str">
        <f>IF(A66="","",VLOOKUP(A66,DB!A:B,2,0))</f>
        <v/>
      </c>
      <c r="C66" s="7"/>
      <c r="D66" s="7"/>
      <c r="E66" s="7"/>
      <c r="F66" s="7"/>
      <c r="G66" s="7"/>
      <c r="H66" s="7"/>
      <c r="I66" s="7" t="str">
        <f>IF(H66="","",VLOOKUP(H66,DB!A:B,2,0))</f>
        <v/>
      </c>
      <c r="J66" s="7"/>
      <c r="K66" s="7"/>
      <c r="L66" s="7"/>
      <c r="M66" s="7"/>
      <c r="N66" s="7"/>
      <c r="O66" s="7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7"/>
      <c r="B67" s="7" t="str">
        <f>IF(A67="","",VLOOKUP(A67,DB!A:B,2,0))</f>
        <v/>
      </c>
      <c r="C67" s="7"/>
      <c r="D67" s="7"/>
      <c r="E67" s="7"/>
      <c r="F67" s="7"/>
      <c r="G67" s="7"/>
      <c r="H67" s="7"/>
      <c r="I67" s="7" t="str">
        <f>IF(H67="","",VLOOKUP(H67,DB!A:B,2,0))</f>
        <v/>
      </c>
      <c r="J67" s="7"/>
      <c r="K67" s="7"/>
      <c r="L67" s="7"/>
      <c r="M67" s="7"/>
      <c r="N67" s="7"/>
      <c r="O67" s="7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7"/>
      <c r="B68" s="7" t="str">
        <f>IF(A68="","",VLOOKUP(A68,DB!A:B,2,0))</f>
        <v/>
      </c>
      <c r="C68" s="7"/>
      <c r="D68" s="7"/>
      <c r="E68" s="11"/>
      <c r="F68" s="7"/>
      <c r="G68" s="7"/>
      <c r="H68" s="7"/>
      <c r="I68" s="7" t="str">
        <f>IF(H68="","",VLOOKUP(H68,DB!A:B,2,0))</f>
        <v/>
      </c>
      <c r="J68" s="7"/>
      <c r="K68" s="7"/>
      <c r="L68" s="7"/>
      <c r="M68" s="7"/>
      <c r="N68" s="7"/>
      <c r="O68" s="7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9"/>
      <c r="B69" s="9" t="str">
        <f>IF(A69="","",VLOOKUP(A69,DB!A:B,2,0))</f>
        <v/>
      </c>
      <c r="C69" s="9"/>
      <c r="D69" s="9"/>
      <c r="E69" s="9"/>
      <c r="F69" s="9"/>
      <c r="G69" s="9"/>
      <c r="H69" s="9"/>
      <c r="I69" s="9" t="str">
        <f>IF(H69="","",VLOOKUP(H69,DB!A:B,2,0))</f>
        <v/>
      </c>
      <c r="J69" s="9"/>
      <c r="K69" s="9"/>
      <c r="L69" s="9"/>
      <c r="M69" s="9"/>
      <c r="N69" s="9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12"/>
      <c r="B70" s="7" t="str">
        <f>IF(A70="","",VLOOKUP(A70,DB!A:B,2,0))</f>
        <v/>
      </c>
      <c r="C70" s="7"/>
      <c r="D70" s="7"/>
      <c r="E70" s="7"/>
      <c r="F70" s="7"/>
      <c r="G70" s="7"/>
      <c r="H70" s="7"/>
      <c r="I70" s="7" t="str">
        <f>IF(H70="","",VLOOKUP(H70,DB!A:B,2,0))</f>
        <v/>
      </c>
      <c r="J70" s="7"/>
      <c r="K70" s="7"/>
      <c r="L70" s="7"/>
      <c r="M70" s="12"/>
      <c r="N70" s="7"/>
      <c r="O70" s="7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6" t="str">
        <f>IF(A71="","",VLOOKUP(A71,DB!A:B,2,0))</f>
        <v/>
      </c>
      <c r="C71" s="5"/>
      <c r="D71" s="5"/>
      <c r="E71" s="5"/>
      <c r="F71" s="5"/>
      <c r="G71" s="5"/>
      <c r="H71" s="5"/>
      <c r="I71" s="5" t="str">
        <f>IF(H71="","",VLOOKUP(H71,DB!A:B,2,0))</f>
        <v/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6" t="str">
        <f>IF(A72="","",VLOOKUP(A72,DB!A:B,2,0))</f>
        <v/>
      </c>
      <c r="C72" s="5"/>
      <c r="D72" s="5"/>
      <c r="E72" s="5"/>
      <c r="F72" s="5"/>
      <c r="G72" s="5"/>
      <c r="H72" s="5"/>
      <c r="I72" s="5" t="str">
        <f>IF(H72="","",VLOOKUP(H72,DB!A:B,2,0))</f>
        <v/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6" t="str">
        <f>IF(A73="","",VLOOKUP(A73,DB!A:B,2,0))</f>
        <v/>
      </c>
      <c r="C73" s="5"/>
      <c r="D73" s="5"/>
      <c r="E73" s="5"/>
      <c r="F73" s="5"/>
      <c r="G73" s="5"/>
      <c r="H73" s="5"/>
      <c r="I73" s="5" t="str">
        <f>IF(H73="","",VLOOKUP(H73,DB!A:B,2,0))</f>
        <v/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6" t="str">
        <f>IF(A74="","",VLOOKUP(A74,DB!A:B,2,0))</f>
        <v/>
      </c>
      <c r="C74" s="5"/>
      <c r="D74" s="5"/>
      <c r="E74" s="5"/>
      <c r="F74" s="5"/>
      <c r="G74" s="5"/>
      <c r="H74" s="5"/>
      <c r="I74" s="5" t="str">
        <f>IF(H74="","",VLOOKUP(H74,DB!A:B,2,0))</f>
        <v/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6" t="str">
        <f>IF(A75="","",VLOOKUP(A75,DB!A:B,2,0))</f>
        <v/>
      </c>
      <c r="C75" s="5"/>
      <c r="D75" s="5"/>
      <c r="E75" s="5"/>
      <c r="F75" s="5"/>
      <c r="G75" s="5"/>
      <c r="H75" s="5"/>
      <c r="I75" s="5" t="str">
        <f>IF(H75="","",VLOOKUP(H75,DB!A:B,2,0))</f>
        <v/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6" t="str">
        <f>IF(A76="","",VLOOKUP(A76,DB!A:B,2,0))</f>
        <v/>
      </c>
      <c r="C76" s="5"/>
      <c r="D76" s="5"/>
      <c r="E76" s="5"/>
      <c r="F76" s="5"/>
      <c r="G76" s="5"/>
      <c r="H76" s="5"/>
      <c r="I76" s="5" t="str">
        <f>IF(H76="","",VLOOKUP(H76,DB!A:B,2,0))</f>
        <v/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6" t="str">
        <f>IF(A77="","",VLOOKUP(A77,DB!A:B,2,0))</f>
        <v/>
      </c>
      <c r="C77" s="5"/>
      <c r="D77" s="5"/>
      <c r="E77" s="5"/>
      <c r="F77" s="5"/>
      <c r="G77" s="5"/>
      <c r="H77" s="5"/>
      <c r="I77" s="5" t="str">
        <f>IF(H77="","",VLOOKUP(H77,DB!A:B,2,0))</f>
        <v/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6" t="str">
        <f>IF(A78="","",VLOOKUP(A78,DB!A:B,2,0))</f>
        <v/>
      </c>
      <c r="C78" s="5"/>
      <c r="D78" s="5"/>
      <c r="E78" s="5"/>
      <c r="F78" s="5"/>
      <c r="G78" s="5"/>
      <c r="H78" s="5"/>
      <c r="I78" s="5" t="str">
        <f>IF(H78="","",VLOOKUP(H78,DB!A:B,2,0))</f>
        <v/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6" t="str">
        <f>IF(A79="","",VLOOKUP(A79,DB!A:B,2,0))</f>
        <v/>
      </c>
      <c r="C79" s="5"/>
      <c r="D79" s="5"/>
      <c r="E79" s="5"/>
      <c r="F79" s="5"/>
      <c r="G79" s="5"/>
      <c r="H79" s="5"/>
      <c r="I79" s="5" t="str">
        <f>IF(H79="","",VLOOKUP(H79,DB!A:B,2,0))</f>
        <v/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6" t="str">
        <f>IF(A80="","",VLOOKUP(A80,DB!A:B,2,0))</f>
        <v/>
      </c>
      <c r="C80" s="5"/>
      <c r="D80" s="5"/>
      <c r="E80" s="5"/>
      <c r="F80" s="5"/>
      <c r="G80" s="5"/>
      <c r="H80" s="5"/>
      <c r="I80" s="5" t="str">
        <f>IF(H80="","",VLOOKUP(H80,DB!A:B,2,0))</f>
        <v/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6" t="str">
        <f>IF(A81="","",VLOOKUP(A81,DB!A:B,2,0))</f>
        <v/>
      </c>
      <c r="C81" s="5"/>
      <c r="D81" s="5"/>
      <c r="E81" s="5"/>
      <c r="F81" s="5"/>
      <c r="G81" s="5"/>
      <c r="H81" s="5"/>
      <c r="I81" s="5" t="str">
        <f>IF(H81="","",VLOOKUP(H81,DB!A:B,2,0))</f>
        <v/>
      </c>
      <c r="J81" s="5"/>
      <c r="K81" s="5"/>
      <c r="L81" s="5"/>
      <c r="M81" s="5"/>
      <c r="N81" s="5"/>
      <c r="O81" s="5"/>
      <c r="P81" s="13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6" t="str">
        <f>IF(A82="","",VLOOKUP(A82,DB!A:B,2,0))</f>
        <v/>
      </c>
      <c r="C82" s="5"/>
      <c r="D82" s="5"/>
      <c r="E82" s="5"/>
      <c r="F82" s="5"/>
      <c r="G82" s="5"/>
      <c r="H82" s="5"/>
      <c r="I82" s="5" t="str">
        <f>IF(H82="","",VLOOKUP(H82,DB!A:B,2,0))</f>
        <v/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6" t="str">
        <f>IF(A83="","",VLOOKUP(A83,DB!A:B,2,0))</f>
        <v/>
      </c>
      <c r="C83" s="5"/>
      <c r="D83" s="5"/>
      <c r="E83" s="5"/>
      <c r="F83" s="5"/>
      <c r="G83" s="5"/>
      <c r="H83" s="5"/>
      <c r="I83" s="5" t="str">
        <f>IF(H83="","",VLOOKUP(H83,DB!A:B,2,0))</f>
        <v/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6" t="str">
        <f>IF(A84="","",VLOOKUP(A84,DB!A:B,2,0))</f>
        <v/>
      </c>
      <c r="C84" s="5"/>
      <c r="D84" s="5"/>
      <c r="E84" s="5"/>
      <c r="F84" s="5"/>
      <c r="G84" s="5"/>
      <c r="H84" s="5"/>
      <c r="I84" s="5" t="str">
        <f>IF(H84="","",VLOOKUP(H84,DB!A:B,2,0))</f>
        <v/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6"/>
      <c r="C85" s="5"/>
      <c r="D85" s="5"/>
      <c r="E85" s="5"/>
      <c r="F85" s="5"/>
      <c r="G85" s="5"/>
      <c r="H85" s="5"/>
      <c r="I85" s="5" t="str">
        <f>IF(H85="","",VLOOKUP(H85,DB!A:B,2,0))</f>
        <v/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6" t="str">
        <f>IF(A86="","",VLOOKUP(A86,DB!A:B,2,0))</f>
        <v/>
      </c>
      <c r="C86" s="5"/>
      <c r="D86" s="5"/>
      <c r="E86" s="5"/>
      <c r="F86" s="5"/>
      <c r="G86" s="5"/>
      <c r="H86" s="5"/>
      <c r="I86" s="5" t="str">
        <f>IF(H86="","",VLOOKUP(H86,DB!A:B,2,0))</f>
        <v/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6" t="str">
        <f>IF(A87="","",VLOOKUP(A87,DB!A:B,2,0))</f>
        <v/>
      </c>
      <c r="C87" s="5"/>
      <c r="D87" s="5"/>
      <c r="E87" s="5"/>
      <c r="F87" s="5"/>
      <c r="G87" s="5"/>
      <c r="H87" s="5"/>
      <c r="I87" s="5" t="str">
        <f>IF(H87="","",VLOOKUP(H87,DB!A:B,2,0))</f>
        <v/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6" t="str">
        <f>IF(A88="","",VLOOKUP(A88,DB!A:B,2,0))</f>
        <v/>
      </c>
      <c r="C88" s="5"/>
      <c r="D88" s="5"/>
      <c r="E88" s="5"/>
      <c r="F88" s="5"/>
      <c r="G88" s="5"/>
      <c r="H88" s="5"/>
      <c r="I88" s="5" t="str">
        <f>IF(H88="","",VLOOKUP(H88,DB!A:B,2,0))</f>
        <v/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6" t="str">
        <f>IF(A89="","",VLOOKUP(A89,DB!A:B,2,0))</f>
        <v/>
      </c>
      <c r="C89" s="5"/>
      <c r="D89" s="5"/>
      <c r="E89" s="5"/>
      <c r="F89" s="5"/>
      <c r="G89" s="5"/>
      <c r="H89" s="5"/>
      <c r="I89" s="5" t="str">
        <f>IF(H89="","",VLOOKUP(H89,DB!A:B,2,0))</f>
        <v/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6" t="str">
        <f>IF(A90="","",VLOOKUP(A90,DB!A:B,2,0))</f>
        <v/>
      </c>
      <c r="C90" s="5"/>
      <c r="D90" s="5"/>
      <c r="E90" s="5"/>
      <c r="F90" s="5"/>
      <c r="G90" s="5"/>
      <c r="H90" s="5"/>
      <c r="I90" s="5" t="str">
        <f>IF(H90="","",VLOOKUP(H90,DB!A:B,2,0))</f>
        <v/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6" t="str">
        <f>IF(A91="","",VLOOKUP(A91,DB!A:B,2,0))</f>
        <v/>
      </c>
      <c r="C91" s="5"/>
      <c r="D91" s="5"/>
      <c r="E91" s="5"/>
      <c r="F91" s="5"/>
      <c r="G91" s="5"/>
      <c r="H91" s="5"/>
      <c r="I91" s="5" t="str">
        <f>IF(H91="","",VLOOKUP(H91,DB!A:B,2,0))</f>
        <v/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6" t="str">
        <f>IF(A92="","",VLOOKUP(A92,DB!A:B,2,0))</f>
        <v/>
      </c>
      <c r="C92" s="5"/>
      <c r="D92" s="5"/>
      <c r="E92" s="5"/>
      <c r="F92" s="5"/>
      <c r="G92" s="5"/>
      <c r="H92" s="5"/>
      <c r="I92" s="5" t="str">
        <f>IF(H92="","",VLOOKUP(H92,DB!A:B,2,0))</f>
        <v/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6" t="str">
        <f>IF(A93="","",VLOOKUP(A93,DB!A:B,2,0))</f>
        <v/>
      </c>
      <c r="C93" s="5"/>
      <c r="D93" s="5"/>
      <c r="E93" s="5"/>
      <c r="F93" s="5"/>
      <c r="G93" s="5"/>
      <c r="H93" s="5"/>
      <c r="I93" s="5" t="str">
        <f>IF(H93="","",VLOOKUP(H93,DB!A:B,2,0))</f>
        <v/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6" t="str">
        <f>IF(A94="","",VLOOKUP(A94,DB!A:B,2,0))</f>
        <v/>
      </c>
      <c r="C94" s="5"/>
      <c r="D94" s="5"/>
      <c r="E94" s="5"/>
      <c r="F94" s="5"/>
      <c r="G94" s="5"/>
      <c r="H94" s="5"/>
      <c r="I94" s="5" t="str">
        <f>IF(H94="","",VLOOKUP(H94,DB!A:B,2,0))</f>
        <v/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6" t="str">
        <f>IF(A95="","",VLOOKUP(A95,DB!A:B,2,0))</f>
        <v/>
      </c>
      <c r="C95" s="5"/>
      <c r="D95" s="5"/>
      <c r="E95" s="5"/>
      <c r="F95" s="5"/>
      <c r="G95" s="5"/>
      <c r="H95" s="5"/>
      <c r="I95" s="5" t="str">
        <f>IF(H95="","",VLOOKUP(H95,DB!A:B,2,0))</f>
        <v/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6" t="str">
        <f>IF(A96="","",VLOOKUP(A96,DB!A:B,2,0))</f>
        <v/>
      </c>
      <c r="C96" s="5"/>
      <c r="D96" s="5"/>
      <c r="E96" s="5"/>
      <c r="F96" s="5"/>
      <c r="G96" s="5"/>
      <c r="H96" s="5"/>
      <c r="I96" s="5" t="str">
        <f>IF(H96="","",VLOOKUP(H96,DB!A:B,2,0))</f>
        <v/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6" t="str">
        <f>IF(A97="","",VLOOKUP(A97,DB!A:B,2,0))</f>
        <v/>
      </c>
      <c r="C97" s="5"/>
      <c r="D97" s="5"/>
      <c r="E97" s="5"/>
      <c r="F97" s="5"/>
      <c r="G97" s="5"/>
      <c r="H97" s="5"/>
      <c r="I97" s="5" t="str">
        <f>IF(H97="","",VLOOKUP(H97,DB!A:B,2,0))</f>
        <v/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6" t="str">
        <f>IF(A98="","",VLOOKUP(A98,DB!A:B,2,0))</f>
        <v/>
      </c>
      <c r="C98" s="5"/>
      <c r="D98" s="5"/>
      <c r="E98" s="5"/>
      <c r="F98" s="5"/>
      <c r="G98" s="5"/>
      <c r="H98" s="5"/>
      <c r="I98" s="5" t="str">
        <f>IF(H98="","",VLOOKUP(H98,DB!A:B,2,0))</f>
        <v/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6" t="str">
        <f>IF(A99="","",VLOOKUP(A99,DB!A:B,2,0))</f>
        <v/>
      </c>
      <c r="C99" s="5"/>
      <c r="D99" s="5"/>
      <c r="E99" s="5"/>
      <c r="F99" s="5"/>
      <c r="G99" s="5"/>
      <c r="H99" s="5"/>
      <c r="I99" s="5" t="str">
        <f>IF(H99="","",VLOOKUP(H99,DB!A:B,2,0))</f>
        <v/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6" t="str">
        <f>IF(A100="","",VLOOKUP(A100,DB!A:B,2,0))</f>
        <v/>
      </c>
      <c r="C100" s="5"/>
      <c r="D100" s="5"/>
      <c r="E100" s="5"/>
      <c r="F100" s="5"/>
      <c r="G100" s="5"/>
      <c r="H100" s="5"/>
      <c r="I100" s="5" t="str">
        <f>IF(H100="","",VLOOKUP(H100,DB!A:B,2,0))</f>
        <v/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6" t="str">
        <f>IF(A101="","",VLOOKUP(A101,DB!A:B,2,0))</f>
        <v/>
      </c>
      <c r="C101" s="5"/>
      <c r="D101" s="5"/>
      <c r="E101" s="5"/>
      <c r="F101" s="5"/>
      <c r="G101" s="5"/>
      <c r="H101" s="5"/>
      <c r="I101" s="5" t="str">
        <f>IF(H101="","",VLOOKUP(H101,DB!A:B,2,0))</f>
        <v/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6" t="str">
        <f>IF(A102="","",VLOOKUP(A102,DB!A:B,2,0))</f>
        <v/>
      </c>
      <c r="C102" s="5"/>
      <c r="D102" s="5"/>
      <c r="E102" s="5"/>
      <c r="F102" s="5"/>
      <c r="G102" s="5"/>
      <c r="H102" s="5"/>
      <c r="I102" s="5" t="str">
        <f>IF(H102="","",VLOOKUP(H102,DB!A:B,2,0))</f>
        <v/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6" t="str">
        <f>IF(A103="","",VLOOKUP(A103,DB!A:B,2,0))</f>
        <v/>
      </c>
      <c r="C103" s="5"/>
      <c r="D103" s="5"/>
      <c r="E103" s="5"/>
      <c r="F103" s="5"/>
      <c r="G103" s="5"/>
      <c r="H103" s="5"/>
      <c r="I103" s="5" t="str">
        <f>IF(H103="","",VLOOKUP(H103,DB!A:B,2,0))</f>
        <v/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6" t="str">
        <f>IF(A104="","",VLOOKUP(A104,DB!A:B,2,0))</f>
        <v/>
      </c>
      <c r="C104" s="5"/>
      <c r="D104" s="5"/>
      <c r="E104" s="5"/>
      <c r="F104" s="5"/>
      <c r="G104" s="5"/>
      <c r="H104" s="5"/>
      <c r="I104" s="5" t="str">
        <f>IF(H104="","",VLOOKUP(H104,DB!A:B,2,0))</f>
        <v/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6" t="str">
        <f>IF(A105="","",VLOOKUP(A105,DB!A:B,2,0))</f>
        <v/>
      </c>
      <c r="C105" s="5"/>
      <c r="D105" s="5"/>
      <c r="E105" s="5"/>
      <c r="F105" s="5"/>
      <c r="G105" s="5"/>
      <c r="H105" s="5"/>
      <c r="I105" s="5" t="str">
        <f>IF(H105="","",VLOOKUP(H105,DB!A:B,2,0))</f>
        <v/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6" t="str">
        <f>IF(A106="","",VLOOKUP(A106,DB!A:B,2,0))</f>
        <v/>
      </c>
      <c r="C106" s="5"/>
      <c r="D106" s="5"/>
      <c r="E106" s="5"/>
      <c r="F106" s="5"/>
      <c r="G106" s="5"/>
      <c r="H106" s="5"/>
      <c r="I106" s="5" t="str">
        <f>IF(H106="","",VLOOKUP(H106,DB!A:B,2,0))</f>
        <v/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6" t="str">
        <f>IF(A107="","",VLOOKUP(A107,DB!A:B,2,0))</f>
        <v/>
      </c>
      <c r="C107" s="5"/>
      <c r="D107" s="5"/>
      <c r="E107" s="5"/>
      <c r="F107" s="5"/>
      <c r="G107" s="5"/>
      <c r="H107" s="5"/>
      <c r="I107" s="5" t="str">
        <f>IF(H107="","",VLOOKUP(H107,DB!A:B,2,0))</f>
        <v/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6" t="str">
        <f>IF(A108="","",VLOOKUP(A108,DB!A:B,2,0))</f>
        <v/>
      </c>
      <c r="C108" s="5"/>
      <c r="D108" s="5"/>
      <c r="E108" s="5"/>
      <c r="F108" s="5"/>
      <c r="G108" s="5"/>
      <c r="H108" s="5"/>
      <c r="I108" s="5" t="str">
        <f>IF(H108="","",VLOOKUP(H108,DB!A:B,2,0))</f>
        <v/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6" t="str">
        <f>IF(A109="","",VLOOKUP(A109,DB!A:B,2,0))</f>
        <v/>
      </c>
      <c r="C109" s="5"/>
      <c r="D109" s="5"/>
      <c r="E109" s="5"/>
      <c r="F109" s="5"/>
      <c r="G109" s="5"/>
      <c r="H109" s="5"/>
      <c r="I109" s="5" t="str">
        <f>IF(H109="","",VLOOKUP(H109,DB!A:B,2,0))</f>
        <v/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6" t="str">
        <f>IF(A110="","",VLOOKUP(A110,DB!A:B,2,0))</f>
        <v/>
      </c>
      <c r="C110" s="5"/>
      <c r="D110" s="5"/>
      <c r="E110" s="5"/>
      <c r="F110" s="5"/>
      <c r="G110" s="5"/>
      <c r="H110" s="5"/>
      <c r="I110" s="5" t="str">
        <f>IF(H110="","",VLOOKUP(H110,DB!A:B,2,0))</f>
        <v/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6" t="str">
        <f>IF(A111="","",VLOOKUP(A111,DB!A:B,2,0))</f>
        <v/>
      </c>
      <c r="C111" s="5"/>
      <c r="D111" s="5"/>
      <c r="E111" s="5"/>
      <c r="F111" s="5"/>
      <c r="G111" s="5"/>
      <c r="H111" s="5"/>
      <c r="I111" s="5" t="str">
        <f>IF(H111="","",VLOOKUP(H111,DB!A:B,2,0))</f>
        <v/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6" t="str">
        <f>IF(A112="","",VLOOKUP(A112,DB!A:B,2,0))</f>
        <v/>
      </c>
      <c r="C112" s="5"/>
      <c r="D112" s="5"/>
      <c r="E112" s="5"/>
      <c r="F112" s="5"/>
      <c r="G112" s="5"/>
      <c r="H112" s="5"/>
      <c r="I112" s="5" t="str">
        <f>IF(H112="","",VLOOKUP(H112,DB!A:B,2,0))</f>
        <v/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6" t="str">
        <f>IF(A113="","",VLOOKUP(A113,DB!A:B,2,0))</f>
        <v/>
      </c>
      <c r="C113" s="5"/>
      <c r="D113" s="5"/>
      <c r="E113" s="5"/>
      <c r="F113" s="5"/>
      <c r="G113" s="5"/>
      <c r="H113" s="5"/>
      <c r="I113" s="5" t="str">
        <f>IF(H113="","",VLOOKUP(H113,DB!A:B,2,0))</f>
        <v/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6" t="str">
        <f>IF(A114="","",VLOOKUP(A114,DB!A:B,2,0))</f>
        <v/>
      </c>
      <c r="C114" s="5"/>
      <c r="D114" s="5"/>
      <c r="E114" s="5"/>
      <c r="F114" s="5"/>
      <c r="G114" s="5"/>
      <c r="H114" s="5"/>
      <c r="I114" s="5" t="str">
        <f>IF(H114="","",VLOOKUP(H114,DB!A:B,2,0))</f>
        <v/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6" t="str">
        <f>IF(A115="","",VLOOKUP(A115,DB!A:B,2,0))</f>
        <v/>
      </c>
      <c r="C115" s="5"/>
      <c r="D115" s="5"/>
      <c r="E115" s="5"/>
      <c r="F115" s="5"/>
      <c r="G115" s="5"/>
      <c r="H115" s="5"/>
      <c r="I115" s="5" t="str">
        <f>IF(H115="","",VLOOKUP(H115,DB!A:B,2,0))</f>
        <v/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6" t="str">
        <f>IF(A116="","",VLOOKUP(A116,DB!A:B,2,0))</f>
        <v/>
      </c>
      <c r="C116" s="5"/>
      <c r="D116" s="5"/>
      <c r="E116" s="5"/>
      <c r="F116" s="5"/>
      <c r="G116" s="5"/>
      <c r="H116" s="5"/>
      <c r="I116" s="5" t="str">
        <f>IF(H116="","",VLOOKUP(H116,DB!A:B,2,0))</f>
        <v/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6" t="str">
        <f>IF(A117="","",VLOOKUP(A117,DB!A:B,2,0))</f>
        <v/>
      </c>
      <c r="C117" s="5"/>
      <c r="D117" s="5"/>
      <c r="E117" s="5"/>
      <c r="F117" s="5"/>
      <c r="G117" s="5"/>
      <c r="H117" s="5"/>
      <c r="I117" s="5" t="str">
        <f>IF(H117="","",VLOOKUP(H117,DB!A:B,2,0))</f>
        <v/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6" t="str">
        <f>IF(A118="","",VLOOKUP(A118,DB!A:B,2,0))</f>
        <v/>
      </c>
      <c r="C118" s="5"/>
      <c r="D118" s="5"/>
      <c r="E118" s="5"/>
      <c r="F118" s="5"/>
      <c r="G118" s="5"/>
      <c r="H118" s="5"/>
      <c r="I118" s="5" t="str">
        <f>IF(H118="","",VLOOKUP(H118,DB!A:B,2,0))</f>
        <v/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6" t="str">
        <f>IF(A119="","",VLOOKUP(A119,DB!A:B,2,0))</f>
        <v/>
      </c>
      <c r="C119" s="5"/>
      <c r="D119" s="5"/>
      <c r="E119" s="5"/>
      <c r="F119" s="5"/>
      <c r="G119" s="5"/>
      <c r="H119" s="5"/>
      <c r="I119" s="5" t="str">
        <f>IF(H119="","",VLOOKUP(H119,DB!A:B,2,0))</f>
        <v/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6" t="str">
        <f>IF(A120="","",VLOOKUP(A120,DB!A:B,2,0))</f>
        <v/>
      </c>
      <c r="C120" s="5"/>
      <c r="D120" s="5"/>
      <c r="E120" s="5"/>
      <c r="F120" s="5"/>
      <c r="G120" s="5"/>
      <c r="H120" s="5"/>
      <c r="I120" s="5" t="str">
        <f>IF(H120="","",VLOOKUP(H120,DB!A:B,2,0))</f>
        <v/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6" t="str">
        <f>IF(A121="","",VLOOKUP(A121,DB!A:B,2,0))</f>
        <v/>
      </c>
      <c r="C121" s="5"/>
      <c r="D121" s="5"/>
      <c r="E121" s="5"/>
      <c r="F121" s="5"/>
      <c r="G121" s="5"/>
      <c r="H121" s="5"/>
      <c r="I121" s="5" t="str">
        <f>IF(H121="","",VLOOKUP(H121,DB!A:B,2,0))</f>
        <v/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6" t="str">
        <f>IF(A122="","",VLOOKUP(A122,DB!A:B,2,0))</f>
        <v/>
      </c>
      <c r="C122" s="5"/>
      <c r="D122" s="5"/>
      <c r="E122" s="5"/>
      <c r="F122" s="5"/>
      <c r="G122" s="5"/>
      <c r="H122" s="5"/>
      <c r="I122" s="5" t="str">
        <f>IF(H122="","",VLOOKUP(H122,DB!A:B,2,0))</f>
        <v/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6" t="str">
        <f>IF(A123="","",VLOOKUP(A123,DB!A:B,2,0))</f>
        <v/>
      </c>
      <c r="C123" s="5"/>
      <c r="D123" s="5"/>
      <c r="E123" s="5"/>
      <c r="F123" s="5"/>
      <c r="G123" s="5"/>
      <c r="H123" s="5"/>
      <c r="I123" s="5" t="str">
        <f>IF(H123="","",VLOOKUP(H123,DB!A:B,2,0))</f>
        <v/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6" t="str">
        <f>IF(A124="","",VLOOKUP(A124,DB!A:B,2,0))</f>
        <v/>
      </c>
      <c r="C124" s="5"/>
      <c r="D124" s="5"/>
      <c r="E124" s="5"/>
      <c r="F124" s="5"/>
      <c r="G124" s="5"/>
      <c r="H124" s="5"/>
      <c r="I124" s="5" t="str">
        <f>IF(H124="","",VLOOKUP(H124,DB!A:B,2,0))</f>
        <v/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6" t="str">
        <f>IF(A125="","",VLOOKUP(A125,DB!A:B,2,0))</f>
        <v/>
      </c>
      <c r="C125" s="5"/>
      <c r="D125" s="5"/>
      <c r="E125" s="5"/>
      <c r="F125" s="5"/>
      <c r="G125" s="5"/>
      <c r="H125" s="5"/>
      <c r="I125" s="5" t="str">
        <f>IF(H125="","",VLOOKUP(H125,DB!A:B,2,0))</f>
        <v/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6" t="str">
        <f>IF(A126="","",VLOOKUP(A126,DB!A:B,2,0))</f>
        <v/>
      </c>
      <c r="C126" s="5"/>
      <c r="D126" s="5"/>
      <c r="E126" s="5"/>
      <c r="F126" s="5"/>
      <c r="G126" s="5"/>
      <c r="H126" s="5"/>
      <c r="I126" s="5" t="str">
        <f>IF(H126="","",VLOOKUP(H126,DB!A:B,2,0))</f>
        <v/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6" t="str">
        <f>IF(A127="","",VLOOKUP(A127,DB!A:B,2,0))</f>
        <v/>
      </c>
      <c r="C127" s="5"/>
      <c r="D127" s="5"/>
      <c r="E127" s="5"/>
      <c r="F127" s="5"/>
      <c r="G127" s="5"/>
      <c r="H127" s="5"/>
      <c r="I127" s="5" t="str">
        <f>IF(H127="","",VLOOKUP(H127,DB!A:B,2,0))</f>
        <v/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6" t="str">
        <f>IF(A128="","",VLOOKUP(A128,DB!A:B,2,0))</f>
        <v/>
      </c>
      <c r="C128" s="5"/>
      <c r="D128" s="5"/>
      <c r="E128" s="5"/>
      <c r="F128" s="5"/>
      <c r="G128" s="5"/>
      <c r="H128" s="5"/>
      <c r="I128" s="5" t="str">
        <f>IF(H128="","",VLOOKUP(H128,DB!A:B,2,0))</f>
        <v/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6" t="str">
        <f>IF(A129="","",VLOOKUP(A129,DB!A:B,2,0))</f>
        <v/>
      </c>
      <c r="C129" s="5"/>
      <c r="D129" s="5"/>
      <c r="E129" s="5"/>
      <c r="F129" s="5"/>
      <c r="G129" s="5"/>
      <c r="H129" s="5"/>
      <c r="I129" s="5" t="str">
        <f>IF(H129="","",VLOOKUP(H129,DB!A:B,2,0))</f>
        <v/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6" t="str">
        <f>IF(A130="","",VLOOKUP(A130,DB!A:B,2,0))</f>
        <v/>
      </c>
      <c r="C130" s="5"/>
      <c r="D130" s="5"/>
      <c r="E130" s="5"/>
      <c r="F130" s="5"/>
      <c r="G130" s="5"/>
      <c r="H130" s="5"/>
      <c r="I130" s="5" t="str">
        <f>IF(H130="","",VLOOKUP(H130,DB!A:B,2,0))</f>
        <v/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6" t="str">
        <f>IF(A131="","",VLOOKUP(A131,DB!A:B,2,0))</f>
        <v/>
      </c>
      <c r="C131" s="5"/>
      <c r="D131" s="5"/>
      <c r="E131" s="5"/>
      <c r="F131" s="5"/>
      <c r="G131" s="5"/>
      <c r="H131" s="5"/>
      <c r="I131" s="5" t="str">
        <f>IF(H131="","",VLOOKUP(H131,DB!A:B,2,0))</f>
        <v/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6" t="str">
        <f>IF(A132="","",VLOOKUP(A132,DB!A:B,2,0))</f>
        <v/>
      </c>
      <c r="C132" s="5"/>
      <c r="D132" s="5"/>
      <c r="E132" s="5"/>
      <c r="F132" s="5"/>
      <c r="G132" s="5"/>
      <c r="H132" s="5"/>
      <c r="I132" s="5" t="str">
        <f>IF(H132="","",VLOOKUP(H132,DB!A:B,2,0))</f>
        <v/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6" t="str">
        <f>IF(A133="","",VLOOKUP(A133,DB!A:B,2,0))</f>
        <v/>
      </c>
      <c r="C133" s="5"/>
      <c r="D133" s="5"/>
      <c r="E133" s="5"/>
      <c r="F133" s="5"/>
      <c r="G133" s="5"/>
      <c r="H133" s="5"/>
      <c r="I133" s="5" t="str">
        <f>IF(H133="","",VLOOKUP(H133,DB!A:B,2,0))</f>
        <v/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6" t="str">
        <f>IF(A134="","",VLOOKUP(A134,DB!A:B,2,0))</f>
        <v/>
      </c>
      <c r="C134" s="5"/>
      <c r="D134" s="5"/>
      <c r="E134" s="5"/>
      <c r="F134" s="5"/>
      <c r="G134" s="5"/>
      <c r="H134" s="5"/>
      <c r="I134" s="5" t="str">
        <f>IF(H134="","",VLOOKUP(H134,DB!A:B,2,0))</f>
        <v/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6" t="str">
        <f>IF(A135="","",VLOOKUP(A135,DB!A:B,2,0))</f>
        <v/>
      </c>
      <c r="C135" s="5"/>
      <c r="D135" s="5"/>
      <c r="E135" s="5"/>
      <c r="F135" s="5"/>
      <c r="G135" s="5"/>
      <c r="H135" s="5"/>
      <c r="I135" s="5" t="str">
        <f>IF(H135="","",VLOOKUP(H135,DB!A:B,2,0))</f>
        <v/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6" t="str">
        <f>IF(A136="","",VLOOKUP(A136,DB!A:B,2,0))</f>
        <v/>
      </c>
      <c r="C136" s="5"/>
      <c r="D136" s="5"/>
      <c r="E136" s="5"/>
      <c r="F136" s="5"/>
      <c r="G136" s="5"/>
      <c r="H136" s="5"/>
      <c r="I136" s="5" t="str">
        <f>IF(H136="","",VLOOKUP(H136,DB!A:B,2,0))</f>
        <v/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6" t="str">
        <f>IF(A137="","",VLOOKUP(A137,DB!A:B,2,0))</f>
        <v/>
      </c>
      <c r="C137" s="5"/>
      <c r="D137" s="5"/>
      <c r="E137" s="5"/>
      <c r="F137" s="5"/>
      <c r="G137" s="5"/>
      <c r="H137" s="5"/>
      <c r="I137" s="5" t="str">
        <f>IF(H137="","",VLOOKUP(H137,DB!A:B,2,0))</f>
        <v/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6" t="str">
        <f>IF(A138="","",VLOOKUP(A138,DB!A:B,2,0))</f>
        <v/>
      </c>
      <c r="C138" s="5"/>
      <c r="D138" s="5"/>
      <c r="E138" s="5"/>
      <c r="F138" s="5"/>
      <c r="G138" s="5"/>
      <c r="H138" s="5"/>
      <c r="I138" s="5" t="str">
        <f>IF(H138="","",VLOOKUP(H138,DB!A:B,2,0))</f>
        <v/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6" t="str">
        <f>IF(A139="","",VLOOKUP(A139,DB!A:B,2,0))</f>
        <v/>
      </c>
      <c r="C139" s="5"/>
      <c r="D139" s="5"/>
      <c r="E139" s="5"/>
      <c r="F139" s="5"/>
      <c r="G139" s="5"/>
      <c r="H139" s="5"/>
      <c r="I139" s="5" t="str">
        <f>IF(H139="","",VLOOKUP(H139,DB!A:B,2,0))</f>
        <v/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6" t="str">
        <f>IF(A140="","",VLOOKUP(A140,DB!A:B,2,0))</f>
        <v/>
      </c>
      <c r="C140" s="5"/>
      <c r="D140" s="5"/>
      <c r="E140" s="5"/>
      <c r="F140" s="5"/>
      <c r="G140" s="5"/>
      <c r="H140" s="5"/>
      <c r="I140" s="5" t="str">
        <f>IF(H140="","",VLOOKUP(H140,DB!A:B,2,0))</f>
        <v/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6" t="str">
        <f>IF(A141="","",VLOOKUP(A141,DB!A:B,2,0))</f>
        <v/>
      </c>
      <c r="C141" s="5"/>
      <c r="D141" s="5"/>
      <c r="E141" s="5"/>
      <c r="F141" s="5"/>
      <c r="G141" s="5"/>
      <c r="H141" s="5"/>
      <c r="I141" s="5" t="str">
        <f>IF(H141="","",VLOOKUP(H141,DB!A:B,2,0))</f>
        <v/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6" t="str">
        <f>IF(A142="","",VLOOKUP(A142,DB!A:B,2,0))</f>
        <v/>
      </c>
      <c r="C142" s="5"/>
      <c r="D142" s="5"/>
      <c r="E142" s="5"/>
      <c r="F142" s="5"/>
      <c r="G142" s="5"/>
      <c r="H142" s="5"/>
      <c r="I142" s="5" t="str">
        <f>IF(H142="","",VLOOKUP(H142,DB!A:B,2,0))</f>
        <v/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6" t="str">
        <f>IF(A143="","",VLOOKUP(A143,DB!A:B,2,0))</f>
        <v/>
      </c>
      <c r="C143" s="5"/>
      <c r="D143" s="5"/>
      <c r="E143" s="5"/>
      <c r="F143" s="5"/>
      <c r="G143" s="5"/>
      <c r="H143" s="5"/>
      <c r="I143" s="5" t="str">
        <f>IF(H143="","",VLOOKUP(H143,DB!A:B,2,0))</f>
        <v/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6" t="str">
        <f>IF(A144="","",VLOOKUP(A144,DB!A:B,2,0))</f>
        <v/>
      </c>
      <c r="C144" s="5"/>
      <c r="D144" s="5"/>
      <c r="E144" s="5"/>
      <c r="F144" s="5"/>
      <c r="G144" s="5"/>
      <c r="H144" s="5"/>
      <c r="I144" s="5" t="str">
        <f>IF(H144="","",VLOOKUP(H144,DB!A:B,2,0))</f>
        <v/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6" t="str">
        <f>IF(A145="","",VLOOKUP(A145,DB!A:B,2,0))</f>
        <v/>
      </c>
      <c r="C145" s="5"/>
      <c r="D145" s="5"/>
      <c r="E145" s="5"/>
      <c r="F145" s="5"/>
      <c r="G145" s="5"/>
      <c r="H145" s="5"/>
      <c r="I145" s="5" t="str">
        <f>IF(H145="","",VLOOKUP(H145,DB!A:B,2,0))</f>
        <v/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6" t="str">
        <f>IF(A146="","",VLOOKUP(A146,DB!A:B,2,0))</f>
        <v/>
      </c>
      <c r="C146" s="5"/>
      <c r="D146" s="5"/>
      <c r="E146" s="5"/>
      <c r="F146" s="5"/>
      <c r="G146" s="5"/>
      <c r="H146" s="5"/>
      <c r="I146" s="5" t="str">
        <f>IF(H146="","",VLOOKUP(H146,DB!A:B,2,0))</f>
        <v/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6" t="str">
        <f>IF(A147="","",VLOOKUP(A147,DB!A:B,2,0))</f>
        <v/>
      </c>
      <c r="C147" s="5"/>
      <c r="D147" s="5"/>
      <c r="E147" s="5"/>
      <c r="F147" s="5"/>
      <c r="G147" s="5"/>
      <c r="H147" s="5"/>
      <c r="I147" s="5" t="str">
        <f>IF(H147="","",VLOOKUP(H147,DB!A:B,2,0))</f>
        <v/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6" t="str">
        <f>IF(A148="","",VLOOKUP(A148,DB!A:B,2,0))</f>
        <v/>
      </c>
      <c r="C148" s="5"/>
      <c r="D148" s="5"/>
      <c r="E148" s="5"/>
      <c r="F148" s="5"/>
      <c r="G148" s="5"/>
      <c r="H148" s="5"/>
      <c r="I148" s="5" t="str">
        <f>IF(H148="","",VLOOKUP(H148,DB!A:B,2,0))</f>
        <v/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6" t="str">
        <f>IF(A149="","",VLOOKUP(A149,DB!A:B,2,0))</f>
        <v/>
      </c>
      <c r="C149" s="5"/>
      <c r="D149" s="5"/>
      <c r="E149" s="5"/>
      <c r="F149" s="5"/>
      <c r="G149" s="5"/>
      <c r="H149" s="5"/>
      <c r="I149" s="5" t="str">
        <f>IF(H149="","",VLOOKUP(H149,DB!A:B,2,0))</f>
        <v/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6" t="str">
        <f>IF(A150="","",VLOOKUP(A150,DB!A:B,2,0))</f>
        <v/>
      </c>
      <c r="C150" s="5"/>
      <c r="D150" s="5"/>
      <c r="E150" s="5"/>
      <c r="F150" s="5"/>
      <c r="G150" s="5"/>
      <c r="H150" s="5"/>
      <c r="I150" s="5" t="str">
        <f>IF(H150="","",VLOOKUP(H150,DB!A:B,2,0))</f>
        <v/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6" t="str">
        <f>IF(A151="","",VLOOKUP(A151,DB!A:B,2,0))</f>
        <v/>
      </c>
      <c r="C151" s="5"/>
      <c r="D151" s="5"/>
      <c r="E151" s="5"/>
      <c r="F151" s="5"/>
      <c r="G151" s="5"/>
      <c r="H151" s="5"/>
      <c r="I151" s="5" t="str">
        <f>IF(H151="","",VLOOKUP(H151,DB!A:B,2,0))</f>
        <v/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6" t="str">
        <f>IF(A152="","",VLOOKUP(A152,DB!A:B,2,0))</f>
        <v/>
      </c>
      <c r="C152" s="5"/>
      <c r="D152" s="5"/>
      <c r="E152" s="5"/>
      <c r="F152" s="5"/>
      <c r="G152" s="5"/>
      <c r="H152" s="5"/>
      <c r="I152" s="5" t="str">
        <f>IF(H152="","",VLOOKUP(H152,DB!A:B,2,0))</f>
        <v/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6" t="str">
        <f>IF(A153="","",VLOOKUP(A153,DB!A:B,2,0))</f>
        <v/>
      </c>
      <c r="C153" s="5"/>
      <c r="D153" s="5"/>
      <c r="E153" s="5"/>
      <c r="F153" s="5"/>
      <c r="G153" s="5"/>
      <c r="H153" s="5"/>
      <c r="I153" s="5" t="str">
        <f>IF(H153="","",VLOOKUP(H153,DB!A:B,2,0))</f>
        <v/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6" t="str">
        <f>IF(A154="","",VLOOKUP(A154,DB!A:B,2,0))</f>
        <v/>
      </c>
      <c r="C154" s="5"/>
      <c r="D154" s="5"/>
      <c r="E154" s="5"/>
      <c r="F154" s="5"/>
      <c r="G154" s="5"/>
      <c r="H154" s="5"/>
      <c r="I154" s="5" t="str">
        <f>IF(H154="","",VLOOKUP(H154,DB!A:B,2,0))</f>
        <v/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6" t="str">
        <f>IF(A155="","",VLOOKUP(A155,DB!A:B,2,0))</f>
        <v/>
      </c>
      <c r="C155" s="5"/>
      <c r="D155" s="5"/>
      <c r="E155" s="5"/>
      <c r="F155" s="5"/>
      <c r="G155" s="5"/>
      <c r="H155" s="5"/>
      <c r="I155" s="5" t="str">
        <f>IF(H155="","",VLOOKUP(H155,DB!A:B,2,0))</f>
        <v/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6" t="str">
        <f>IF(A156="","",VLOOKUP(A156,DB!A:B,2,0))</f>
        <v/>
      </c>
      <c r="C156" s="5"/>
      <c r="D156" s="5"/>
      <c r="E156" s="5"/>
      <c r="F156" s="5"/>
      <c r="G156" s="5"/>
      <c r="H156" s="5"/>
      <c r="I156" s="5" t="str">
        <f>IF(H156="","",VLOOKUP(H156,DB!A:B,2,0))</f>
        <v/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6" t="str">
        <f>IF(A157="","",VLOOKUP(A157,DB!A:B,2,0))</f>
        <v/>
      </c>
      <c r="C157" s="5"/>
      <c r="D157" s="5"/>
      <c r="E157" s="5"/>
      <c r="F157" s="5"/>
      <c r="G157" s="5"/>
      <c r="H157" s="5"/>
      <c r="I157" s="5" t="str">
        <f>IF(H157="","",VLOOKUP(H157,DB!A:B,2,0))</f>
        <v/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6" t="str">
        <f>IF(A158="","",VLOOKUP(A158,DB!A:B,2,0))</f>
        <v/>
      </c>
      <c r="C158" s="5"/>
      <c r="D158" s="5"/>
      <c r="E158" s="5"/>
      <c r="F158" s="5"/>
      <c r="G158" s="5"/>
      <c r="H158" s="5"/>
      <c r="I158" s="5" t="str">
        <f>IF(H158="","",VLOOKUP(H158,DB!A:B,2,0))</f>
        <v/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6" t="str">
        <f>IF(A159="","",VLOOKUP(A159,DB!A:B,2,0))</f>
        <v/>
      </c>
      <c r="C159" s="5"/>
      <c r="D159" s="5"/>
      <c r="E159" s="5"/>
      <c r="F159" s="5"/>
      <c r="G159" s="5"/>
      <c r="H159" s="5"/>
      <c r="I159" s="5" t="str">
        <f>IF(H159="","",VLOOKUP(H159,DB!A:B,2,0))</f>
        <v/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6" t="str">
        <f>IF(A160="","",VLOOKUP(A160,DB!A:B,2,0))</f>
        <v/>
      </c>
      <c r="C160" s="5"/>
      <c r="D160" s="5"/>
      <c r="E160" s="5"/>
      <c r="F160" s="5"/>
      <c r="G160" s="5"/>
      <c r="H160" s="5"/>
      <c r="I160" s="5" t="str">
        <f>IF(H160="","",VLOOKUP(H160,DB!A:B,2,0))</f>
        <v/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6" t="str">
        <f>IF(A161="","",VLOOKUP(A161,DB!A:B,2,0))</f>
        <v/>
      </c>
      <c r="C161" s="5"/>
      <c r="D161" s="5"/>
      <c r="E161" s="5"/>
      <c r="F161" s="5"/>
      <c r="G161" s="5"/>
      <c r="H161" s="5"/>
      <c r="I161" s="5" t="str">
        <f>IF(H161="","",VLOOKUP(H161,DB!A:B,2,0))</f>
        <v/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6" t="str">
        <f>IF(A162="","",VLOOKUP(A162,DB!A:B,2,0))</f>
        <v/>
      </c>
      <c r="C162" s="5"/>
      <c r="D162" s="5"/>
      <c r="E162" s="5"/>
      <c r="F162" s="5"/>
      <c r="G162" s="5"/>
      <c r="H162" s="5"/>
      <c r="I162" s="5" t="str">
        <f>IF(H162="","",VLOOKUP(H162,DB!A:B,2,0))</f>
        <v/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6" t="str">
        <f>IF(A163="","",VLOOKUP(A163,DB!A:B,2,0))</f>
        <v/>
      </c>
      <c r="C163" s="5"/>
      <c r="D163" s="5"/>
      <c r="E163" s="5"/>
      <c r="F163" s="5"/>
      <c r="G163" s="5"/>
      <c r="H163" s="5"/>
      <c r="I163" s="5" t="str">
        <f>IF(H163="","",VLOOKUP(H163,DB!A:B,2,0))</f>
        <v/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6" t="str">
        <f>IF(A164="","",VLOOKUP(A164,DB!A:B,2,0))</f>
        <v/>
      </c>
      <c r="C164" s="5"/>
      <c r="D164" s="5"/>
      <c r="E164" s="5"/>
      <c r="F164" s="5"/>
      <c r="G164" s="5"/>
      <c r="H164" s="5"/>
      <c r="I164" s="5" t="str">
        <f>IF(H164="","",VLOOKUP(H164,DB!A:B,2,0))</f>
        <v/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6" t="str">
        <f>IF(A165="","",VLOOKUP(A165,DB!A:B,2,0))</f>
        <v/>
      </c>
      <c r="C165" s="5"/>
      <c r="D165" s="5"/>
      <c r="E165" s="5"/>
      <c r="F165" s="5"/>
      <c r="G165" s="5"/>
      <c r="H165" s="5"/>
      <c r="I165" s="5" t="str">
        <f>IF(H165="","",VLOOKUP(H165,DB!A:B,2,0))</f>
        <v/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6" t="str">
        <f>IF(A166="","",VLOOKUP(A166,DB!A:B,2,0))</f>
        <v/>
      </c>
      <c r="C166" s="5"/>
      <c r="D166" s="5"/>
      <c r="E166" s="5"/>
      <c r="F166" s="5"/>
      <c r="G166" s="5"/>
      <c r="H166" s="5"/>
      <c r="I166" s="5" t="str">
        <f>IF(H166="","",VLOOKUP(H166,DB!A:B,2,0))</f>
        <v/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6" t="str">
        <f>IF(A167="","",VLOOKUP(A167,DB!A:B,2,0))</f>
        <v/>
      </c>
      <c r="C167" s="5"/>
      <c r="D167" s="5"/>
      <c r="E167" s="5"/>
      <c r="F167" s="5"/>
      <c r="G167" s="5"/>
      <c r="H167" s="5"/>
      <c r="I167" s="5" t="str">
        <f>IF(H167="","",VLOOKUP(H167,DB!A:B,2,0))</f>
        <v/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6" t="str">
        <f>IF(A168="","",VLOOKUP(A168,DB!A:B,2,0))</f>
        <v/>
      </c>
      <c r="C168" s="5"/>
      <c r="D168" s="5"/>
      <c r="E168" s="5"/>
      <c r="F168" s="5"/>
      <c r="G168" s="5"/>
      <c r="H168" s="5"/>
      <c r="I168" s="5" t="str">
        <f>IF(H168="","",VLOOKUP(H168,DB!A:B,2,0))</f>
        <v/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6" t="str">
        <f>IF(A169="","",VLOOKUP(A169,DB!A:B,2,0))</f>
        <v/>
      </c>
      <c r="C169" s="5"/>
      <c r="D169" s="5"/>
      <c r="E169" s="5"/>
      <c r="F169" s="5"/>
      <c r="G169" s="5"/>
      <c r="H169" s="5"/>
      <c r="I169" s="5" t="str">
        <f>IF(H169="","",VLOOKUP(H169,DB!A:B,2,0))</f>
        <v/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6" t="str">
        <f>IF(A170="","",VLOOKUP(A170,DB!A:B,2,0))</f>
        <v/>
      </c>
      <c r="C170" s="5"/>
      <c r="D170" s="5"/>
      <c r="E170" s="5"/>
      <c r="F170" s="5"/>
      <c r="G170" s="5"/>
      <c r="H170" s="5"/>
      <c r="I170" s="5" t="str">
        <f>IF(H170="","",VLOOKUP(H170,DB!A:B,2,0))</f>
        <v/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6" t="str">
        <f>IF(A171="","",VLOOKUP(A171,DB!A:B,2,0))</f>
        <v/>
      </c>
      <c r="C171" s="5"/>
      <c r="D171" s="5"/>
      <c r="E171" s="5"/>
      <c r="F171" s="5"/>
      <c r="G171" s="5"/>
      <c r="H171" s="5"/>
      <c r="I171" s="5" t="str">
        <f>IF(H171="","",VLOOKUP(H171,DB!A:B,2,0))</f>
        <v/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6" t="str">
        <f>IF(A172="","",VLOOKUP(A172,DB!A:B,2,0))</f>
        <v/>
      </c>
      <c r="C172" s="5"/>
      <c r="D172" s="5"/>
      <c r="E172" s="5"/>
      <c r="F172" s="5"/>
      <c r="G172" s="5"/>
      <c r="H172" s="5"/>
      <c r="I172" s="5" t="str">
        <f>IF(H172="","",VLOOKUP(H172,DB!A:B,2,0))</f>
        <v/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6" t="str">
        <f>IF(A173="","",VLOOKUP(A173,DB!A:B,2,0))</f>
        <v/>
      </c>
      <c r="C173" s="5"/>
      <c r="D173" s="5"/>
      <c r="E173" s="5"/>
      <c r="F173" s="5"/>
      <c r="G173" s="5"/>
      <c r="H173" s="5"/>
      <c r="I173" s="5" t="str">
        <f>IF(H173="","",VLOOKUP(H173,DB!A:B,2,0))</f>
        <v/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6" t="str">
        <f>IF(A174="","",VLOOKUP(A174,DB!A:B,2,0))</f>
        <v/>
      </c>
      <c r="C174" s="5"/>
      <c r="D174" s="5"/>
      <c r="E174" s="5"/>
      <c r="F174" s="5"/>
      <c r="G174" s="5"/>
      <c r="H174" s="5"/>
      <c r="I174" s="5" t="str">
        <f>IF(H174="","",VLOOKUP(H174,DB!A:B,2,0))</f>
        <v/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6" t="str">
        <f>IF(A175="","",VLOOKUP(A175,DB!A:B,2,0))</f>
        <v/>
      </c>
      <c r="C175" s="5"/>
      <c r="D175" s="5"/>
      <c r="E175" s="5"/>
      <c r="F175" s="5"/>
      <c r="G175" s="5"/>
      <c r="H175" s="5"/>
      <c r="I175" s="5" t="str">
        <f>IF(H175="","",VLOOKUP(H175,DB!A:B,2,0))</f>
        <v/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6" t="str">
        <f>IF(A176="","",VLOOKUP(A176,DB!A:B,2,0))</f>
        <v/>
      </c>
      <c r="C176" s="5"/>
      <c r="D176" s="5"/>
      <c r="E176" s="5"/>
      <c r="F176" s="5"/>
      <c r="G176" s="5"/>
      <c r="H176" s="5"/>
      <c r="I176" s="5" t="str">
        <f>IF(H176="","",VLOOKUP(H176,DB!A:B,2,0))</f>
        <v/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6" t="str">
        <f>IF(A177="","",VLOOKUP(A177,DB!A:B,2,0))</f>
        <v/>
      </c>
      <c r="C177" s="5"/>
      <c r="D177" s="5"/>
      <c r="E177" s="5"/>
      <c r="F177" s="5"/>
      <c r="G177" s="5"/>
      <c r="H177" s="5"/>
      <c r="I177" s="5" t="str">
        <f>IF(H177="","",VLOOKUP(H177,DB!A:B,2,0))</f>
        <v/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6" t="str">
        <f>IF(A178="","",VLOOKUP(A178,DB!A:B,2,0))</f>
        <v/>
      </c>
      <c r="C178" s="5"/>
      <c r="D178" s="5"/>
      <c r="E178" s="5"/>
      <c r="F178" s="5"/>
      <c r="G178" s="5"/>
      <c r="H178" s="5"/>
      <c r="I178" s="5" t="str">
        <f>IF(H178="","",VLOOKUP(H178,DB!A:B,2,0))</f>
        <v/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6" t="str">
        <f>IF(A179="","",VLOOKUP(A179,DB!A:B,2,0))</f>
        <v/>
      </c>
      <c r="C179" s="5"/>
      <c r="D179" s="5"/>
      <c r="E179" s="5"/>
      <c r="F179" s="5"/>
      <c r="G179" s="5"/>
      <c r="H179" s="5"/>
      <c r="I179" s="5" t="str">
        <f>IF(H179="","",VLOOKUP(H179,DB!A:B,2,0))</f>
        <v/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6" t="str">
        <f>IF(A180="","",VLOOKUP(A180,DB!A:B,2,0))</f>
        <v/>
      </c>
      <c r="C180" s="5"/>
      <c r="D180" s="5"/>
      <c r="E180" s="5"/>
      <c r="F180" s="5"/>
      <c r="G180" s="5"/>
      <c r="H180" s="5"/>
      <c r="I180" s="5" t="str">
        <f>IF(H180="","",VLOOKUP(H180,DB!A:B,2,0))</f>
        <v/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6" t="str">
        <f>IF(A181="","",VLOOKUP(A181,DB!A:B,2,0))</f>
        <v/>
      </c>
      <c r="C181" s="5"/>
      <c r="D181" s="5"/>
      <c r="E181" s="5"/>
      <c r="F181" s="5"/>
      <c r="G181" s="5"/>
      <c r="H181" s="5"/>
      <c r="I181" s="5" t="str">
        <f>IF(H181="","",VLOOKUP(H181,DB!A:B,2,0))</f>
        <v/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6" t="str">
        <f>IF(A182="","",VLOOKUP(A182,DB!A:B,2,0))</f>
        <v/>
      </c>
      <c r="C182" s="5"/>
      <c r="D182" s="5"/>
      <c r="E182" s="5"/>
      <c r="F182" s="5"/>
      <c r="G182" s="5"/>
      <c r="H182" s="5"/>
      <c r="I182" s="5" t="str">
        <f>IF(H182="","",VLOOKUP(H182,DB!A:B,2,0))</f>
        <v/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6" t="str">
        <f>IF(A183="","",VLOOKUP(A183,DB!A:B,2,0))</f>
        <v/>
      </c>
      <c r="C183" s="5"/>
      <c r="D183" s="5"/>
      <c r="E183" s="5"/>
      <c r="F183" s="5"/>
      <c r="G183" s="5"/>
      <c r="H183" s="5"/>
      <c r="I183" s="5" t="str">
        <f>IF(H183="","",VLOOKUP(H183,DB!A:B,2,0))</f>
        <v/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6" t="str">
        <f>IF(A184="","",VLOOKUP(A184,DB!A:B,2,0))</f>
        <v/>
      </c>
      <c r="C184" s="5"/>
      <c r="D184" s="5"/>
      <c r="E184" s="5"/>
      <c r="F184" s="5"/>
      <c r="G184" s="5"/>
      <c r="H184" s="5"/>
      <c r="I184" s="5" t="str">
        <f>IF(H184="","",VLOOKUP(H184,DB!A:B,2,0))</f>
        <v/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6" t="str">
        <f>IF(A185="","",VLOOKUP(A185,DB!A:B,2,0))</f>
        <v/>
      </c>
      <c r="C185" s="5"/>
      <c r="D185" s="5"/>
      <c r="E185" s="5"/>
      <c r="F185" s="5"/>
      <c r="G185" s="5"/>
      <c r="H185" s="5"/>
      <c r="I185" s="5" t="str">
        <f>IF(H185="","",VLOOKUP(H185,DB!A:B,2,0))</f>
        <v/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6" t="str">
        <f>IF(A186="","",VLOOKUP(A186,DB!A:B,2,0))</f>
        <v/>
      </c>
      <c r="C186" s="5"/>
      <c r="D186" s="5"/>
      <c r="E186" s="5"/>
      <c r="F186" s="5"/>
      <c r="G186" s="5"/>
      <c r="H186" s="5"/>
      <c r="I186" s="5" t="str">
        <f>IF(H186="","",VLOOKUP(H186,DB!A:B,2,0))</f>
        <v/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6" t="str">
        <f>IF(A187="","",VLOOKUP(A187,DB!A:B,2,0))</f>
        <v/>
      </c>
      <c r="C187" s="5"/>
      <c r="D187" s="5"/>
      <c r="E187" s="5"/>
      <c r="F187" s="5"/>
      <c r="G187" s="5"/>
      <c r="H187" s="5"/>
      <c r="I187" s="5" t="str">
        <f>IF(H187="","",VLOOKUP(H187,DB!A:B,2,0))</f>
        <v/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6" t="str">
        <f>IF(A188="","",VLOOKUP(A188,DB!A:B,2,0))</f>
        <v/>
      </c>
      <c r="C188" s="5"/>
      <c r="D188" s="5"/>
      <c r="E188" s="5"/>
      <c r="F188" s="5"/>
      <c r="G188" s="5"/>
      <c r="H188" s="5"/>
      <c r="I188" s="5" t="str">
        <f>IF(H188="","",VLOOKUP(H188,DB!A:B,2,0))</f>
        <v/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6" t="str">
        <f>IF(A189="","",VLOOKUP(A189,DB!A:B,2,0))</f>
        <v/>
      </c>
      <c r="C189" s="5"/>
      <c r="D189" s="5"/>
      <c r="E189" s="5"/>
      <c r="F189" s="5"/>
      <c r="G189" s="5"/>
      <c r="H189" s="5"/>
      <c r="I189" s="5" t="str">
        <f>IF(H189="","",VLOOKUP(H189,DB!A:B,2,0))</f>
        <v/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6" t="str">
        <f>IF(A190="","",VLOOKUP(A190,DB!A:B,2,0))</f>
        <v/>
      </c>
      <c r="C190" s="5"/>
      <c r="D190" s="5"/>
      <c r="E190" s="5"/>
      <c r="F190" s="5"/>
      <c r="G190" s="5"/>
      <c r="H190" s="5"/>
      <c r="I190" s="5" t="str">
        <f>IF(H190="","",VLOOKUP(H190,DB!A:B,2,0))</f>
        <v/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6" t="str">
        <f>IF(A191="","",VLOOKUP(A191,DB!A:B,2,0))</f>
        <v/>
      </c>
      <c r="C191" s="5"/>
      <c r="D191" s="5"/>
      <c r="E191" s="5"/>
      <c r="F191" s="5"/>
      <c r="G191" s="5"/>
      <c r="H191" s="5"/>
      <c r="I191" s="5" t="str">
        <f>IF(H191="","",VLOOKUP(H191,DB!A:B,2,0))</f>
        <v/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6" t="str">
        <f>IF(A192="","",VLOOKUP(A192,DB!A:B,2,0))</f>
        <v/>
      </c>
      <c r="C192" s="5"/>
      <c r="D192" s="5"/>
      <c r="E192" s="5"/>
      <c r="F192" s="5"/>
      <c r="G192" s="5"/>
      <c r="H192" s="5"/>
      <c r="I192" s="5" t="str">
        <f>IF(H192="","",VLOOKUP(H192,DB!A:B,2,0))</f>
        <v/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6" t="str">
        <f>IF(A193="","",VLOOKUP(A193,DB!A:B,2,0))</f>
        <v/>
      </c>
      <c r="C193" s="5"/>
      <c r="D193" s="5"/>
      <c r="E193" s="5"/>
      <c r="F193" s="5"/>
      <c r="G193" s="5"/>
      <c r="H193" s="5"/>
      <c r="I193" s="5" t="str">
        <f>IF(H193="","",VLOOKUP(H193,DB!A:B,2,0))</f>
        <v/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6" t="str">
        <f>IF(A194="","",VLOOKUP(A194,DB!A:B,2,0))</f>
        <v/>
      </c>
      <c r="C194" s="5"/>
      <c r="D194" s="5"/>
      <c r="E194" s="5"/>
      <c r="F194" s="5"/>
      <c r="G194" s="5"/>
      <c r="H194" s="5"/>
      <c r="I194" s="5" t="str">
        <f>IF(H194="","",VLOOKUP(H194,DB!A:B,2,0))</f>
        <v/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6" t="str">
        <f>IF(A195="","",VLOOKUP(A195,DB!A:B,2,0))</f>
        <v/>
      </c>
      <c r="C195" s="5"/>
      <c r="D195" s="5"/>
      <c r="E195" s="5"/>
      <c r="F195" s="5"/>
      <c r="G195" s="5"/>
      <c r="H195" s="5"/>
      <c r="I195" s="5" t="str">
        <f>IF(H195="","",VLOOKUP(H195,DB!A:B,2,0))</f>
        <v/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6" t="str">
        <f>IF(A196="","",VLOOKUP(A196,DB!A:B,2,0))</f>
        <v/>
      </c>
      <c r="C196" s="5"/>
      <c r="D196" s="5"/>
      <c r="E196" s="5"/>
      <c r="F196" s="5"/>
      <c r="G196" s="5"/>
      <c r="H196" s="5"/>
      <c r="I196" s="5" t="str">
        <f>IF(H196="","",VLOOKUP(H196,DB!A:B,2,0))</f>
        <v/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6" t="str">
        <f>IF(A197="","",VLOOKUP(A197,DB!A:B,2,0))</f>
        <v/>
      </c>
      <c r="C197" s="5"/>
      <c r="D197" s="5"/>
      <c r="E197" s="5"/>
      <c r="F197" s="5"/>
      <c r="G197" s="5"/>
      <c r="H197" s="5"/>
      <c r="I197" s="5" t="str">
        <f>IF(H197="","",VLOOKUP(H197,DB!A:B,2,0))</f>
        <v/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6" t="str">
        <f>IF(A198="","",VLOOKUP(A198,DB!A:B,2,0))</f>
        <v/>
      </c>
      <c r="C198" s="5"/>
      <c r="D198" s="5"/>
      <c r="E198" s="5"/>
      <c r="F198" s="5"/>
      <c r="G198" s="5"/>
      <c r="H198" s="5"/>
      <c r="I198" s="5" t="str">
        <f>IF(H198="","",VLOOKUP(H198,DB!A:B,2,0))</f>
        <v/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6" t="str">
        <f>IF(A199="","",VLOOKUP(A199,DB!A:B,2,0))</f>
        <v/>
      </c>
      <c r="C199" s="5"/>
      <c r="D199" s="5"/>
      <c r="E199" s="5"/>
      <c r="F199" s="5"/>
      <c r="G199" s="5"/>
      <c r="H199" s="5"/>
      <c r="I199" s="5" t="str">
        <f>IF(H199="","",VLOOKUP(H199,DB!A:B,2,0))</f>
        <v/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6" t="str">
        <f>IF(A200="","",VLOOKUP(A200,DB!A:B,2,0))</f>
        <v/>
      </c>
      <c r="C200" s="5"/>
      <c r="D200" s="5"/>
      <c r="E200" s="5"/>
      <c r="F200" s="5"/>
      <c r="G200" s="5"/>
      <c r="H200" s="5"/>
      <c r="I200" s="5" t="str">
        <f>IF(H200="","",VLOOKUP(H200,DB!A:B,2,0))</f>
        <v/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6" t="str">
        <f>IF(A201="","",VLOOKUP(A201,DB!A:B,2,0))</f>
        <v/>
      </c>
      <c r="C201" s="5"/>
      <c r="D201" s="5"/>
      <c r="E201" s="5"/>
      <c r="F201" s="5"/>
      <c r="G201" s="5"/>
      <c r="H201" s="5"/>
      <c r="I201" s="5" t="str">
        <f>IF(H201="","",VLOOKUP(H201,DB!A:B,2,0))</f>
        <v/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6" t="str">
        <f>IF(A202="","",VLOOKUP(A202,DB!A:B,2,0))</f>
        <v/>
      </c>
      <c r="C202" s="5"/>
      <c r="D202" s="5"/>
      <c r="E202" s="5"/>
      <c r="F202" s="5"/>
      <c r="G202" s="5"/>
      <c r="H202" s="5"/>
      <c r="I202" s="5" t="str">
        <f>IF(H202="","",VLOOKUP(H202,DB!A:B,2,0))</f>
        <v/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6" t="str">
        <f>IF(A203="","",VLOOKUP(A203,DB!A:B,2,0))</f>
        <v/>
      </c>
      <c r="C203" s="5"/>
      <c r="D203" s="5"/>
      <c r="E203" s="5"/>
      <c r="F203" s="5"/>
      <c r="G203" s="5"/>
      <c r="H203" s="5"/>
      <c r="I203" s="5" t="str">
        <f>IF(H203="","",VLOOKUP(H203,DB!A:B,2,0))</f>
        <v/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6" t="str">
        <f>IF(A204="","",VLOOKUP(A204,DB!A:B,2,0))</f>
        <v/>
      </c>
      <c r="C204" s="5"/>
      <c r="D204" s="5"/>
      <c r="E204" s="5"/>
      <c r="F204" s="5"/>
      <c r="G204" s="5"/>
      <c r="H204" s="5"/>
      <c r="I204" s="5" t="str">
        <f>IF(H204="","",VLOOKUP(H204,DB!A:B,2,0))</f>
        <v/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6" t="str">
        <f>IF(A205="","",VLOOKUP(A205,DB!A:B,2,0))</f>
        <v/>
      </c>
      <c r="C205" s="5"/>
      <c r="D205" s="5"/>
      <c r="E205" s="5"/>
      <c r="F205" s="5"/>
      <c r="G205" s="5"/>
      <c r="H205" s="5"/>
      <c r="I205" s="5" t="str">
        <f>IF(H205="","",VLOOKUP(H205,DB!A:B,2,0))</f>
        <v/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6" t="str">
        <f>IF(A206="","",VLOOKUP(A206,DB!A:B,2,0))</f>
        <v/>
      </c>
      <c r="C206" s="5"/>
      <c r="D206" s="5"/>
      <c r="E206" s="5"/>
      <c r="F206" s="5"/>
      <c r="G206" s="5"/>
      <c r="H206" s="5"/>
      <c r="I206" s="5" t="str">
        <f>IF(H206="","",VLOOKUP(H206,DB!A:B,2,0))</f>
        <v/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6" t="str">
        <f>IF(A207="","",VLOOKUP(A207,DB!A:B,2,0))</f>
        <v/>
      </c>
      <c r="C207" s="5"/>
      <c r="D207" s="5"/>
      <c r="E207" s="5"/>
      <c r="F207" s="5"/>
      <c r="G207" s="5"/>
      <c r="H207" s="5"/>
      <c r="I207" s="5" t="str">
        <f>IF(H207="","",VLOOKUP(H207,DB!A:B,2,0))</f>
        <v/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6" t="str">
        <f>IF(A208="","",VLOOKUP(A208,DB!A:B,2,0))</f>
        <v/>
      </c>
      <c r="C208" s="5"/>
      <c r="D208" s="5"/>
      <c r="E208" s="5"/>
      <c r="F208" s="5"/>
      <c r="G208" s="5"/>
      <c r="H208" s="5"/>
      <c r="I208" s="5" t="str">
        <f>IF(H208="","",VLOOKUP(H208,DB!A:B,2,0))</f>
        <v/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6" t="str">
        <f>IF(A209="","",VLOOKUP(A209,DB!A:B,2,0))</f>
        <v/>
      </c>
      <c r="C209" s="5"/>
      <c r="D209" s="5"/>
      <c r="E209" s="5"/>
      <c r="F209" s="5"/>
      <c r="G209" s="5"/>
      <c r="H209" s="5"/>
      <c r="I209" s="5" t="str">
        <f>IF(H209="","",VLOOKUP(H209,DB!A:B,2,0))</f>
        <v/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6" t="str">
        <f>IF(A210="","",VLOOKUP(A210,DB!A:B,2,0))</f>
        <v/>
      </c>
      <c r="C210" s="5"/>
      <c r="D210" s="5"/>
      <c r="E210" s="5"/>
      <c r="F210" s="5"/>
      <c r="G210" s="5"/>
      <c r="H210" s="5"/>
      <c r="I210" s="5" t="str">
        <f>IF(H210="","",VLOOKUP(H210,DB!A:B,2,0))</f>
        <v/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6" t="str">
        <f>IF(A211="","",VLOOKUP(A211,DB!A:B,2,0))</f>
        <v/>
      </c>
      <c r="C211" s="5"/>
      <c r="D211" s="5"/>
      <c r="E211" s="5"/>
      <c r="F211" s="5"/>
      <c r="G211" s="5"/>
      <c r="H211" s="5"/>
      <c r="I211" s="5" t="str">
        <f>IF(H211="","",VLOOKUP(H211,DB!A:B,2,0))</f>
        <v/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6" t="str">
        <f>IF(A212="","",VLOOKUP(A212,DB!A:B,2,0))</f>
        <v/>
      </c>
      <c r="C212" s="5"/>
      <c r="D212" s="5"/>
      <c r="E212" s="5"/>
      <c r="F212" s="5"/>
      <c r="G212" s="5"/>
      <c r="H212" s="5"/>
      <c r="I212" s="5" t="str">
        <f>IF(H212="","",VLOOKUP(H212,DB!A:B,2,0))</f>
        <v/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6" t="str">
        <f>IF(A213="","",VLOOKUP(A213,DB!A:B,2,0))</f>
        <v/>
      </c>
      <c r="C213" s="5"/>
      <c r="D213" s="5"/>
      <c r="E213" s="5"/>
      <c r="F213" s="5"/>
      <c r="G213" s="5"/>
      <c r="H213" s="5"/>
      <c r="I213" s="5" t="str">
        <f>IF(H213="","",VLOOKUP(H213,DB!A:B,2,0))</f>
        <v/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6" t="str">
        <f>IF(A214="","",VLOOKUP(A214,DB!A:B,2,0))</f>
        <v/>
      </c>
      <c r="C214" s="5"/>
      <c r="D214" s="5"/>
      <c r="E214" s="5"/>
      <c r="F214" s="5"/>
      <c r="G214" s="5"/>
      <c r="H214" s="5"/>
      <c r="I214" s="5" t="str">
        <f>IF(H214="","",VLOOKUP(H214,DB!A:B,2,0))</f>
        <v/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6" t="str">
        <f>IF(A215="","",VLOOKUP(A215,DB!A:B,2,0))</f>
        <v/>
      </c>
      <c r="C215" s="5"/>
      <c r="D215" s="5"/>
      <c r="E215" s="5"/>
      <c r="F215" s="5"/>
      <c r="G215" s="5"/>
      <c r="H215" s="5"/>
      <c r="I215" s="5" t="str">
        <f>IF(H215="","",VLOOKUP(H215,DB!A:B,2,0))</f>
        <v/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6" t="str">
        <f>IF(A216="","",VLOOKUP(A216,DB!A:B,2,0))</f>
        <v/>
      </c>
      <c r="C216" s="5"/>
      <c r="D216" s="5"/>
      <c r="E216" s="5"/>
      <c r="F216" s="5"/>
      <c r="G216" s="5"/>
      <c r="H216" s="5"/>
      <c r="I216" s="5" t="str">
        <f>IF(H216="","",VLOOKUP(H216,DB!A:B,2,0))</f>
        <v/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6" t="str">
        <f>IF(A217="","",VLOOKUP(A217,DB!A:B,2,0))</f>
        <v/>
      </c>
      <c r="C217" s="5"/>
      <c r="D217" s="5"/>
      <c r="E217" s="5"/>
      <c r="F217" s="5"/>
      <c r="G217" s="5"/>
      <c r="H217" s="5"/>
      <c r="I217" s="5" t="str">
        <f>IF(H217="","",VLOOKUP(H217,DB!A:B,2,0))</f>
        <v/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6" t="str">
        <f>IF(A218="","",VLOOKUP(A218,DB!A:B,2,0))</f>
        <v/>
      </c>
      <c r="C218" s="5"/>
      <c r="D218" s="5"/>
      <c r="E218" s="5"/>
      <c r="F218" s="5"/>
      <c r="G218" s="5"/>
      <c r="H218" s="5"/>
      <c r="I218" s="5" t="str">
        <f>IF(H218="","",VLOOKUP(H218,DB!A:B,2,0))</f>
        <v/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6" t="str">
        <f>IF(A219="","",VLOOKUP(A219,DB!A:B,2,0))</f>
        <v/>
      </c>
      <c r="C219" s="5"/>
      <c r="D219" s="5"/>
      <c r="E219" s="5"/>
      <c r="F219" s="5"/>
      <c r="G219" s="5"/>
      <c r="H219" s="5"/>
      <c r="I219" s="5" t="str">
        <f>IF(H219="","",VLOOKUP(H219,DB!A:B,2,0))</f>
        <v/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6" t="str">
        <f>IF(A220="","",VLOOKUP(A220,DB!A:B,2,0))</f>
        <v/>
      </c>
      <c r="C220" s="5"/>
      <c r="D220" s="5"/>
      <c r="E220" s="5"/>
      <c r="F220" s="5"/>
      <c r="G220" s="5"/>
      <c r="H220" s="5"/>
      <c r="I220" s="5" t="str">
        <f>IF(H220="","",VLOOKUP(H220,DB!A:B,2,0))</f>
        <v/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6" t="str">
        <f>IF(A221="","",VLOOKUP(A221,DB!A:B,2,0))</f>
        <v/>
      </c>
      <c r="C221" s="5"/>
      <c r="D221" s="5"/>
      <c r="E221" s="5"/>
      <c r="F221" s="5"/>
      <c r="G221" s="5"/>
      <c r="H221" s="5"/>
      <c r="I221" s="5" t="str">
        <f>IF(H221="","",VLOOKUP(H221,DB!A:B,2,0))</f>
        <v/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6" t="str">
        <f>IF(A222="","",VLOOKUP(A222,DB!A:B,2,0))</f>
        <v/>
      </c>
      <c r="C222" s="5"/>
      <c r="D222" s="5"/>
      <c r="E222" s="5"/>
      <c r="F222" s="5"/>
      <c r="G222" s="5"/>
      <c r="H222" s="5"/>
      <c r="I222" s="5" t="str">
        <f>IF(H222="","",VLOOKUP(H222,DB!A:B,2,0))</f>
        <v/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6" t="str">
        <f>IF(A223="","",VLOOKUP(A223,DB!A:B,2,0))</f>
        <v/>
      </c>
      <c r="C223" s="5"/>
      <c r="D223" s="5"/>
      <c r="E223" s="5"/>
      <c r="F223" s="5"/>
      <c r="G223" s="5"/>
      <c r="H223" s="5"/>
      <c r="I223" s="5" t="str">
        <f>IF(H223="","",VLOOKUP(H223,DB!A:B,2,0))</f>
        <v/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6" t="str">
        <f>IF(A224="","",VLOOKUP(A224,DB!A:B,2,0))</f>
        <v/>
      </c>
      <c r="C224" s="5"/>
      <c r="D224" s="5"/>
      <c r="E224" s="5"/>
      <c r="F224" s="5"/>
      <c r="G224" s="5"/>
      <c r="H224" s="5"/>
      <c r="I224" s="5" t="str">
        <f>IF(H224="","",VLOOKUP(H224,DB!A:B,2,0))</f>
        <v/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6" t="str">
        <f>IF(A225="","",VLOOKUP(A225,DB!A:B,2,0))</f>
        <v/>
      </c>
      <c r="C225" s="5"/>
      <c r="D225" s="5"/>
      <c r="E225" s="5"/>
      <c r="F225" s="5"/>
      <c r="G225" s="5"/>
      <c r="H225" s="5"/>
      <c r="I225" s="5" t="str">
        <f>IF(H225="","",VLOOKUP(H225,DB!A:B,2,0))</f>
        <v/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6" t="str">
        <f>IF(A226="","",VLOOKUP(A226,DB!A:B,2,0))</f>
        <v/>
      </c>
      <c r="C226" s="5"/>
      <c r="D226" s="5"/>
      <c r="E226" s="5"/>
      <c r="F226" s="5"/>
      <c r="G226" s="5"/>
      <c r="H226" s="5"/>
      <c r="I226" s="5" t="str">
        <f>IF(H226="","",VLOOKUP(H226,DB!A:B,2,0))</f>
        <v/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6" t="str">
        <f>IF(A227="","",VLOOKUP(A227,DB!A:B,2,0))</f>
        <v/>
      </c>
      <c r="C227" s="5"/>
      <c r="D227" s="5"/>
      <c r="E227" s="5"/>
      <c r="F227" s="5"/>
      <c r="G227" s="5"/>
      <c r="H227" s="5"/>
      <c r="I227" s="5" t="str">
        <f>IF(H227="","",VLOOKUP(H227,DB!A:B,2,0))</f>
        <v/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6" t="str">
        <f>IF(A228="","",VLOOKUP(A228,DB!A:B,2,0))</f>
        <v/>
      </c>
      <c r="C228" s="5"/>
      <c r="D228" s="5"/>
      <c r="E228" s="5"/>
      <c r="F228" s="5"/>
      <c r="G228" s="5"/>
      <c r="H228" s="5"/>
      <c r="I228" s="5" t="str">
        <f>IF(H228="","",VLOOKUP(H228,DB!A:B,2,0))</f>
        <v/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6" t="str">
        <f>IF(A229="","",VLOOKUP(A229,DB!A:B,2,0))</f>
        <v/>
      </c>
      <c r="C229" s="5"/>
      <c r="D229" s="5"/>
      <c r="E229" s="5"/>
      <c r="F229" s="5"/>
      <c r="G229" s="5"/>
      <c r="H229" s="5"/>
      <c r="I229" s="5" t="str">
        <f>IF(H229="","",VLOOKUP(H229,DB!A:B,2,0))</f>
        <v/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6" t="str">
        <f>IF(A230="","",VLOOKUP(A230,DB!A:B,2,0))</f>
        <v/>
      </c>
      <c r="C230" s="5"/>
      <c r="D230" s="5"/>
      <c r="E230" s="5"/>
      <c r="F230" s="5"/>
      <c r="G230" s="5"/>
      <c r="H230" s="5"/>
      <c r="I230" s="5" t="str">
        <f>IF(H230="","",VLOOKUP(H230,DB!A:B,2,0))</f>
        <v/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6" t="str">
        <f>IF(A231="","",VLOOKUP(A231,DB!A:B,2,0))</f>
        <v/>
      </c>
      <c r="C231" s="5"/>
      <c r="D231" s="5"/>
      <c r="E231" s="5"/>
      <c r="F231" s="5"/>
      <c r="G231" s="5"/>
      <c r="H231" s="5"/>
      <c r="I231" s="5" t="str">
        <f>IF(H231="","",VLOOKUP(H231,DB!A:B,2,0))</f>
        <v/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6" t="str">
        <f>IF(A232="","",VLOOKUP(A232,DB!A:B,2,0))</f>
        <v/>
      </c>
      <c r="C232" s="5"/>
      <c r="D232" s="5"/>
      <c r="E232" s="5"/>
      <c r="F232" s="5"/>
      <c r="G232" s="5"/>
      <c r="H232" s="5"/>
      <c r="I232" s="5" t="str">
        <f>IF(H232="","",VLOOKUP(H232,DB!A:B,2,0))</f>
        <v/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6" t="str">
        <f>IF(A233="","",VLOOKUP(A233,DB!A:B,2,0))</f>
        <v/>
      </c>
      <c r="C233" s="5"/>
      <c r="D233" s="5"/>
      <c r="E233" s="5"/>
      <c r="F233" s="5"/>
      <c r="G233" s="5"/>
      <c r="H233" s="5"/>
      <c r="I233" s="5" t="str">
        <f>IF(H233="","",VLOOKUP(H233,DB!A:B,2,0))</f>
        <v/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6" t="str">
        <f>IF(A234="","",VLOOKUP(A234,DB!A:B,2,0))</f>
        <v/>
      </c>
      <c r="C234" s="5"/>
      <c r="D234" s="5"/>
      <c r="E234" s="5"/>
      <c r="F234" s="5"/>
      <c r="G234" s="5"/>
      <c r="H234" s="5"/>
      <c r="I234" s="5" t="str">
        <f>IF(H234="","",VLOOKUP(H234,DB!A:B,2,0))</f>
        <v/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6" t="str">
        <f>IF(A235="","",VLOOKUP(A235,DB!A:B,2,0))</f>
        <v/>
      </c>
      <c r="C235" s="5"/>
      <c r="D235" s="5"/>
      <c r="E235" s="5"/>
      <c r="F235" s="5"/>
      <c r="G235" s="5"/>
      <c r="H235" s="5"/>
      <c r="I235" s="5" t="str">
        <f>IF(H235="","",VLOOKUP(H235,DB!A:B,2,0))</f>
        <v/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6" t="str">
        <f>IF(A236="","",VLOOKUP(A236,DB!A:B,2,0))</f>
        <v/>
      </c>
      <c r="C236" s="5"/>
      <c r="D236" s="5"/>
      <c r="E236" s="5"/>
      <c r="F236" s="5"/>
      <c r="G236" s="5"/>
      <c r="H236" s="5"/>
      <c r="I236" s="5" t="str">
        <f>IF(H236="","",VLOOKUP(H236,DB!A:B,2,0))</f>
        <v/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6" t="str">
        <f>IF(A237="","",VLOOKUP(A237,DB!A:B,2,0))</f>
        <v/>
      </c>
      <c r="C237" s="5"/>
      <c r="D237" s="5"/>
      <c r="E237" s="5"/>
      <c r="F237" s="5"/>
      <c r="G237" s="5"/>
      <c r="H237" s="5"/>
      <c r="I237" s="5" t="str">
        <f>IF(H237="","",VLOOKUP(H237,DB!A:B,2,0))</f>
        <v/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6" t="str">
        <f>IF(A238="","",VLOOKUP(A238,DB!A:B,2,0))</f>
        <v/>
      </c>
      <c r="C238" s="5"/>
      <c r="D238" s="5"/>
      <c r="E238" s="5"/>
      <c r="F238" s="5"/>
      <c r="G238" s="5"/>
      <c r="H238" s="5"/>
      <c r="I238" s="5" t="str">
        <f>IF(H238="","",VLOOKUP(H238,DB!A:B,2,0))</f>
        <v/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6" t="str">
        <f>IF(A239="","",VLOOKUP(A239,DB!A:B,2,0))</f>
        <v/>
      </c>
      <c r="C239" s="5"/>
      <c r="D239" s="5"/>
      <c r="E239" s="5"/>
      <c r="F239" s="5"/>
      <c r="G239" s="5"/>
      <c r="H239" s="5"/>
      <c r="I239" s="5" t="str">
        <f>IF(H239="","",VLOOKUP(H239,DB!A:B,2,0))</f>
        <v/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6" t="str">
        <f>IF(A240="","",VLOOKUP(A240,DB!A:B,2,0))</f>
        <v/>
      </c>
      <c r="C240" s="5"/>
      <c r="D240" s="5"/>
      <c r="E240" s="5"/>
      <c r="F240" s="5"/>
      <c r="G240" s="5"/>
      <c r="H240" s="5"/>
      <c r="I240" s="5" t="str">
        <f>IF(H240="","",VLOOKUP(H240,DB!A:B,2,0))</f>
        <v/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6" t="str">
        <f>IF(A241="","",VLOOKUP(A241,DB!A:B,2,0))</f>
        <v/>
      </c>
      <c r="C241" s="5"/>
      <c r="D241" s="5"/>
      <c r="E241" s="5"/>
      <c r="F241" s="5"/>
      <c r="G241" s="5"/>
      <c r="H241" s="5"/>
      <c r="I241" s="5" t="str">
        <f>IF(H241="","",VLOOKUP(H241,DB!A:B,2,0))</f>
        <v/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6" t="str">
        <f>IF(A242="","",VLOOKUP(A242,DB!A:B,2,0))</f>
        <v/>
      </c>
      <c r="C242" s="5"/>
      <c r="D242" s="5"/>
      <c r="E242" s="5"/>
      <c r="F242" s="5"/>
      <c r="G242" s="5"/>
      <c r="H242" s="5"/>
      <c r="I242" s="5" t="str">
        <f>IF(H242="","",VLOOKUP(H242,DB!A:B,2,0))</f>
        <v/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6" t="str">
        <f>IF(A243="","",VLOOKUP(A243,DB!A:B,2,0))</f>
        <v/>
      </c>
      <c r="C243" s="5"/>
      <c r="D243" s="5"/>
      <c r="E243" s="5"/>
      <c r="F243" s="5"/>
      <c r="G243" s="5"/>
      <c r="H243" s="5"/>
      <c r="I243" s="5" t="str">
        <f>IF(H243="","",VLOOKUP(H243,DB!A:B,2,0))</f>
        <v/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6" t="str">
        <f>IF(A244="","",VLOOKUP(A244,DB!A:B,2,0))</f>
        <v/>
      </c>
      <c r="C244" s="5"/>
      <c r="D244" s="5"/>
      <c r="E244" s="5"/>
      <c r="F244" s="5"/>
      <c r="G244" s="5"/>
      <c r="H244" s="5"/>
      <c r="I244" s="5" t="str">
        <f>IF(H244="","",VLOOKUP(H244,DB!A:B,2,0))</f>
        <v/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6" t="str">
        <f>IF(A245="","",VLOOKUP(A245,DB!A:B,2,0))</f>
        <v/>
      </c>
      <c r="C245" s="5"/>
      <c r="D245" s="5"/>
      <c r="E245" s="5"/>
      <c r="F245" s="5"/>
      <c r="G245" s="5"/>
      <c r="H245" s="5"/>
      <c r="I245" s="5" t="str">
        <f>IF(H245="","",VLOOKUP(H245,DB!A:B,2,0))</f>
        <v/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6" t="str">
        <f>IF(A246="","",VLOOKUP(A246,DB!A:B,2,0))</f>
        <v/>
      </c>
      <c r="C246" s="5"/>
      <c r="D246" s="5"/>
      <c r="E246" s="5"/>
      <c r="F246" s="5"/>
      <c r="G246" s="5"/>
      <c r="H246" s="5"/>
      <c r="I246" s="5" t="str">
        <f>IF(H246="","",VLOOKUP(H246,DB!A:B,2,0))</f>
        <v/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6" t="str">
        <f>IF(A247="","",VLOOKUP(A247,DB!A:B,2,0))</f>
        <v/>
      </c>
      <c r="C247" s="5"/>
      <c r="D247" s="5"/>
      <c r="E247" s="5"/>
      <c r="F247" s="5"/>
      <c r="G247" s="5"/>
      <c r="H247" s="5"/>
      <c r="I247" s="5" t="str">
        <f>IF(H247="","",VLOOKUP(H247,DB!A:B,2,0))</f>
        <v/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6" t="str">
        <f>IF(A248="","",VLOOKUP(A248,DB!A:B,2,0))</f>
        <v/>
      </c>
      <c r="C248" s="5"/>
      <c r="D248" s="5"/>
      <c r="E248" s="5"/>
      <c r="F248" s="5"/>
      <c r="G248" s="5"/>
      <c r="H248" s="5"/>
      <c r="I248" s="5" t="str">
        <f>IF(H248="","",VLOOKUP(H248,DB!A:B,2,0))</f>
        <v/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6" t="str">
        <f>IF(A249="","",VLOOKUP(A249,DB!A:B,2,0))</f>
        <v/>
      </c>
      <c r="C249" s="5"/>
      <c r="D249" s="5"/>
      <c r="E249" s="5"/>
      <c r="F249" s="5"/>
      <c r="G249" s="5"/>
      <c r="H249" s="5"/>
      <c r="I249" s="5" t="str">
        <f>IF(H249="","",VLOOKUP(H249,DB!A:B,2,0))</f>
        <v/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6" t="str">
        <f>IF(A250="","",VLOOKUP(A250,DB!A:B,2,0))</f>
        <v/>
      </c>
      <c r="C250" s="5"/>
      <c r="D250" s="5"/>
      <c r="E250" s="5"/>
      <c r="F250" s="5"/>
      <c r="G250" s="5"/>
      <c r="H250" s="5"/>
      <c r="I250" s="5" t="str">
        <f>IF(H250="","",VLOOKUP(H250,DB!A:B,2,0))</f>
        <v/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6" t="str">
        <f>IF(A251="","",VLOOKUP(A251,DB!A:B,2,0))</f>
        <v/>
      </c>
      <c r="C251" s="5"/>
      <c r="D251" s="5"/>
      <c r="E251" s="5"/>
      <c r="F251" s="5"/>
      <c r="G251" s="5"/>
      <c r="H251" s="5"/>
      <c r="I251" s="5" t="str">
        <f>IF(H251="","",VLOOKUP(H251,DB!A:B,2,0))</f>
        <v/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6" t="str">
        <f>IF(A252="","",VLOOKUP(A252,DB!A:B,2,0))</f>
        <v/>
      </c>
      <c r="C252" s="5"/>
      <c r="D252" s="5"/>
      <c r="E252" s="5"/>
      <c r="F252" s="5"/>
      <c r="G252" s="5"/>
      <c r="H252" s="5"/>
      <c r="I252" s="5" t="str">
        <f>IF(H252="","",VLOOKUP(H252,DB!A:B,2,0))</f>
        <v/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6" t="str">
        <f>IF(A253="","",VLOOKUP(A253,DB!A:B,2,0))</f>
        <v/>
      </c>
      <c r="C253" s="5"/>
      <c r="D253" s="5"/>
      <c r="E253" s="5"/>
      <c r="F253" s="5"/>
      <c r="G253" s="5"/>
      <c r="H253" s="5"/>
      <c r="I253" s="5" t="str">
        <f>IF(H253="","",VLOOKUP(H253,DB!A:B,2,0))</f>
        <v/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6" t="str">
        <f>IF(A254="","",VLOOKUP(A254,DB!A:B,2,0))</f>
        <v/>
      </c>
      <c r="C254" s="5"/>
      <c r="D254" s="5"/>
      <c r="E254" s="5"/>
      <c r="F254" s="5"/>
      <c r="G254" s="5"/>
      <c r="H254" s="5"/>
      <c r="I254" s="5" t="str">
        <f>IF(H254="","",VLOOKUP(H254,DB!A:B,2,0))</f>
        <v/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6" t="str">
        <f>IF(A255="","",VLOOKUP(A255,DB!A:B,2,0))</f>
        <v/>
      </c>
      <c r="C255" s="5"/>
      <c r="D255" s="5"/>
      <c r="E255" s="5"/>
      <c r="F255" s="5"/>
      <c r="G255" s="5"/>
      <c r="H255" s="5"/>
      <c r="I255" s="5" t="str">
        <f>IF(H255="","",VLOOKUP(H255,DB!A:B,2,0))</f>
        <v/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6" t="str">
        <f>IF(A256="","",VLOOKUP(A256,DB!A:B,2,0))</f>
        <v/>
      </c>
      <c r="C256" s="5"/>
      <c r="D256" s="5"/>
      <c r="E256" s="5"/>
      <c r="F256" s="5"/>
      <c r="G256" s="5"/>
      <c r="H256" s="5"/>
      <c r="I256" s="5" t="str">
        <f>IF(H256="","",VLOOKUP(H256,DB!A:B,2,0))</f>
        <v/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6" t="str">
        <f>IF(A257="","",VLOOKUP(A257,DB!A:B,2,0))</f>
        <v/>
      </c>
      <c r="C257" s="5"/>
      <c r="D257" s="5"/>
      <c r="E257" s="5"/>
      <c r="F257" s="5"/>
      <c r="G257" s="5"/>
      <c r="H257" s="5"/>
      <c r="I257" s="5" t="str">
        <f>IF(H257="","",VLOOKUP(H257,DB!A:B,2,0))</f>
        <v/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6" t="str">
        <f>IF(A258="","",VLOOKUP(A258,DB!A:B,2,0))</f>
        <v/>
      </c>
      <c r="C258" s="5"/>
      <c r="D258" s="5"/>
      <c r="E258" s="5"/>
      <c r="F258" s="5"/>
      <c r="G258" s="5"/>
      <c r="H258" s="5"/>
      <c r="I258" s="5" t="str">
        <f>IF(H258="","",VLOOKUP(H258,DB!A:B,2,0))</f>
        <v/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6" t="str">
        <f>IF(A259="","",VLOOKUP(A259,DB!A:B,2,0))</f>
        <v/>
      </c>
      <c r="C259" s="5"/>
      <c r="D259" s="5"/>
      <c r="E259" s="5"/>
      <c r="F259" s="5"/>
      <c r="G259" s="5"/>
      <c r="H259" s="5"/>
      <c r="I259" s="5" t="str">
        <f>IF(H259="","",VLOOKUP(H259,DB!A:B,2,0))</f>
        <v/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6" t="str">
        <f>IF(A260="","",VLOOKUP(A260,DB!A:B,2,0))</f>
        <v/>
      </c>
      <c r="C260" s="5"/>
      <c r="D260" s="5"/>
      <c r="E260" s="5"/>
      <c r="F260" s="5"/>
      <c r="G260" s="5"/>
      <c r="H260" s="5"/>
      <c r="I260" s="5" t="str">
        <f>IF(H260="","",VLOOKUP(H260,DB!A:B,2,0))</f>
        <v/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6" t="str">
        <f>IF(A261="","",VLOOKUP(A261,DB!A:B,2,0))</f>
        <v/>
      </c>
      <c r="C261" s="5"/>
      <c r="D261" s="5"/>
      <c r="E261" s="5"/>
      <c r="F261" s="5"/>
      <c r="G261" s="5"/>
      <c r="H261" s="5"/>
      <c r="I261" s="5" t="str">
        <f>IF(H261="","",VLOOKUP(H261,DB!A:B,2,0))</f>
        <v/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6" t="str">
        <f>IF(A262="","",VLOOKUP(A262,DB!A:B,2,0))</f>
        <v/>
      </c>
      <c r="C262" s="5"/>
      <c r="D262" s="5"/>
      <c r="E262" s="5"/>
      <c r="F262" s="5"/>
      <c r="G262" s="5"/>
      <c r="H262" s="5"/>
      <c r="I262" s="5" t="str">
        <f>IF(H262="","",VLOOKUP(H262,DB!A:B,2,0))</f>
        <v/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6" t="str">
        <f>IF(A263="","",VLOOKUP(A263,DB!A:B,2,0))</f>
        <v/>
      </c>
      <c r="C263" s="5"/>
      <c r="D263" s="5"/>
      <c r="E263" s="5"/>
      <c r="F263" s="5"/>
      <c r="G263" s="5"/>
      <c r="H263" s="5"/>
      <c r="I263" s="5" t="str">
        <f>IF(H263="","",VLOOKUP(H263,DB!A:B,2,0))</f>
        <v/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6" t="str">
        <f>IF(A264="","",VLOOKUP(A264,DB!A:B,2,0))</f>
        <v/>
      </c>
      <c r="C264" s="5"/>
      <c r="D264" s="5"/>
      <c r="E264" s="5"/>
      <c r="F264" s="5"/>
      <c r="G264" s="5"/>
      <c r="H264" s="5"/>
      <c r="I264" s="5" t="str">
        <f>IF(H264="","",VLOOKUP(H264,DB!A:B,2,0))</f>
        <v/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6" t="str">
        <f>IF(A265="","",VLOOKUP(A265,DB!A:B,2,0))</f>
        <v/>
      </c>
      <c r="C265" s="5"/>
      <c r="D265" s="5"/>
      <c r="E265" s="5"/>
      <c r="F265" s="5"/>
      <c r="G265" s="5"/>
      <c r="H265" s="5"/>
      <c r="I265" s="5" t="str">
        <f>IF(H265="","",VLOOKUP(H265,DB!A:B,2,0))</f>
        <v/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6" t="str">
        <f>IF(A266="","",VLOOKUP(A266,DB!A:B,2,0))</f>
        <v/>
      </c>
      <c r="C266" s="5"/>
      <c r="D266" s="5"/>
      <c r="E266" s="5"/>
      <c r="F266" s="5"/>
      <c r="G266" s="5"/>
      <c r="H266" s="5"/>
      <c r="I266" s="5" t="str">
        <f>IF(H266="","",VLOOKUP(H266,DB!A:B,2,0))</f>
        <v/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6" t="str">
        <f>IF(A267="","",VLOOKUP(A267,DB!A:B,2,0))</f>
        <v/>
      </c>
      <c r="C267" s="5"/>
      <c r="D267" s="5"/>
      <c r="E267" s="5"/>
      <c r="F267" s="5"/>
      <c r="G267" s="5"/>
      <c r="H267" s="5"/>
      <c r="I267" s="5" t="str">
        <f>IF(H267="","",VLOOKUP(H267,DB!A:B,2,0))</f>
        <v/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6" t="str">
        <f>IF(A268="","",VLOOKUP(A268,DB!A:B,2,0))</f>
        <v/>
      </c>
      <c r="C268" s="5"/>
      <c r="D268" s="5"/>
      <c r="E268" s="5"/>
      <c r="F268" s="5"/>
      <c r="G268" s="5"/>
      <c r="H268" s="5"/>
      <c r="I268" s="5" t="str">
        <f>IF(H268="","",VLOOKUP(H268,DB!A:B,2,0))</f>
        <v/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6" t="str">
        <f>IF(A269="","",VLOOKUP(A269,DB!A:B,2,0))</f>
        <v/>
      </c>
      <c r="C269" s="5"/>
      <c r="D269" s="5"/>
      <c r="E269" s="5"/>
      <c r="F269" s="5"/>
      <c r="G269" s="5"/>
      <c r="H269" s="5"/>
      <c r="I269" s="5" t="str">
        <f>IF(H269="","",VLOOKUP(H269,DB!A:B,2,0))</f>
        <v/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6" t="str">
        <f>IF(A270="","",VLOOKUP(A270,DB!A:B,2,0))</f>
        <v/>
      </c>
      <c r="C270" s="5"/>
      <c r="D270" s="5"/>
      <c r="E270" s="5"/>
      <c r="F270" s="5"/>
      <c r="G270" s="5"/>
      <c r="H270" s="5"/>
      <c r="I270" s="5" t="str">
        <f>IF(H270="","",VLOOKUP(H270,DB!A:B,2,0))</f>
        <v/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6" t="str">
        <f>IF(A271="","",VLOOKUP(A271,DB!A:B,2,0))</f>
        <v/>
      </c>
      <c r="C271" s="5"/>
      <c r="D271" s="5"/>
      <c r="E271" s="5"/>
      <c r="F271" s="5"/>
      <c r="G271" s="5"/>
      <c r="H271" s="5"/>
      <c r="I271" s="5" t="str">
        <f>IF(H271="","",VLOOKUP(H271,DB!A:B,2,0))</f>
        <v/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6" t="str">
        <f>IF(A272="","",VLOOKUP(A272,DB!A:B,2,0))</f>
        <v/>
      </c>
      <c r="C272" s="5"/>
      <c r="D272" s="5"/>
      <c r="E272" s="5"/>
      <c r="F272" s="5"/>
      <c r="G272" s="5"/>
      <c r="H272" s="5"/>
      <c r="I272" s="5" t="str">
        <f>IF(H272="","",VLOOKUP(H272,DB!A:B,2,0))</f>
        <v/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6" t="str">
        <f>IF(A273="","",VLOOKUP(A273,DB!A:B,2,0))</f>
        <v/>
      </c>
      <c r="C273" s="5"/>
      <c r="D273" s="5"/>
      <c r="E273" s="5"/>
      <c r="F273" s="5"/>
      <c r="G273" s="5"/>
      <c r="H273" s="5"/>
      <c r="I273" s="5" t="str">
        <f>IF(H273="","",VLOOKUP(H273,DB!A:B,2,0))</f>
        <v/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6" t="str">
        <f>IF(A274="","",VLOOKUP(A274,DB!A:B,2,0))</f>
        <v/>
      </c>
      <c r="C274" s="5"/>
      <c r="D274" s="5"/>
      <c r="E274" s="5"/>
      <c r="F274" s="5"/>
      <c r="G274" s="5"/>
      <c r="H274" s="5"/>
      <c r="I274" s="5" t="str">
        <f>IF(H274="","",VLOOKUP(H274,DB!A:B,2,0))</f>
        <v/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6" t="str">
        <f>IF(A275="","",VLOOKUP(A275,DB!A:B,2,0))</f>
        <v/>
      </c>
      <c r="C275" s="5"/>
      <c r="D275" s="5"/>
      <c r="E275" s="5"/>
      <c r="F275" s="5"/>
      <c r="G275" s="5"/>
      <c r="H275" s="5"/>
      <c r="I275" s="5" t="str">
        <f>IF(H275="","",VLOOKUP(H275,DB!A:B,2,0))</f>
        <v/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6" t="str">
        <f>IF(A276="","",VLOOKUP(A276,DB!A:B,2,0))</f>
        <v/>
      </c>
      <c r="C276" s="5"/>
      <c r="D276" s="5"/>
      <c r="E276" s="5"/>
      <c r="F276" s="5"/>
      <c r="G276" s="5"/>
      <c r="H276" s="5"/>
      <c r="I276" s="5" t="str">
        <f>IF(H276="","",VLOOKUP(H276,DB!A:B,2,0))</f>
        <v/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6" t="str">
        <f>IF(A277="","",VLOOKUP(A277,DB!A:B,2,0))</f>
        <v/>
      </c>
      <c r="C277" s="5"/>
      <c r="D277" s="5"/>
      <c r="E277" s="5"/>
      <c r="F277" s="5"/>
      <c r="G277" s="5"/>
      <c r="H277" s="5"/>
      <c r="I277" s="5" t="str">
        <f>IF(H277="","",VLOOKUP(H277,DB!A:B,2,0))</f>
        <v/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6" t="str">
        <f>IF(A278="","",VLOOKUP(A278,DB!A:B,2,0))</f>
        <v/>
      </c>
      <c r="C278" s="5"/>
      <c r="D278" s="5"/>
      <c r="E278" s="5"/>
      <c r="F278" s="5"/>
      <c r="G278" s="5"/>
      <c r="H278" s="5"/>
      <c r="I278" s="5" t="str">
        <f>IF(H278="","",VLOOKUP(H278,DB!A:B,2,0))</f>
        <v/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6" t="str">
        <f>IF(A279="","",VLOOKUP(A279,DB!A:B,2,0))</f>
        <v/>
      </c>
      <c r="C279" s="5"/>
      <c r="D279" s="5"/>
      <c r="E279" s="5"/>
      <c r="F279" s="5"/>
      <c r="G279" s="5"/>
      <c r="H279" s="5"/>
      <c r="I279" s="5" t="str">
        <f>IF(H279="","",VLOOKUP(H279,DB!A:B,2,0))</f>
        <v/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6" t="str">
        <f>IF(A280="","",VLOOKUP(A280,DB!A:B,2,0))</f>
        <v/>
      </c>
      <c r="C280" s="5"/>
      <c r="D280" s="5"/>
      <c r="E280" s="5"/>
      <c r="F280" s="5"/>
      <c r="G280" s="5"/>
      <c r="H280" s="5"/>
      <c r="I280" s="5" t="str">
        <f>IF(H280="","",VLOOKUP(H280,DB!A:B,2,0))</f>
        <v/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6" t="str">
        <f>IF(A281="","",VLOOKUP(A281,DB!A:B,2,0))</f>
        <v/>
      </c>
      <c r="C281" s="5"/>
      <c r="D281" s="5"/>
      <c r="E281" s="5"/>
      <c r="F281" s="5"/>
      <c r="G281" s="5"/>
      <c r="H281" s="5"/>
      <c r="I281" s="5" t="str">
        <f>IF(H281="","",VLOOKUP(H281,DB!A:B,2,0))</f>
        <v/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6" t="str">
        <f>IF(A282="","",VLOOKUP(A282,DB!A:B,2,0))</f>
        <v/>
      </c>
      <c r="C282" s="5"/>
      <c r="D282" s="5"/>
      <c r="E282" s="5"/>
      <c r="F282" s="5"/>
      <c r="G282" s="5"/>
      <c r="H282" s="5"/>
      <c r="I282" s="5" t="str">
        <f>IF(H282="","",VLOOKUP(H282,DB!A:B,2,0))</f>
        <v/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6" t="str">
        <f>IF(A283="","",VLOOKUP(A283,DB!A:B,2,0))</f>
        <v/>
      </c>
      <c r="C283" s="5"/>
      <c r="D283" s="5"/>
      <c r="E283" s="5"/>
      <c r="F283" s="5"/>
      <c r="G283" s="5"/>
      <c r="H283" s="5"/>
      <c r="I283" s="5" t="str">
        <f>IF(H283="","",VLOOKUP(H283,DB!A:B,2,0))</f>
        <v/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6" t="str">
        <f>IF(A284="","",VLOOKUP(A284,DB!A:B,2,0))</f>
        <v/>
      </c>
      <c r="C284" s="5"/>
      <c r="D284" s="5"/>
      <c r="E284" s="5"/>
      <c r="F284" s="5"/>
      <c r="G284" s="5"/>
      <c r="H284" s="5"/>
      <c r="I284" s="5" t="str">
        <f>IF(H284="","",VLOOKUP(H284,DB!A:B,2,0))</f>
        <v/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6" t="str">
        <f>IF(A285="","",VLOOKUP(A285,DB!A:B,2,0))</f>
        <v/>
      </c>
      <c r="C285" s="5"/>
      <c r="D285" s="5"/>
      <c r="E285" s="5"/>
      <c r="F285" s="5"/>
      <c r="G285" s="5"/>
      <c r="H285" s="5"/>
      <c r="I285" s="5" t="str">
        <f>IF(H285="","",VLOOKUP(H285,DB!A:B,2,0))</f>
        <v/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6" t="str">
        <f>IF(A286="","",VLOOKUP(A286,DB!A:B,2,0))</f>
        <v/>
      </c>
      <c r="C286" s="5"/>
      <c r="D286" s="5"/>
      <c r="E286" s="5"/>
      <c r="F286" s="5"/>
      <c r="G286" s="5"/>
      <c r="H286" s="5"/>
      <c r="I286" s="5" t="str">
        <f>IF(H286="","",VLOOKUP(H286,DB!A:B,2,0))</f>
        <v/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6" t="str">
        <f>IF(A287="","",VLOOKUP(A287,DB!A:B,2,0))</f>
        <v/>
      </c>
      <c r="C287" s="5"/>
      <c r="D287" s="5"/>
      <c r="E287" s="5"/>
      <c r="F287" s="5"/>
      <c r="G287" s="5"/>
      <c r="H287" s="5"/>
      <c r="I287" s="5" t="str">
        <f>IF(H287="","",VLOOKUP(H287,DB!A:B,2,0))</f>
        <v/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6" t="str">
        <f>IF(A288="","",VLOOKUP(A288,DB!A:B,2,0))</f>
        <v/>
      </c>
      <c r="C288" s="5"/>
      <c r="D288" s="5"/>
      <c r="E288" s="5"/>
      <c r="F288" s="5"/>
      <c r="G288" s="5"/>
      <c r="H288" s="5"/>
      <c r="I288" s="5" t="str">
        <f>IF(H288="","",VLOOKUP(H288,DB!A:B,2,0))</f>
        <v/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6" t="str">
        <f>IF(A289="","",VLOOKUP(A289,DB!A:B,2,0))</f>
        <v/>
      </c>
      <c r="C289" s="5"/>
      <c r="D289" s="5"/>
      <c r="E289" s="5"/>
      <c r="F289" s="5"/>
      <c r="G289" s="5"/>
      <c r="H289" s="5"/>
      <c r="I289" s="5" t="str">
        <f>IF(H289="","",VLOOKUP(H289,DB!A:B,2,0))</f>
        <v/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6" t="str">
        <f>IF(A290="","",VLOOKUP(A290,DB!A:B,2,0))</f>
        <v/>
      </c>
      <c r="C290" s="5"/>
      <c r="D290" s="5"/>
      <c r="E290" s="5"/>
      <c r="F290" s="5"/>
      <c r="G290" s="5"/>
      <c r="H290" s="5"/>
      <c r="I290" s="5" t="str">
        <f>IF(H290="","",VLOOKUP(H290,DB!A:B,2,0))</f>
        <v/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6" t="str">
        <f>IF(A291="","",VLOOKUP(A291,DB!A:B,2,0))</f>
        <v/>
      </c>
      <c r="C291" s="5"/>
      <c r="D291" s="5"/>
      <c r="E291" s="5"/>
      <c r="F291" s="5"/>
      <c r="G291" s="5"/>
      <c r="H291" s="5"/>
      <c r="I291" s="5" t="str">
        <f>IF(H291="","",VLOOKUP(H291,DB!A:B,2,0))</f>
        <v/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6" t="str">
        <f>IF(A292="","",VLOOKUP(A292,DB!A:B,2,0))</f>
        <v/>
      </c>
      <c r="C292" s="5"/>
      <c r="D292" s="5"/>
      <c r="E292" s="5"/>
      <c r="F292" s="5"/>
      <c r="G292" s="5"/>
      <c r="H292" s="5"/>
      <c r="I292" s="5" t="str">
        <f>IF(H292="","",VLOOKUP(H292,DB!A:B,2,0))</f>
        <v/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6" t="str">
        <f>IF(A293="","",VLOOKUP(A293,DB!A:B,2,0))</f>
        <v/>
      </c>
      <c r="C293" s="5"/>
      <c r="D293" s="5"/>
      <c r="E293" s="5"/>
      <c r="F293" s="5"/>
      <c r="G293" s="5"/>
      <c r="H293" s="5"/>
      <c r="I293" s="5" t="str">
        <f>IF(H293="","",VLOOKUP(H293,DB!A:B,2,0))</f>
        <v/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6" t="str">
        <f>IF(A294="","",VLOOKUP(A294,DB!A:B,2,0))</f>
        <v/>
      </c>
      <c r="C294" s="5"/>
      <c r="D294" s="5"/>
      <c r="E294" s="5"/>
      <c r="F294" s="5"/>
      <c r="G294" s="5"/>
      <c r="H294" s="5"/>
      <c r="I294" s="5" t="str">
        <f>IF(H294="","",VLOOKUP(H294,DB!A:B,2,0))</f>
        <v/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6" t="str">
        <f>IF(A295="","",VLOOKUP(A295,DB!A:B,2,0))</f>
        <v/>
      </c>
      <c r="C295" s="5"/>
      <c r="D295" s="5"/>
      <c r="E295" s="5"/>
      <c r="F295" s="5"/>
      <c r="G295" s="5"/>
      <c r="H295" s="5"/>
      <c r="I295" s="5" t="str">
        <f>IF(H295="","",VLOOKUP(H295,DB!A:B,2,0))</f>
        <v/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6" t="str">
        <f>IF(A296="","",VLOOKUP(A296,DB!A:B,2,0))</f>
        <v/>
      </c>
      <c r="C296" s="5"/>
      <c r="D296" s="5"/>
      <c r="E296" s="5"/>
      <c r="F296" s="5"/>
      <c r="G296" s="5"/>
      <c r="H296" s="5"/>
      <c r="I296" s="5" t="str">
        <f>IF(H296="","",VLOOKUP(H296,DB!A:B,2,0))</f>
        <v/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6" t="str">
        <f>IF(A297="","",VLOOKUP(A297,DB!A:B,2,0))</f>
        <v/>
      </c>
      <c r="C297" s="5"/>
      <c r="D297" s="5"/>
      <c r="E297" s="5"/>
      <c r="F297" s="5"/>
      <c r="G297" s="5"/>
      <c r="H297" s="5"/>
      <c r="I297" s="5" t="str">
        <f>IF(H297="","",VLOOKUP(H297,DB!A:B,2,0))</f>
        <v/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6" t="str">
        <f>IF(A298="","",VLOOKUP(A298,DB!A:B,2,0))</f>
        <v/>
      </c>
      <c r="C298" s="5"/>
      <c r="D298" s="5"/>
      <c r="E298" s="5"/>
      <c r="F298" s="5"/>
      <c r="G298" s="5"/>
      <c r="H298" s="5"/>
      <c r="I298" s="5" t="str">
        <f>IF(H298="","",VLOOKUP(H298,DB!A:B,2,0))</f>
        <v/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6" t="str">
        <f>IF(A299="","",VLOOKUP(A299,DB!A:B,2,0))</f>
        <v/>
      </c>
      <c r="C299" s="5"/>
      <c r="D299" s="5"/>
      <c r="E299" s="5"/>
      <c r="F299" s="5"/>
      <c r="G299" s="5"/>
      <c r="H299" s="5"/>
      <c r="I299" s="5" t="str">
        <f>IF(H299="","",VLOOKUP(H299,DB!A:B,2,0))</f>
        <v/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6" t="str">
        <f>IF(A300="","",VLOOKUP(A300,DB!A:B,2,0))</f>
        <v/>
      </c>
      <c r="C300" s="5"/>
      <c r="D300" s="5"/>
      <c r="E300" s="5"/>
      <c r="F300" s="5"/>
      <c r="G300" s="5"/>
      <c r="H300" s="5"/>
      <c r="I300" s="5" t="str">
        <f>IF(H300="","",VLOOKUP(H300,DB!A:B,2,0))</f>
        <v/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6" t="str">
        <f>IF(A301="","",VLOOKUP(A301,DB!A:B,2,0))</f>
        <v/>
      </c>
      <c r="C301" s="5"/>
      <c r="D301" s="5"/>
      <c r="E301" s="5"/>
      <c r="F301" s="5"/>
      <c r="G301" s="5"/>
      <c r="H301" s="5"/>
      <c r="I301" s="5" t="str">
        <f>IF(H301="","",VLOOKUP(H301,DB!A:B,2,0))</f>
        <v/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6" t="str">
        <f>IF(A302="","",VLOOKUP(A302,DB!A:B,2,0))</f>
        <v/>
      </c>
      <c r="C302" s="5"/>
      <c r="D302" s="5"/>
      <c r="E302" s="5"/>
      <c r="F302" s="5"/>
      <c r="G302" s="5"/>
      <c r="H302" s="5"/>
      <c r="I302" s="5" t="str">
        <f>IF(H302="","",VLOOKUP(H302,DB!A:B,2,0))</f>
        <v/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6" t="str">
        <f>IF(A303="","",VLOOKUP(A303,DB!A:B,2,0))</f>
        <v/>
      </c>
      <c r="C303" s="5"/>
      <c r="D303" s="5"/>
      <c r="E303" s="5"/>
      <c r="F303" s="5"/>
      <c r="G303" s="5"/>
      <c r="H303" s="5"/>
      <c r="I303" s="5" t="str">
        <f>IF(H303="","",VLOOKUP(H303,DB!A:B,2,0))</f>
        <v/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6" t="str">
        <f>IF(A304="","",VLOOKUP(A304,DB!A:B,2,0))</f>
        <v/>
      </c>
      <c r="C304" s="5"/>
      <c r="D304" s="5"/>
      <c r="E304" s="5"/>
      <c r="F304" s="5"/>
      <c r="G304" s="5"/>
      <c r="H304" s="5"/>
      <c r="I304" s="5" t="str">
        <f>IF(H304="","",VLOOKUP(H304,DB!A:B,2,0))</f>
        <v/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6" t="str">
        <f>IF(A305="","",VLOOKUP(A305,DB!A:B,2,0))</f>
        <v/>
      </c>
      <c r="C305" s="5"/>
      <c r="D305" s="5"/>
      <c r="E305" s="5"/>
      <c r="F305" s="5"/>
      <c r="G305" s="5"/>
      <c r="H305" s="5"/>
      <c r="I305" s="5" t="str">
        <f>IF(H305="","",VLOOKUP(H305,DB!A:B,2,0))</f>
        <v/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6" t="str">
        <f>IF(A306="","",VLOOKUP(A306,DB!A:B,2,0))</f>
        <v/>
      </c>
      <c r="C306" s="5"/>
      <c r="D306" s="5"/>
      <c r="E306" s="5"/>
      <c r="F306" s="5"/>
      <c r="G306" s="5"/>
      <c r="H306" s="5"/>
      <c r="I306" s="5" t="str">
        <f>IF(H306="","",VLOOKUP(H306,DB!A:B,2,0))</f>
        <v/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6" t="str">
        <f>IF(A307="","",VLOOKUP(A307,DB!A:B,2,0))</f>
        <v/>
      </c>
      <c r="C307" s="5"/>
      <c r="D307" s="5"/>
      <c r="E307" s="5"/>
      <c r="F307" s="5"/>
      <c r="G307" s="5"/>
      <c r="H307" s="5"/>
      <c r="I307" s="5" t="str">
        <f>IF(H307="","",VLOOKUP(H307,DB!A:B,2,0))</f>
        <v/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6" t="str">
        <f>IF(A308="","",VLOOKUP(A308,DB!A:B,2,0))</f>
        <v/>
      </c>
      <c r="C308" s="5"/>
      <c r="D308" s="5"/>
      <c r="E308" s="5"/>
      <c r="F308" s="5"/>
      <c r="G308" s="5"/>
      <c r="H308" s="5"/>
      <c r="I308" s="5" t="str">
        <f>IF(H308="","",VLOOKUP(H308,DB!A:B,2,0))</f>
        <v/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6" t="str">
        <f>IF(A309="","",VLOOKUP(A309,DB!A:B,2,0))</f>
        <v/>
      </c>
      <c r="C309" s="5"/>
      <c r="D309" s="5"/>
      <c r="E309" s="5"/>
      <c r="F309" s="5"/>
      <c r="G309" s="5"/>
      <c r="H309" s="5"/>
      <c r="I309" s="5" t="str">
        <f>IF(H309="","",VLOOKUP(H309,DB!A:B,2,0))</f>
        <v/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6"/>
      <c r="B310" s="6" t="str">
        <f>IF(A310="","",VLOOKUP(A310,DB!A:B,2,0))</f>
        <v/>
      </c>
      <c r="C310" s="5"/>
      <c r="D310" s="5"/>
      <c r="E310" s="5"/>
      <c r="F310" s="5"/>
      <c r="G310" s="5"/>
      <c r="H310" s="5"/>
      <c r="I310" s="5" t="str">
        <f>IF(H310="","",VLOOKUP(H310,DB!A:B,2,0))</f>
        <v/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6"/>
      <c r="B311" s="6" t="str">
        <f>IF(A311="","",VLOOKUP(A311,DB!A:B,2,0))</f>
        <v/>
      </c>
      <c r="C311" s="5"/>
      <c r="D311" s="5"/>
      <c r="E311" s="5"/>
      <c r="F311" s="5"/>
      <c r="G311" s="5"/>
      <c r="H311" s="5"/>
      <c r="I311" s="5" t="str">
        <f>IF(H311="","",VLOOKUP(H311,DB!A:B,2,0))</f>
        <v/>
      </c>
      <c r="J311" s="6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6"/>
      <c r="B312" s="6" t="str">
        <f>IF(A312="","",VLOOKUP(A312,DB!A:B,2,0))</f>
        <v/>
      </c>
      <c r="C312" s="5"/>
      <c r="D312" s="5"/>
      <c r="E312" s="5"/>
      <c r="F312" s="5"/>
      <c r="G312" s="5"/>
      <c r="H312" s="5"/>
      <c r="I312" s="5" t="str">
        <f>IF(H312="","",VLOOKUP(H312,DB!A:B,2,0))</f>
        <v/>
      </c>
      <c r="J312" s="6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6"/>
      <c r="B313" s="6" t="str">
        <f>IF(A313="","",VLOOKUP(A313,DB!A:B,2,0))</f>
        <v/>
      </c>
      <c r="C313" s="5"/>
      <c r="D313" s="5"/>
      <c r="E313" s="5"/>
      <c r="F313" s="5"/>
      <c r="G313" s="5"/>
      <c r="H313" s="5"/>
      <c r="I313" s="5" t="str">
        <f>IF(H313="","",VLOOKUP(H313,DB!A:B,2,0))</f>
        <v/>
      </c>
      <c r="J313" s="6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6"/>
      <c r="B314" s="6" t="str">
        <f>IF(A314="","",VLOOKUP(A314,DB!A:B,2,0))</f>
        <v/>
      </c>
      <c r="C314" s="5"/>
      <c r="D314" s="5"/>
      <c r="E314" s="5"/>
      <c r="F314" s="5"/>
      <c r="G314" s="5"/>
      <c r="H314" s="5"/>
      <c r="I314" s="5" t="str">
        <f>IF(H314="","",VLOOKUP(H314,DB!A:B,2,0))</f>
        <v/>
      </c>
      <c r="J314" s="6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6"/>
      <c r="B315" s="6" t="str">
        <f>IF(A315="","",VLOOKUP(A315,DB!A:B,2,0))</f>
        <v/>
      </c>
      <c r="C315" s="5"/>
      <c r="D315" s="5"/>
      <c r="E315" s="5"/>
      <c r="F315" s="5"/>
      <c r="G315" s="5"/>
      <c r="H315" s="5"/>
      <c r="I315" s="5" t="str">
        <f>IF(H315="","",VLOOKUP(H315,DB!A:B,2,0))</f>
        <v/>
      </c>
      <c r="J315" s="6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6"/>
      <c r="B316" s="6" t="str">
        <f>IF(A316="","",VLOOKUP(A316,DB!A:B,2,0))</f>
        <v/>
      </c>
      <c r="C316" s="5"/>
      <c r="D316" s="5"/>
      <c r="E316" s="5"/>
      <c r="F316" s="5"/>
      <c r="G316" s="5"/>
      <c r="H316" s="5"/>
      <c r="I316" s="5" t="str">
        <f>IF(H316="","",VLOOKUP(H316,DB!A:B,2,0))</f>
        <v/>
      </c>
      <c r="J316" s="6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6"/>
      <c r="B317" s="6" t="str">
        <f>IF(A317="","",VLOOKUP(A317,DB!A:B,2,0))</f>
        <v/>
      </c>
      <c r="C317" s="5"/>
      <c r="D317" s="6"/>
      <c r="E317" s="6"/>
      <c r="F317" s="5"/>
      <c r="G317" s="5"/>
      <c r="H317" s="6"/>
      <c r="I317" s="5" t="str">
        <f>IF(H317="","",VLOOKUP(H317,DB!A:B,2,0))</f>
        <v/>
      </c>
      <c r="J317" s="6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6"/>
      <c r="B318" s="6" t="str">
        <f>IF(A318="","",VLOOKUP(A318,DB!A:B,2,0))</f>
        <v/>
      </c>
      <c r="C318" s="5"/>
      <c r="D318" s="6"/>
      <c r="E318" s="6"/>
      <c r="F318" s="5"/>
      <c r="G318" s="5"/>
      <c r="H318" s="6"/>
      <c r="I318" s="5" t="str">
        <f>IF(H318="","",VLOOKUP(H318,DB!A:B,2,0))</f>
        <v/>
      </c>
      <c r="J318" s="6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6"/>
      <c r="B319" s="6" t="str">
        <f>IF(A319="","",VLOOKUP(A319,DB!A:B,2,0))</f>
        <v/>
      </c>
      <c r="C319" s="5"/>
      <c r="D319" s="6"/>
      <c r="E319" s="6"/>
      <c r="F319" s="5"/>
      <c r="G319" s="5"/>
      <c r="H319" s="6"/>
      <c r="I319" s="5" t="str">
        <f>IF(H319="","",VLOOKUP(H319,DB!A:B,2,0))</f>
        <v/>
      </c>
      <c r="J319" s="6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6"/>
      <c r="B320" s="6" t="str">
        <f>IF(A320="","",VLOOKUP(A320,DB!A:B,2,0))</f>
        <v/>
      </c>
      <c r="C320" s="5"/>
      <c r="D320" s="6"/>
      <c r="E320" s="6"/>
      <c r="F320" s="5"/>
      <c r="G320" s="5"/>
      <c r="H320" s="6"/>
      <c r="I320" s="5" t="str">
        <f>IF(H320="","",VLOOKUP(H320,DB!A:B,2,0))</f>
        <v/>
      </c>
      <c r="J320" s="6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6"/>
      <c r="B321" s="6" t="str">
        <f>IF(A321="","",VLOOKUP(A321,DB!A:B,2,0))</f>
        <v/>
      </c>
      <c r="C321" s="5"/>
      <c r="D321" s="6"/>
      <c r="E321" s="6"/>
      <c r="F321" s="5"/>
      <c r="G321" s="5"/>
      <c r="H321" s="6"/>
      <c r="I321" s="5" t="str">
        <f>IF(H321="","",VLOOKUP(H321,DB!A:B,2,0))</f>
        <v/>
      </c>
      <c r="J321" s="6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6"/>
      <c r="B322" s="6" t="str">
        <f>IF(A322="","",VLOOKUP(A322,DB!A:B,2,0))</f>
        <v/>
      </c>
      <c r="C322" s="5"/>
      <c r="D322" s="6"/>
      <c r="E322" s="6"/>
      <c r="F322" s="5"/>
      <c r="G322" s="5"/>
      <c r="H322" s="6"/>
      <c r="I322" s="5" t="str">
        <f>IF(H322="","",VLOOKUP(H322,DB!A:B,2,0))</f>
        <v/>
      </c>
      <c r="J322" s="6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6"/>
      <c r="B323" s="6" t="str">
        <f>IF(A323="","",VLOOKUP(A323,DB!A:B,2,0))</f>
        <v/>
      </c>
      <c r="C323" s="5"/>
      <c r="D323" s="6"/>
      <c r="E323" s="6"/>
      <c r="F323" s="5"/>
      <c r="G323" s="5"/>
      <c r="H323" s="6"/>
      <c r="I323" s="5" t="str">
        <f>IF(H323="","",VLOOKUP(H323,DB!A:B,2,0))</f>
        <v/>
      </c>
      <c r="J323" s="6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6"/>
      <c r="B324" s="6" t="str">
        <f>IF(A324="","",VLOOKUP(A324,DB!A:B,2,0))</f>
        <v/>
      </c>
      <c r="C324" s="5"/>
      <c r="D324" s="6"/>
      <c r="E324" s="6"/>
      <c r="F324" s="5"/>
      <c r="G324" s="5"/>
      <c r="H324" s="6"/>
      <c r="I324" s="5" t="str">
        <f>IF(H324="","",VLOOKUP(H324,DB!A:B,2,0))</f>
        <v/>
      </c>
      <c r="J324" s="6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6"/>
      <c r="B325" s="6" t="str">
        <f>IF(A325="","",VLOOKUP(A325,DB!A:B,2,0))</f>
        <v/>
      </c>
      <c r="C325" s="5"/>
      <c r="D325" s="6"/>
      <c r="E325" s="6"/>
      <c r="F325" s="5"/>
      <c r="G325" s="5"/>
      <c r="H325" s="6"/>
      <c r="I325" s="5" t="str">
        <f>IF(H325="","",VLOOKUP(H325,DB!A:B,2,0))</f>
        <v/>
      </c>
      <c r="J325" s="6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6"/>
      <c r="B326" s="6" t="str">
        <f>IF(A326="","",VLOOKUP(A326,DB!A:B,2,0))</f>
        <v/>
      </c>
      <c r="C326" s="5"/>
      <c r="D326" s="6"/>
      <c r="E326" s="6"/>
      <c r="F326" s="5"/>
      <c r="G326" s="5"/>
      <c r="H326" s="6"/>
      <c r="I326" s="5" t="str">
        <f>IF(H326="","",VLOOKUP(H326,DB!A:B,2,0))</f>
        <v/>
      </c>
      <c r="J326" s="6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6"/>
      <c r="B327" s="6" t="str">
        <f>IF(A327="","",VLOOKUP(A327,DB!A:B,2,0))</f>
        <v/>
      </c>
      <c r="C327" s="5"/>
      <c r="D327" s="6"/>
      <c r="E327" s="6"/>
      <c r="F327" s="5"/>
      <c r="G327" s="5"/>
      <c r="H327" s="6"/>
      <c r="I327" s="5" t="str">
        <f>IF(H327="","",VLOOKUP(H327,DB!A:B,2,0))</f>
        <v/>
      </c>
      <c r="J327" s="6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6"/>
      <c r="B328" s="6" t="str">
        <f>IF(A328="","",VLOOKUP(A328,DB!A:B,2,0))</f>
        <v/>
      </c>
      <c r="C328" s="5"/>
      <c r="D328" s="6"/>
      <c r="E328" s="6"/>
      <c r="F328" s="5"/>
      <c r="G328" s="5"/>
      <c r="H328" s="6"/>
      <c r="I328" s="5" t="str">
        <f>IF(H328="","",VLOOKUP(H328,DB!A:B,2,0))</f>
        <v/>
      </c>
      <c r="J328" s="6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6"/>
      <c r="B329" s="6" t="str">
        <f>IF(A329="","",VLOOKUP(A329,DB!A:B,2,0))</f>
        <v/>
      </c>
      <c r="C329" s="5"/>
      <c r="D329" s="6"/>
      <c r="E329" s="6"/>
      <c r="F329" s="5"/>
      <c r="G329" s="5"/>
      <c r="H329" s="6"/>
      <c r="I329" s="5" t="str">
        <f>IF(H329="","",VLOOKUP(H329,DB!A:B,2,0))</f>
        <v/>
      </c>
      <c r="J329" s="6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6"/>
      <c r="B330" s="6" t="str">
        <f>IF(A330="","",VLOOKUP(A330,DB!A:B,2,0))</f>
        <v/>
      </c>
      <c r="C330" s="5"/>
      <c r="D330" s="6"/>
      <c r="E330" s="6"/>
      <c r="F330" s="5"/>
      <c r="G330" s="5"/>
      <c r="H330" s="6"/>
      <c r="I330" s="5" t="str">
        <f>IF(H330="","",VLOOKUP(H330,DB!A:B,2,0))</f>
        <v/>
      </c>
      <c r="J330" s="6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6"/>
      <c r="B331" s="6" t="str">
        <f>IF(A331="","",VLOOKUP(A331,DB!A:B,2,0))</f>
        <v/>
      </c>
      <c r="C331" s="5"/>
      <c r="D331" s="6"/>
      <c r="E331" s="6"/>
      <c r="F331" s="5"/>
      <c r="G331" s="5"/>
      <c r="H331" s="6"/>
      <c r="I331" s="5" t="str">
        <f>IF(H331="","",VLOOKUP(H331,DB!A:B,2,0))</f>
        <v/>
      </c>
      <c r="J331" s="6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6"/>
      <c r="B332" s="6" t="str">
        <f>IF(A332="","",VLOOKUP(A332,DB!A:B,2,0))</f>
        <v/>
      </c>
      <c r="C332" s="5"/>
      <c r="D332" s="6"/>
      <c r="E332" s="6"/>
      <c r="F332" s="5"/>
      <c r="G332" s="5"/>
      <c r="H332" s="6"/>
      <c r="I332" s="5" t="str">
        <f>IF(H332="","",VLOOKUP(H332,DB!A:B,2,0))</f>
        <v/>
      </c>
      <c r="J332" s="6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6"/>
      <c r="B333" s="6" t="str">
        <f>IF(A333="","",VLOOKUP(A333,DB!A:B,2,0))</f>
        <v/>
      </c>
      <c r="C333" s="5"/>
      <c r="D333" s="6"/>
      <c r="E333" s="6"/>
      <c r="F333" s="5"/>
      <c r="G333" s="5"/>
      <c r="H333" s="6"/>
      <c r="I333" s="5" t="str">
        <f>IF(H333="","",VLOOKUP(H333,DB!A:B,2,0))</f>
        <v/>
      </c>
      <c r="J333" s="6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6"/>
      <c r="B334" s="6" t="str">
        <f>IF(A334="","",VLOOKUP(A334,DB!A:B,2,0))</f>
        <v/>
      </c>
      <c r="C334" s="5"/>
      <c r="D334" s="6"/>
      <c r="E334" s="6"/>
      <c r="F334" s="5"/>
      <c r="G334" s="5"/>
      <c r="H334" s="6"/>
      <c r="I334" s="5" t="str">
        <f>IF(H334="","",VLOOKUP(H334,DB!A:B,2,0))</f>
        <v/>
      </c>
      <c r="J334" s="6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6"/>
      <c r="B335" s="6" t="str">
        <f>IF(A335="","",VLOOKUP(A335,DB!A:B,2,0))</f>
        <v/>
      </c>
      <c r="C335" s="5"/>
      <c r="D335" s="6"/>
      <c r="E335" s="6"/>
      <c r="F335" s="5"/>
      <c r="G335" s="5"/>
      <c r="H335" s="6"/>
      <c r="I335" s="5" t="str">
        <f>IF(H335="","",VLOOKUP(H335,DB!A:B,2,0))</f>
        <v/>
      </c>
      <c r="J335" s="6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6"/>
      <c r="B336" s="6" t="str">
        <f>IF(A336="","",VLOOKUP(A336,DB!A:B,2,0))</f>
        <v/>
      </c>
      <c r="C336" s="5"/>
      <c r="D336" s="6"/>
      <c r="E336" s="6"/>
      <c r="F336" s="5"/>
      <c r="G336" s="5"/>
      <c r="H336" s="6"/>
      <c r="I336" s="5" t="str">
        <f>IF(H336="","",VLOOKUP(H336,DB!A:B,2,0))</f>
        <v/>
      </c>
      <c r="J336" s="6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6"/>
      <c r="B337" s="6" t="str">
        <f>IF(A337="","",VLOOKUP(A337,DB!A:B,2,0))</f>
        <v/>
      </c>
      <c r="C337" s="5"/>
      <c r="D337" s="6"/>
      <c r="E337" s="6"/>
      <c r="F337" s="5"/>
      <c r="G337" s="5"/>
      <c r="H337" s="6"/>
      <c r="I337" s="5" t="str">
        <f>IF(H337="","",VLOOKUP(H337,DB!A:B,2,0))</f>
        <v/>
      </c>
      <c r="J337" s="6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6"/>
      <c r="B338" s="6" t="str">
        <f>IF(A338="","",VLOOKUP(A338,DB!A:B,2,0))</f>
        <v/>
      </c>
      <c r="C338" s="5"/>
      <c r="D338" s="6"/>
      <c r="E338" s="6"/>
      <c r="F338" s="5"/>
      <c r="G338" s="5"/>
      <c r="H338" s="6"/>
      <c r="I338" s="5" t="str">
        <f>IF(H338="","",VLOOKUP(H338,DB!A:B,2,0))</f>
        <v/>
      </c>
      <c r="J338" s="6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6"/>
      <c r="B339" s="6" t="str">
        <f>IF(A339="","",VLOOKUP(A339,DB!A:B,2,0))</f>
        <v/>
      </c>
      <c r="C339" s="5"/>
      <c r="D339" s="6"/>
      <c r="E339" s="6"/>
      <c r="F339" s="5"/>
      <c r="G339" s="5"/>
      <c r="H339" s="6"/>
      <c r="I339" s="5" t="str">
        <f>IF(H339="","",VLOOKUP(H339,DB!A:B,2,0))</f>
        <v/>
      </c>
      <c r="J339" s="6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6"/>
      <c r="B340" s="6" t="str">
        <f>IF(A340="","",VLOOKUP(A340,DB!A:B,2,0))</f>
        <v/>
      </c>
      <c r="C340" s="5"/>
      <c r="D340" s="6"/>
      <c r="E340" s="6"/>
      <c r="F340" s="5"/>
      <c r="G340" s="5"/>
      <c r="H340" s="6"/>
      <c r="I340" s="5" t="str">
        <f>IF(H340="","",VLOOKUP(H340,DB!A:B,2,0))</f>
        <v/>
      </c>
      <c r="J340" s="6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6"/>
      <c r="B341" s="6" t="str">
        <f>IF(A341="","",VLOOKUP(A341,DB!A:B,2,0))</f>
        <v/>
      </c>
      <c r="C341" s="5"/>
      <c r="D341" s="6"/>
      <c r="E341" s="6"/>
      <c r="F341" s="5"/>
      <c r="G341" s="5"/>
      <c r="H341" s="6"/>
      <c r="I341" s="5" t="str">
        <f>IF(H341="","",VLOOKUP(H341,DB!A:B,2,0))</f>
        <v/>
      </c>
      <c r="J341" s="6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6"/>
      <c r="B342" s="6" t="str">
        <f>IF(A342="","",VLOOKUP(A342,DB!A:B,2,0))</f>
        <v/>
      </c>
      <c r="C342" s="5"/>
      <c r="D342" s="6"/>
      <c r="E342" s="6"/>
      <c r="F342" s="5"/>
      <c r="G342" s="5"/>
      <c r="H342" s="6"/>
      <c r="I342" s="5" t="str">
        <f>IF(H342="","",VLOOKUP(H342,DB!A:B,2,0))</f>
        <v/>
      </c>
      <c r="J342" s="6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6"/>
      <c r="B343" s="6" t="str">
        <f>IF(A343="","",VLOOKUP(A343,DB!A:B,2,0))</f>
        <v/>
      </c>
      <c r="C343" s="5"/>
      <c r="D343" s="6"/>
      <c r="E343" s="6"/>
      <c r="F343" s="5"/>
      <c r="G343" s="5"/>
      <c r="H343" s="6"/>
      <c r="I343" s="5" t="str">
        <f>IF(H343="","",VLOOKUP(H343,DB!A:B,2,0))</f>
        <v/>
      </c>
      <c r="J343" s="6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6"/>
      <c r="B344" s="6" t="str">
        <f>IF(A344="","",VLOOKUP(A344,DB!A:B,2,0))</f>
        <v/>
      </c>
      <c r="C344" s="5"/>
      <c r="D344" s="6"/>
      <c r="E344" s="6"/>
      <c r="F344" s="5"/>
      <c r="G344" s="5"/>
      <c r="H344" s="6"/>
      <c r="I344" s="5" t="str">
        <f>IF(H344="","",VLOOKUP(H344,DB!A:B,2,0))</f>
        <v/>
      </c>
      <c r="J344" s="6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6"/>
      <c r="B345" s="6" t="str">
        <f>IF(A345="","",VLOOKUP(A345,DB!A:B,2,0))</f>
        <v/>
      </c>
      <c r="C345" s="5"/>
      <c r="D345" s="6"/>
      <c r="E345" s="6"/>
      <c r="F345" s="5"/>
      <c r="G345" s="5"/>
      <c r="H345" s="6"/>
      <c r="I345" s="5" t="str">
        <f>IF(H345="","",VLOOKUP(H345,DB!A:B,2,0))</f>
        <v/>
      </c>
      <c r="J345" s="6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6"/>
      <c r="B346" s="6" t="str">
        <f>IF(A346="","",VLOOKUP(A346,DB!A:B,2,0))</f>
        <v/>
      </c>
      <c r="C346" s="5"/>
      <c r="D346" s="6"/>
      <c r="E346" s="6"/>
      <c r="F346" s="5"/>
      <c r="G346" s="5"/>
      <c r="H346" s="6"/>
      <c r="I346" s="5" t="str">
        <f>IF(H346="","",VLOOKUP(H346,DB!A:B,2,0))</f>
        <v/>
      </c>
      <c r="J346" s="6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6"/>
      <c r="B347" s="6" t="str">
        <f>IF(A347="","",VLOOKUP(A347,DB!A:B,2,0))</f>
        <v/>
      </c>
      <c r="C347" s="5"/>
      <c r="D347" s="6"/>
      <c r="E347" s="6"/>
      <c r="F347" s="5"/>
      <c r="G347" s="5"/>
      <c r="H347" s="6"/>
      <c r="I347" s="5" t="str">
        <f>IF(H347="","",VLOOKUP(H347,DB!A:B,2,0))</f>
        <v/>
      </c>
      <c r="J347" s="6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6"/>
      <c r="B348" s="6" t="str">
        <f>IF(A348="","",VLOOKUP(A348,DB!A:B,2,0))</f>
        <v/>
      </c>
      <c r="C348" s="5"/>
      <c r="D348" s="6"/>
      <c r="E348" s="6"/>
      <c r="F348" s="5"/>
      <c r="G348" s="5"/>
      <c r="H348" s="6"/>
      <c r="I348" s="5" t="str">
        <f>IF(H348="","",VLOOKUP(H348,DB!A:B,2,0))</f>
        <v/>
      </c>
      <c r="J348" s="6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6"/>
      <c r="B349" s="6" t="str">
        <f>IF(A349="","",VLOOKUP(A349,DB!A:B,2,0))</f>
        <v/>
      </c>
      <c r="C349" s="5"/>
      <c r="D349" s="6"/>
      <c r="E349" s="6"/>
      <c r="F349" s="5"/>
      <c r="G349" s="5"/>
      <c r="H349" s="6"/>
      <c r="I349" s="5" t="str">
        <f>IF(H349="","",VLOOKUP(H349,DB!A:B,2,0))</f>
        <v/>
      </c>
      <c r="J349" s="6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6"/>
      <c r="B350" s="6" t="str">
        <f>IF(A350="","",VLOOKUP(A350,DB!A:B,2,0))</f>
        <v/>
      </c>
      <c r="C350" s="5"/>
      <c r="D350" s="6"/>
      <c r="E350" s="6"/>
      <c r="F350" s="5"/>
      <c r="G350" s="5"/>
      <c r="H350" s="6"/>
      <c r="I350" s="5" t="str">
        <f>IF(H350="","",VLOOKUP(H350,DB!A:B,2,0))</f>
        <v/>
      </c>
      <c r="J350" s="6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6"/>
      <c r="B351" s="6" t="str">
        <f>IF(A351="","",VLOOKUP(A351,DB!A:B,2,0))</f>
        <v/>
      </c>
      <c r="C351" s="5"/>
      <c r="D351" s="6"/>
      <c r="E351" s="6"/>
      <c r="F351" s="5"/>
      <c r="G351" s="5"/>
      <c r="H351" s="6"/>
      <c r="I351" s="5" t="str">
        <f>IF(H351="","",VLOOKUP(H351,DB!A:B,2,0))</f>
        <v/>
      </c>
      <c r="J351" s="6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6"/>
      <c r="B352" s="6" t="str">
        <f>IF(A352="","",VLOOKUP(A352,DB!A:B,2,0))</f>
        <v/>
      </c>
      <c r="C352" s="5"/>
      <c r="D352" s="6"/>
      <c r="E352" s="6"/>
      <c r="F352" s="5"/>
      <c r="G352" s="5"/>
      <c r="H352" s="6"/>
      <c r="I352" s="5" t="str">
        <f>IF(H352="","",VLOOKUP(H352,DB!A:B,2,0))</f>
        <v/>
      </c>
      <c r="J352" s="6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6"/>
      <c r="B353" s="6" t="str">
        <f>IF(A353="","",VLOOKUP(A353,DB!A:B,2,0))</f>
        <v/>
      </c>
      <c r="C353" s="5"/>
      <c r="D353" s="6"/>
      <c r="E353" s="6"/>
      <c r="F353" s="5"/>
      <c r="G353" s="5"/>
      <c r="H353" s="6"/>
      <c r="I353" s="5" t="str">
        <f>IF(H353="","",VLOOKUP(H353,DB!A:B,2,0))</f>
        <v/>
      </c>
      <c r="J353" s="6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6"/>
      <c r="B354" s="6" t="str">
        <f>IF(A354="","",VLOOKUP(A354,DB!A:B,2,0))</f>
        <v/>
      </c>
      <c r="C354" s="5"/>
      <c r="D354" s="6"/>
      <c r="E354" s="6"/>
      <c r="F354" s="5"/>
      <c r="G354" s="5"/>
      <c r="H354" s="6"/>
      <c r="I354" s="5" t="str">
        <f>IF(H354="","",VLOOKUP(H354,DB!A:B,2,0))</f>
        <v/>
      </c>
      <c r="J354" s="6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6"/>
      <c r="B355" s="6" t="str">
        <f>IF(A355="","",VLOOKUP(A355,DB!A:B,2,0))</f>
        <v/>
      </c>
      <c r="C355" s="5"/>
      <c r="D355" s="6"/>
      <c r="E355" s="6"/>
      <c r="F355" s="5"/>
      <c r="G355" s="5"/>
      <c r="H355" s="6"/>
      <c r="I355" s="5" t="str">
        <f>IF(H355="","",VLOOKUP(H355,DB!A:B,2,0))</f>
        <v/>
      </c>
      <c r="J355" s="6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6"/>
      <c r="B356" s="6" t="str">
        <f>IF(A356="","",VLOOKUP(A356,DB!A:B,2,0))</f>
        <v/>
      </c>
      <c r="C356" s="5"/>
      <c r="D356" s="6"/>
      <c r="E356" s="6"/>
      <c r="F356" s="5"/>
      <c r="G356" s="5"/>
      <c r="H356" s="6"/>
      <c r="I356" s="5" t="str">
        <f>IF(H356="","",VLOOKUP(H356,DB!A:B,2,0))</f>
        <v/>
      </c>
      <c r="J356" s="6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6"/>
      <c r="B357" s="6" t="str">
        <f>IF(A357="","",VLOOKUP(A357,DB!A:B,2,0))</f>
        <v/>
      </c>
      <c r="C357" s="5"/>
      <c r="D357" s="6"/>
      <c r="E357" s="6"/>
      <c r="F357" s="5"/>
      <c r="G357" s="5"/>
      <c r="H357" s="6"/>
      <c r="I357" s="5" t="str">
        <f>IF(H357="","",VLOOKUP(H357,DB!A:B,2,0))</f>
        <v/>
      </c>
      <c r="J357" s="6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6"/>
      <c r="B358" s="6" t="str">
        <f>IF(A358="","",VLOOKUP(A358,DB!A:B,2,0))</f>
        <v/>
      </c>
      <c r="C358" s="5"/>
      <c r="D358" s="6"/>
      <c r="E358" s="6"/>
      <c r="F358" s="5"/>
      <c r="G358" s="5"/>
      <c r="H358" s="6"/>
      <c r="I358" s="5" t="str">
        <f>IF(H358="","",VLOOKUP(H358,DB!A:B,2,0))</f>
        <v/>
      </c>
      <c r="J358" s="6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6"/>
      <c r="B359" s="6" t="str">
        <f>IF(A359="","",VLOOKUP(A359,DB!A:B,2,0))</f>
        <v/>
      </c>
      <c r="C359" s="5"/>
      <c r="D359" s="6"/>
      <c r="E359" s="6"/>
      <c r="F359" s="5"/>
      <c r="G359" s="5"/>
      <c r="H359" s="6"/>
      <c r="I359" s="5" t="str">
        <f>IF(H359="","",VLOOKUP(H359,DB!A:B,2,0))</f>
        <v/>
      </c>
      <c r="J359" s="6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6"/>
      <c r="B360" s="6" t="str">
        <f>IF(A360="","",VLOOKUP(A360,DB!A:B,2,0))</f>
        <v/>
      </c>
      <c r="C360" s="5"/>
      <c r="D360" s="6"/>
      <c r="E360" s="6"/>
      <c r="F360" s="5"/>
      <c r="G360" s="5"/>
      <c r="H360" s="6"/>
      <c r="I360" s="5" t="str">
        <f>IF(H360="","",VLOOKUP(H360,DB!A:B,2,0))</f>
        <v/>
      </c>
      <c r="J360" s="6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6"/>
      <c r="B361" s="6" t="str">
        <f>IF(A361="","",VLOOKUP(A361,DB!A:B,2,0))</f>
        <v/>
      </c>
      <c r="C361" s="5"/>
      <c r="D361" s="6"/>
      <c r="E361" s="6"/>
      <c r="F361" s="5"/>
      <c r="G361" s="5"/>
      <c r="H361" s="6"/>
      <c r="I361" s="5" t="str">
        <f>IF(H361="","",VLOOKUP(H361,DB!A:B,2,0))</f>
        <v/>
      </c>
      <c r="J361" s="6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6"/>
      <c r="B362" s="6" t="str">
        <f>IF(A362="","",VLOOKUP(A362,DB!A:B,2,0))</f>
        <v/>
      </c>
      <c r="C362" s="5"/>
      <c r="D362" s="6"/>
      <c r="E362" s="6"/>
      <c r="F362" s="5"/>
      <c r="G362" s="5"/>
      <c r="H362" s="6"/>
      <c r="I362" s="5" t="str">
        <f>IF(H362="","",VLOOKUP(H362,DB!A:B,2,0))</f>
        <v/>
      </c>
      <c r="J362" s="6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6"/>
      <c r="B363" s="6" t="str">
        <f>IF(A363="","",VLOOKUP(A363,DB!A:B,2,0))</f>
        <v/>
      </c>
      <c r="C363" s="5"/>
      <c r="D363" s="6"/>
      <c r="E363" s="6"/>
      <c r="F363" s="5"/>
      <c r="G363" s="5"/>
      <c r="H363" s="6"/>
      <c r="I363" s="5" t="str">
        <f>IF(H363="","",VLOOKUP(H363,DB!A:B,2,0))</f>
        <v/>
      </c>
      <c r="J363" s="6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6"/>
      <c r="B364" s="6" t="str">
        <f>IF(A364="","",VLOOKUP(A364,DB!A:B,2,0))</f>
        <v/>
      </c>
      <c r="C364" s="5"/>
      <c r="D364" s="6"/>
      <c r="E364" s="6"/>
      <c r="F364" s="5"/>
      <c r="G364" s="5"/>
      <c r="H364" s="6"/>
      <c r="I364" s="5" t="str">
        <f>IF(H364="","",VLOOKUP(H364,DB!A:B,2,0))</f>
        <v/>
      </c>
      <c r="J364" s="6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6"/>
      <c r="B365" s="6" t="str">
        <f>IF(A365="","",VLOOKUP(A365,DB!A:B,2,0))</f>
        <v/>
      </c>
      <c r="C365" s="5"/>
      <c r="D365" s="6"/>
      <c r="E365" s="6"/>
      <c r="F365" s="5"/>
      <c r="G365" s="5"/>
      <c r="H365" s="6"/>
      <c r="I365" s="5" t="str">
        <f>IF(H365="","",VLOOKUP(H365,DB!A:B,2,0))</f>
        <v/>
      </c>
      <c r="J365" s="6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6"/>
      <c r="B366" s="6" t="str">
        <f>IF(A366="","",VLOOKUP(A366,DB!A:B,2,0))</f>
        <v/>
      </c>
      <c r="C366" s="5"/>
      <c r="D366" s="6"/>
      <c r="E366" s="6"/>
      <c r="F366" s="5"/>
      <c r="G366" s="5"/>
      <c r="H366" s="6"/>
      <c r="I366" s="5" t="str">
        <f>IF(H366="","",VLOOKUP(H366,DB!A:B,2,0))</f>
        <v/>
      </c>
      <c r="J366" s="6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6"/>
      <c r="B367" s="6" t="str">
        <f>IF(A367="","",VLOOKUP(A367,DB!A:B,2,0))</f>
        <v/>
      </c>
      <c r="C367" s="5"/>
      <c r="D367" s="6"/>
      <c r="E367" s="6"/>
      <c r="F367" s="5"/>
      <c r="G367" s="5"/>
      <c r="H367" s="6"/>
      <c r="I367" s="5" t="str">
        <f>IF(H367="","",VLOOKUP(H367,DB!A:B,2,0))</f>
        <v/>
      </c>
      <c r="J367" s="6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6"/>
      <c r="B368" s="6" t="str">
        <f>IF(A368="","",VLOOKUP(A368,DB!A:B,2,0))</f>
        <v/>
      </c>
      <c r="C368" s="5"/>
      <c r="D368" s="6"/>
      <c r="E368" s="6"/>
      <c r="F368" s="5"/>
      <c r="G368" s="5"/>
      <c r="H368" s="6"/>
      <c r="I368" s="5" t="str">
        <f>IF(H368="","",VLOOKUP(H368,DB!A:B,2,0))</f>
        <v/>
      </c>
      <c r="J368" s="6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6"/>
      <c r="B369" s="6" t="str">
        <f>IF(A369="","",VLOOKUP(A369,DB!A:B,2,0))</f>
        <v/>
      </c>
      <c r="C369" s="5"/>
      <c r="D369" s="6"/>
      <c r="E369" s="6"/>
      <c r="F369" s="5"/>
      <c r="G369" s="5"/>
      <c r="H369" s="6"/>
      <c r="I369" s="5" t="str">
        <f>IF(H369="","",VLOOKUP(H369,DB!A:B,2,0))</f>
        <v/>
      </c>
      <c r="J369" s="6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6"/>
      <c r="B370" s="6" t="str">
        <f>IF(A370="","",VLOOKUP(A370,DB!A:B,2,0))</f>
        <v/>
      </c>
      <c r="C370" s="5"/>
      <c r="D370" s="6"/>
      <c r="E370" s="6"/>
      <c r="F370" s="5"/>
      <c r="G370" s="5"/>
      <c r="H370" s="6"/>
      <c r="I370" s="5" t="str">
        <f>IF(H370="","",VLOOKUP(H370,DB!A:B,2,0))</f>
        <v/>
      </c>
      <c r="J370" s="6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6"/>
      <c r="B371" s="6" t="str">
        <f>IF(A371="","",VLOOKUP(A371,DB!A:B,2,0))</f>
        <v/>
      </c>
      <c r="C371" s="5"/>
      <c r="D371" s="6"/>
      <c r="E371" s="6"/>
      <c r="F371" s="5"/>
      <c r="G371" s="5"/>
      <c r="H371" s="6"/>
      <c r="I371" s="5" t="str">
        <f>IF(H371="","",VLOOKUP(H371,DB!A:B,2,0))</f>
        <v/>
      </c>
      <c r="J371" s="6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6"/>
      <c r="B372" s="6" t="str">
        <f>IF(A372="","",VLOOKUP(A372,DB!A:B,2,0))</f>
        <v/>
      </c>
      <c r="C372" s="5"/>
      <c r="D372" s="6"/>
      <c r="E372" s="6"/>
      <c r="F372" s="5"/>
      <c r="G372" s="5"/>
      <c r="H372" s="6"/>
      <c r="I372" s="5" t="str">
        <f>IF(H372="","",VLOOKUP(H372,DB!A:B,2,0))</f>
        <v/>
      </c>
      <c r="J372" s="6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6"/>
      <c r="B373" s="6" t="str">
        <f>IF(A373="","",VLOOKUP(A373,DB!A:B,2,0))</f>
        <v/>
      </c>
      <c r="C373" s="5"/>
      <c r="D373" s="6"/>
      <c r="E373" s="6"/>
      <c r="F373" s="5"/>
      <c r="G373" s="5"/>
      <c r="H373" s="6"/>
      <c r="I373" s="5" t="str">
        <f>IF(H373="","",VLOOKUP(H373,DB!A:B,2,0))</f>
        <v/>
      </c>
      <c r="J373" s="6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6"/>
      <c r="B374" s="6" t="str">
        <f>IF(A374="","",VLOOKUP(A374,DB!A:B,2,0))</f>
        <v/>
      </c>
      <c r="C374" s="5"/>
      <c r="D374" s="6"/>
      <c r="E374" s="6"/>
      <c r="F374" s="5"/>
      <c r="G374" s="5"/>
      <c r="H374" s="6"/>
      <c r="I374" s="5" t="str">
        <f>IF(H374="","",VLOOKUP(H374,DB!A:B,2,0))</f>
        <v/>
      </c>
      <c r="J374" s="6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6"/>
      <c r="B375" s="6" t="str">
        <f>IF(A375="","",VLOOKUP(A375,DB!A:B,2,0))</f>
        <v/>
      </c>
      <c r="C375" s="5"/>
      <c r="D375" s="6"/>
      <c r="E375" s="6"/>
      <c r="F375" s="5"/>
      <c r="G375" s="5"/>
      <c r="H375" s="6"/>
      <c r="I375" s="5" t="str">
        <f>IF(H375="","",VLOOKUP(H375,DB!A:B,2,0))</f>
        <v/>
      </c>
      <c r="J375" s="6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6"/>
      <c r="B376" s="6" t="str">
        <f>IF(A376="","",VLOOKUP(A376,DB!A:B,2,0))</f>
        <v/>
      </c>
      <c r="C376" s="5"/>
      <c r="D376" s="6"/>
      <c r="E376" s="6"/>
      <c r="F376" s="5"/>
      <c r="G376" s="5"/>
      <c r="H376" s="6"/>
      <c r="I376" s="5" t="str">
        <f>IF(H376="","",VLOOKUP(H376,DB!A:B,2,0))</f>
        <v/>
      </c>
      <c r="J376" s="6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6"/>
      <c r="B377" s="6" t="str">
        <f>IF(A377="","",VLOOKUP(A377,DB!A:B,2,0))</f>
        <v/>
      </c>
      <c r="C377" s="5"/>
      <c r="D377" s="6"/>
      <c r="E377" s="6"/>
      <c r="F377" s="5"/>
      <c r="G377" s="5"/>
      <c r="H377" s="6"/>
      <c r="I377" s="5" t="str">
        <f>IF(H377="","",VLOOKUP(H377,DB!A:B,2,0))</f>
        <v/>
      </c>
      <c r="J377" s="6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6"/>
      <c r="B378" s="6" t="str">
        <f>IF(A378="","",VLOOKUP(A378,DB!A:B,2,0))</f>
        <v/>
      </c>
      <c r="C378" s="5"/>
      <c r="D378" s="6"/>
      <c r="E378" s="6"/>
      <c r="F378" s="5"/>
      <c r="G378" s="5"/>
      <c r="H378" s="6"/>
      <c r="I378" s="5" t="str">
        <f>IF(H378="","",VLOOKUP(H378,DB!A:B,2,0))</f>
        <v/>
      </c>
      <c r="J378" s="6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6"/>
      <c r="B379" s="6" t="str">
        <f>IF(A379="","",VLOOKUP(A379,DB!A:B,2,0))</f>
        <v/>
      </c>
      <c r="C379" s="5"/>
      <c r="D379" s="6"/>
      <c r="E379" s="6"/>
      <c r="F379" s="5"/>
      <c r="G379" s="5"/>
      <c r="H379" s="6"/>
      <c r="I379" s="5" t="str">
        <f>IF(H379="","",VLOOKUP(H379,DB!A:B,2,0))</f>
        <v/>
      </c>
      <c r="J379" s="6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6"/>
      <c r="B380" s="6" t="str">
        <f>IF(A380="","",VLOOKUP(A380,DB!A:B,2,0))</f>
        <v/>
      </c>
      <c r="C380" s="5"/>
      <c r="D380" s="6"/>
      <c r="E380" s="6"/>
      <c r="F380" s="5"/>
      <c r="G380" s="5"/>
      <c r="H380" s="6"/>
      <c r="I380" s="5" t="str">
        <f>IF(H380="","",VLOOKUP(H380,DB!A:B,2,0))</f>
        <v/>
      </c>
      <c r="J380" s="6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6"/>
      <c r="B381" s="6" t="str">
        <f>IF(A381="","",VLOOKUP(A381,DB!A:B,2,0))</f>
        <v/>
      </c>
      <c r="C381" s="5"/>
      <c r="D381" s="6"/>
      <c r="E381" s="6"/>
      <c r="F381" s="5"/>
      <c r="G381" s="5"/>
      <c r="H381" s="6"/>
      <c r="I381" s="5" t="str">
        <f>IF(H381="","",VLOOKUP(H381,DB!A:B,2,0))</f>
        <v/>
      </c>
      <c r="J381" s="6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6"/>
      <c r="B382" s="6" t="str">
        <f>IF(A382="","",VLOOKUP(A382,DB!A:B,2,0))</f>
        <v/>
      </c>
      <c r="C382" s="5"/>
      <c r="D382" s="6"/>
      <c r="E382" s="6"/>
      <c r="F382" s="5"/>
      <c r="G382" s="5"/>
      <c r="H382" s="6"/>
      <c r="I382" s="5" t="str">
        <f>IF(H382="","",VLOOKUP(H382,DB!A:B,2,0))</f>
        <v/>
      </c>
      <c r="J382" s="6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6"/>
      <c r="B383" s="6" t="str">
        <f>IF(A383="","",VLOOKUP(A383,DB!A:B,2,0))</f>
        <v/>
      </c>
      <c r="C383" s="5"/>
      <c r="D383" s="6"/>
      <c r="E383" s="6"/>
      <c r="F383" s="5"/>
      <c r="G383" s="5"/>
      <c r="H383" s="6"/>
      <c r="I383" s="5" t="str">
        <f>IF(H383="","",VLOOKUP(H383,DB!A:B,2,0))</f>
        <v/>
      </c>
      <c r="J383" s="6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6"/>
      <c r="B384" s="6" t="str">
        <f>IF(A384="","",VLOOKUP(A384,DB!A:B,2,0))</f>
        <v/>
      </c>
      <c r="C384" s="5"/>
      <c r="D384" s="6"/>
      <c r="E384" s="6"/>
      <c r="F384" s="5"/>
      <c r="G384" s="5"/>
      <c r="H384" s="6"/>
      <c r="I384" s="5" t="str">
        <f>IF(H384="","",VLOOKUP(H384,DB!A:B,2,0))</f>
        <v/>
      </c>
      <c r="J384" s="6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6"/>
      <c r="B385" s="6" t="str">
        <f>IF(A385="","",VLOOKUP(A385,DB!A:B,2,0))</f>
        <v/>
      </c>
      <c r="C385" s="5"/>
      <c r="D385" s="6"/>
      <c r="E385" s="6"/>
      <c r="F385" s="5"/>
      <c r="G385" s="5"/>
      <c r="H385" s="6"/>
      <c r="I385" s="5" t="str">
        <f>IF(H385="","",VLOOKUP(H385,DB!A:B,2,0))</f>
        <v/>
      </c>
      <c r="J385" s="6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6"/>
      <c r="B386" s="6" t="str">
        <f>IF(A386="","",VLOOKUP(A386,DB!A:B,2,0))</f>
        <v/>
      </c>
      <c r="C386" s="5"/>
      <c r="D386" s="6"/>
      <c r="E386" s="6"/>
      <c r="F386" s="5"/>
      <c r="G386" s="5"/>
      <c r="H386" s="6"/>
      <c r="I386" s="5" t="str">
        <f>IF(H386="","",VLOOKUP(H386,DB!A:B,2,0))</f>
        <v/>
      </c>
      <c r="J386" s="6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6"/>
      <c r="B387" s="6" t="str">
        <f>IF(A387="","",VLOOKUP(A387,DB!A:B,2,0))</f>
        <v/>
      </c>
      <c r="C387" s="5"/>
      <c r="D387" s="6"/>
      <c r="E387" s="6"/>
      <c r="F387" s="5"/>
      <c r="G387" s="5"/>
      <c r="H387" s="6"/>
      <c r="I387" s="5" t="str">
        <f>IF(H387="","",VLOOKUP(H387,DB!A:B,2,0))</f>
        <v/>
      </c>
      <c r="J387" s="6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6"/>
      <c r="B388" s="6" t="str">
        <f>IF(A388="","",VLOOKUP(A388,DB!A:B,2,0))</f>
        <v/>
      </c>
      <c r="C388" s="5"/>
      <c r="D388" s="6"/>
      <c r="E388" s="6"/>
      <c r="F388" s="5"/>
      <c r="G388" s="5"/>
      <c r="H388" s="6"/>
      <c r="I388" s="5" t="str">
        <f>IF(H388="","",VLOOKUP(H388,DB!A:B,2,0))</f>
        <v/>
      </c>
      <c r="J388" s="6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6"/>
      <c r="B389" s="6" t="str">
        <f>IF(A389="","",VLOOKUP(A389,DB!A:B,2,0))</f>
        <v/>
      </c>
      <c r="C389" s="5"/>
      <c r="D389" s="6"/>
      <c r="E389" s="6"/>
      <c r="F389" s="5"/>
      <c r="G389" s="5"/>
      <c r="H389" s="6"/>
      <c r="I389" s="5" t="str">
        <f>IF(H389="","",VLOOKUP(H389,DB!A:B,2,0))</f>
        <v/>
      </c>
      <c r="J389" s="6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6"/>
      <c r="B390" s="6" t="str">
        <f>IF(A390="","",VLOOKUP(A390,DB!A:B,2,0))</f>
        <v/>
      </c>
      <c r="C390" s="5"/>
      <c r="D390" s="6"/>
      <c r="E390" s="6"/>
      <c r="F390" s="5"/>
      <c r="G390" s="5"/>
      <c r="H390" s="6"/>
      <c r="I390" s="5" t="str">
        <f>IF(H390="","",VLOOKUP(H390,DB!A:B,2,0))</f>
        <v/>
      </c>
      <c r="J390" s="6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6"/>
      <c r="B391" s="6" t="str">
        <f>IF(A391="","",VLOOKUP(A391,DB!A:B,2,0))</f>
        <v/>
      </c>
      <c r="C391" s="5"/>
      <c r="D391" s="6"/>
      <c r="E391" s="6"/>
      <c r="F391" s="5"/>
      <c r="G391" s="5"/>
      <c r="H391" s="6"/>
      <c r="I391" s="5" t="str">
        <f>IF(H391="","",VLOOKUP(H391,DB!A:B,2,0))</f>
        <v/>
      </c>
      <c r="J391" s="6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6"/>
      <c r="B392" s="6" t="str">
        <f>IF(A392="","",VLOOKUP(A392,DB!A:B,2,0))</f>
        <v/>
      </c>
      <c r="C392" s="5"/>
      <c r="D392" s="6"/>
      <c r="E392" s="6"/>
      <c r="F392" s="5"/>
      <c r="G392" s="5"/>
      <c r="H392" s="6"/>
      <c r="I392" s="5" t="str">
        <f>IF(H392="","",VLOOKUP(H392,DB!A:B,2,0))</f>
        <v/>
      </c>
      <c r="J392" s="6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6"/>
      <c r="B393" s="6" t="str">
        <f>IF(A393="","",VLOOKUP(A393,DB!A:B,2,0))</f>
        <v/>
      </c>
      <c r="C393" s="5"/>
      <c r="D393" s="6"/>
      <c r="E393" s="6"/>
      <c r="F393" s="5"/>
      <c r="G393" s="5"/>
      <c r="H393" s="6"/>
      <c r="I393" s="5" t="str">
        <f>IF(H393="","",VLOOKUP(H393,DB!A:B,2,0))</f>
        <v/>
      </c>
      <c r="J393" s="6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6"/>
      <c r="B394" s="6" t="str">
        <f>IF(A394="","",VLOOKUP(A394,DB!A:B,2,0))</f>
        <v/>
      </c>
      <c r="C394" s="5"/>
      <c r="D394" s="6"/>
      <c r="E394" s="6"/>
      <c r="F394" s="5"/>
      <c r="G394" s="5"/>
      <c r="H394" s="6"/>
      <c r="I394" s="5" t="str">
        <f>IF(H394="","",VLOOKUP(H394,DB!A:B,2,0))</f>
        <v/>
      </c>
      <c r="J394" s="6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6"/>
      <c r="B395" s="6" t="str">
        <f>IF(A395="","",VLOOKUP(A395,DB!A:B,2,0))</f>
        <v/>
      </c>
      <c r="C395" s="5"/>
      <c r="D395" s="6"/>
      <c r="E395" s="6"/>
      <c r="F395" s="5"/>
      <c r="G395" s="5"/>
      <c r="H395" s="6"/>
      <c r="I395" s="5" t="str">
        <f>IF(H395="","",VLOOKUP(H395,DB!A:B,2,0))</f>
        <v/>
      </c>
      <c r="J395" s="6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6"/>
      <c r="B396" s="6" t="str">
        <f>IF(A396="","",VLOOKUP(A396,DB!A:B,2,0))</f>
        <v/>
      </c>
      <c r="C396" s="5"/>
      <c r="D396" s="6"/>
      <c r="E396" s="6"/>
      <c r="F396" s="5"/>
      <c r="G396" s="5"/>
      <c r="H396" s="6"/>
      <c r="I396" s="5" t="str">
        <f>IF(H396="","",VLOOKUP(H396,DB!A:B,2,0))</f>
        <v/>
      </c>
      <c r="J396" s="6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6"/>
      <c r="B397" s="6" t="str">
        <f>IF(A397="","",VLOOKUP(A397,DB!A:B,2,0))</f>
        <v/>
      </c>
      <c r="C397" s="5"/>
      <c r="D397" s="6"/>
      <c r="E397" s="6"/>
      <c r="F397" s="5"/>
      <c r="G397" s="5"/>
      <c r="H397" s="6"/>
      <c r="I397" s="5" t="str">
        <f>IF(H397="","",VLOOKUP(H397,DB!A:B,2,0))</f>
        <v/>
      </c>
      <c r="J397" s="6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6"/>
      <c r="B398" s="6" t="str">
        <f>IF(A398="","",VLOOKUP(A398,DB!A:B,2,0))</f>
        <v/>
      </c>
      <c r="C398" s="5"/>
      <c r="D398" s="6"/>
      <c r="E398" s="6"/>
      <c r="F398" s="5"/>
      <c r="G398" s="5"/>
      <c r="H398" s="6"/>
      <c r="I398" s="5" t="str">
        <f>IF(H398="","",VLOOKUP(H398,DB!A:B,2,0))</f>
        <v/>
      </c>
      <c r="J398" s="6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6"/>
      <c r="B399" s="6" t="str">
        <f>IF(A399="","",VLOOKUP(A399,DB!A:B,2,0))</f>
        <v/>
      </c>
      <c r="C399" s="5"/>
      <c r="D399" s="6"/>
      <c r="E399" s="6"/>
      <c r="F399" s="5"/>
      <c r="G399" s="5"/>
      <c r="H399" s="6"/>
      <c r="I399" s="5" t="str">
        <f>IF(H399="","",VLOOKUP(H399,DB!A:B,2,0))</f>
        <v/>
      </c>
      <c r="J399" s="6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6"/>
      <c r="B400" s="6" t="str">
        <f>IF(A400="","",VLOOKUP(A400,DB!A:B,2,0))</f>
        <v/>
      </c>
      <c r="C400" s="5"/>
      <c r="D400" s="6"/>
      <c r="E400" s="6"/>
      <c r="F400" s="5"/>
      <c r="G400" s="5"/>
      <c r="H400" s="6"/>
      <c r="I400" s="5" t="str">
        <f>IF(H400="","",VLOOKUP(H400,DB!A:B,2,0))</f>
        <v/>
      </c>
      <c r="J400" s="6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6"/>
      <c r="B401" s="6" t="str">
        <f>IF(A401="","",VLOOKUP(A401,DB!A:B,2,0))</f>
        <v/>
      </c>
      <c r="C401" s="5"/>
      <c r="D401" s="6"/>
      <c r="E401" s="6"/>
      <c r="F401" s="5"/>
      <c r="G401" s="5"/>
      <c r="H401" s="6"/>
      <c r="I401" s="5" t="str">
        <f>IF(H401="","",VLOOKUP(H401,DB!A:B,2,0))</f>
        <v/>
      </c>
      <c r="J401" s="6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6"/>
      <c r="B402" s="6" t="str">
        <f>IF(A402="","",VLOOKUP(A402,DB!A:B,2,0))</f>
        <v/>
      </c>
      <c r="C402" s="5"/>
      <c r="D402" s="6"/>
      <c r="E402" s="6"/>
      <c r="F402" s="5"/>
      <c r="G402" s="5"/>
      <c r="H402" s="6"/>
      <c r="I402" s="5" t="str">
        <f>IF(H402="","",VLOOKUP(H402,DB!A:B,2,0))</f>
        <v/>
      </c>
      <c r="J402" s="6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6"/>
      <c r="B403" s="6" t="str">
        <f>IF(A403="","",VLOOKUP(A403,DB!A:B,2,0))</f>
        <v/>
      </c>
      <c r="C403" s="5"/>
      <c r="D403" s="6"/>
      <c r="E403" s="6"/>
      <c r="F403" s="5"/>
      <c r="G403" s="5"/>
      <c r="H403" s="6"/>
      <c r="I403" s="5" t="str">
        <f>IF(H403="","",VLOOKUP(H403,DB!A:B,2,0))</f>
        <v/>
      </c>
      <c r="J403" s="6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6"/>
      <c r="B404" s="6" t="str">
        <f>IF(A404="","",VLOOKUP(A404,DB!A:B,2,0))</f>
        <v/>
      </c>
      <c r="C404" s="5"/>
      <c r="D404" s="6"/>
      <c r="E404" s="6"/>
      <c r="F404" s="5"/>
      <c r="G404" s="5"/>
      <c r="H404" s="6"/>
      <c r="I404" s="5" t="str">
        <f>IF(H404="","",VLOOKUP(H404,DB!A:B,2,0))</f>
        <v/>
      </c>
      <c r="J404" s="6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6"/>
      <c r="B405" s="6" t="str">
        <f>IF(A405="","",VLOOKUP(A405,DB!A:B,2,0))</f>
        <v/>
      </c>
      <c r="C405" s="5"/>
      <c r="D405" s="6"/>
      <c r="E405" s="6"/>
      <c r="F405" s="5"/>
      <c r="G405" s="5"/>
      <c r="H405" s="6"/>
      <c r="I405" s="5" t="str">
        <f>IF(H405="","",VLOOKUP(H405,DB!A:B,2,0))</f>
        <v/>
      </c>
      <c r="J405" s="6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6"/>
      <c r="B406" s="6" t="str">
        <f>IF(A406="","",VLOOKUP(A406,DB!A:B,2,0))</f>
        <v/>
      </c>
      <c r="C406" s="5"/>
      <c r="D406" s="6"/>
      <c r="E406" s="6"/>
      <c r="F406" s="5"/>
      <c r="G406" s="5"/>
      <c r="H406" s="6"/>
      <c r="I406" s="5" t="str">
        <f>IF(H406="","",VLOOKUP(H406,DB!A:B,2,0))</f>
        <v/>
      </c>
      <c r="J406" s="6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6"/>
      <c r="B407" s="6" t="str">
        <f>IF(A407="","",VLOOKUP(A407,DB!A:B,2,0))</f>
        <v/>
      </c>
      <c r="C407" s="5"/>
      <c r="D407" s="6"/>
      <c r="E407" s="6"/>
      <c r="F407" s="5"/>
      <c r="G407" s="5"/>
      <c r="H407" s="6"/>
      <c r="I407" s="5" t="str">
        <f>IF(H407="","",VLOOKUP(H407,DB!A:B,2,0))</f>
        <v/>
      </c>
      <c r="J407" s="6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6"/>
      <c r="B408" s="6" t="str">
        <f>IF(A408="","",VLOOKUP(A408,DB!A:B,2,0))</f>
        <v/>
      </c>
      <c r="C408" s="5"/>
      <c r="D408" s="6"/>
      <c r="E408" s="6"/>
      <c r="F408" s="5"/>
      <c r="G408" s="5"/>
      <c r="H408" s="6"/>
      <c r="I408" s="5" t="str">
        <f>IF(H408="","",VLOOKUP(H408,DB!A:B,2,0))</f>
        <v/>
      </c>
      <c r="J408" s="6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6"/>
      <c r="B409" s="6" t="str">
        <f>IF(A409="","",VLOOKUP(A409,DB!A:B,2,0))</f>
        <v/>
      </c>
      <c r="C409" s="5"/>
      <c r="D409" s="6"/>
      <c r="E409" s="6"/>
      <c r="F409" s="5"/>
      <c r="G409" s="5"/>
      <c r="H409" s="6"/>
      <c r="I409" s="5" t="str">
        <f>IF(H409="","",VLOOKUP(H409,DB!A:B,2,0))</f>
        <v/>
      </c>
      <c r="J409" s="6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6"/>
      <c r="B410" s="6" t="str">
        <f>IF(A410="","",VLOOKUP(A410,DB!A:B,2,0))</f>
        <v/>
      </c>
      <c r="C410" s="5"/>
      <c r="D410" s="6"/>
      <c r="E410" s="6"/>
      <c r="F410" s="5"/>
      <c r="G410" s="5"/>
      <c r="H410" s="6"/>
      <c r="I410" s="5" t="str">
        <f>IF(H410="","",VLOOKUP(H410,DB!A:B,2,0))</f>
        <v/>
      </c>
      <c r="J410" s="6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6"/>
      <c r="B411" s="6" t="str">
        <f>IF(A411="","",VLOOKUP(A411,DB!A:B,2,0))</f>
        <v/>
      </c>
      <c r="C411" s="5"/>
      <c r="D411" s="6"/>
      <c r="E411" s="6"/>
      <c r="F411" s="5"/>
      <c r="G411" s="5"/>
      <c r="H411" s="6"/>
      <c r="I411" s="5" t="str">
        <f>IF(H411="","",VLOOKUP(H411,DB!A:B,2,0))</f>
        <v/>
      </c>
      <c r="J411" s="6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6"/>
      <c r="B412" s="6" t="str">
        <f>IF(A412="","",VLOOKUP(A412,DB!A:B,2,0))</f>
        <v/>
      </c>
      <c r="C412" s="5"/>
      <c r="D412" s="6"/>
      <c r="E412" s="6"/>
      <c r="F412" s="5"/>
      <c r="G412" s="5"/>
      <c r="H412" s="6"/>
      <c r="I412" s="5" t="str">
        <f>IF(H412="","",VLOOKUP(H412,DB!A:B,2,0))</f>
        <v/>
      </c>
      <c r="J412" s="6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6"/>
      <c r="B413" s="6" t="str">
        <f>IF(A413="","",VLOOKUP(A413,DB!A:B,2,0))</f>
        <v/>
      </c>
      <c r="C413" s="5"/>
      <c r="D413" s="6"/>
      <c r="E413" s="6"/>
      <c r="F413" s="5"/>
      <c r="G413" s="5"/>
      <c r="H413" s="6"/>
      <c r="I413" s="5" t="str">
        <f>IF(H413="","",VLOOKUP(H413,DB!A:B,2,0))</f>
        <v/>
      </c>
      <c r="J413" s="6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6"/>
      <c r="B414" s="6" t="str">
        <f>IF(A414="","",VLOOKUP(A414,DB!A:B,2,0))</f>
        <v/>
      </c>
      <c r="C414" s="5"/>
      <c r="D414" s="6"/>
      <c r="E414" s="6"/>
      <c r="F414" s="5"/>
      <c r="G414" s="5"/>
      <c r="H414" s="6"/>
      <c r="I414" s="5" t="str">
        <f>IF(H414="","",VLOOKUP(H414,DB!A:B,2,0))</f>
        <v/>
      </c>
      <c r="J414" s="6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6"/>
      <c r="B415" s="6" t="str">
        <f>IF(A415="","",VLOOKUP(A415,DB!A:B,2,0))</f>
        <v/>
      </c>
      <c r="C415" s="5"/>
      <c r="D415" s="6"/>
      <c r="E415" s="6"/>
      <c r="F415" s="5"/>
      <c r="G415" s="5"/>
      <c r="H415" s="6"/>
      <c r="I415" s="5" t="str">
        <f>IF(H415="","",VLOOKUP(H415,DB!A:B,2,0))</f>
        <v/>
      </c>
      <c r="J415" s="6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6"/>
      <c r="B416" s="6" t="str">
        <f>IF(A416="","",VLOOKUP(A416,DB!A:B,2,0))</f>
        <v/>
      </c>
      <c r="C416" s="5"/>
      <c r="D416" s="6"/>
      <c r="E416" s="6"/>
      <c r="F416" s="5"/>
      <c r="G416" s="5"/>
      <c r="H416" s="6"/>
      <c r="I416" s="5" t="str">
        <f>IF(H416="","",VLOOKUP(H416,DB!A:B,2,0))</f>
        <v/>
      </c>
      <c r="J416" s="6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6"/>
      <c r="B417" s="6" t="str">
        <f>IF(A417="","",VLOOKUP(A417,DB!A:B,2,0))</f>
        <v/>
      </c>
      <c r="C417" s="5"/>
      <c r="D417" s="6"/>
      <c r="E417" s="6"/>
      <c r="F417" s="5"/>
      <c r="G417" s="5"/>
      <c r="H417" s="6"/>
      <c r="I417" s="5" t="str">
        <f>IF(H417="","",VLOOKUP(H417,DB!A:B,2,0))</f>
        <v/>
      </c>
      <c r="J417" s="6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6"/>
      <c r="B418" s="6" t="str">
        <f>IF(A418="","",VLOOKUP(A418,DB!A:B,2,0))</f>
        <v/>
      </c>
      <c r="C418" s="5"/>
      <c r="D418" s="6"/>
      <c r="E418" s="6"/>
      <c r="F418" s="5"/>
      <c r="G418" s="5"/>
      <c r="H418" s="6"/>
      <c r="I418" s="5" t="str">
        <f>IF(H418="","",VLOOKUP(H418,DB!A:B,2,0))</f>
        <v/>
      </c>
      <c r="J418" s="6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6"/>
      <c r="B419" s="6" t="str">
        <f>IF(A419="","",VLOOKUP(A419,DB!A:B,2,0))</f>
        <v/>
      </c>
      <c r="C419" s="5"/>
      <c r="D419" s="6"/>
      <c r="E419" s="6"/>
      <c r="F419" s="5"/>
      <c r="G419" s="5"/>
      <c r="H419" s="6"/>
      <c r="I419" s="5" t="str">
        <f>IF(H419="","",VLOOKUP(H419,DB!A:B,2,0))</f>
        <v/>
      </c>
      <c r="J419" s="6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6"/>
      <c r="B420" s="6" t="str">
        <f>IF(A420="","",VLOOKUP(A420,DB!A:B,2,0))</f>
        <v/>
      </c>
      <c r="C420" s="5"/>
      <c r="D420" s="6"/>
      <c r="E420" s="6"/>
      <c r="F420" s="5"/>
      <c r="G420" s="5"/>
      <c r="H420" s="6"/>
      <c r="I420" s="5" t="str">
        <f>IF(H420="","",VLOOKUP(H420,DB!A:B,2,0))</f>
        <v/>
      </c>
      <c r="J420" s="6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6"/>
      <c r="B421" s="6" t="str">
        <f>IF(A421="","",VLOOKUP(A421,DB!A:B,2,0))</f>
        <v/>
      </c>
      <c r="C421" s="5"/>
      <c r="D421" s="6"/>
      <c r="E421" s="6"/>
      <c r="F421" s="5"/>
      <c r="G421" s="5"/>
      <c r="H421" s="6"/>
      <c r="I421" s="5" t="str">
        <f>IF(H421="","",VLOOKUP(H421,DB!A:B,2,0))</f>
        <v/>
      </c>
      <c r="J421" s="6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6"/>
      <c r="B422" s="6" t="str">
        <f>IF(A422="","",VLOOKUP(A422,DB!A:B,2,0))</f>
        <v/>
      </c>
      <c r="C422" s="5"/>
      <c r="D422" s="6"/>
      <c r="E422" s="6"/>
      <c r="F422" s="5"/>
      <c r="G422" s="5"/>
      <c r="H422" s="6"/>
      <c r="I422" s="5" t="str">
        <f>IF(H422="","",VLOOKUP(H422,DB!A:B,2,0))</f>
        <v/>
      </c>
      <c r="J422" s="6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6"/>
      <c r="B423" s="6" t="str">
        <f>IF(A423="","",VLOOKUP(A423,DB!A:B,2,0))</f>
        <v/>
      </c>
      <c r="C423" s="5"/>
      <c r="D423" s="6"/>
      <c r="E423" s="6"/>
      <c r="F423" s="5"/>
      <c r="G423" s="5"/>
      <c r="H423" s="6"/>
      <c r="I423" s="5" t="str">
        <f>IF(H423="","",VLOOKUP(H423,DB!A:B,2,0))</f>
        <v/>
      </c>
      <c r="J423" s="6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6"/>
      <c r="B424" s="6" t="str">
        <f>IF(A424="","",VLOOKUP(A424,DB!A:B,2,0))</f>
        <v/>
      </c>
      <c r="C424" s="5"/>
      <c r="D424" s="6"/>
      <c r="E424" s="6"/>
      <c r="F424" s="5"/>
      <c r="G424" s="5"/>
      <c r="H424" s="6"/>
      <c r="I424" s="5" t="str">
        <f>IF(H424="","",VLOOKUP(H424,DB!A:B,2,0))</f>
        <v/>
      </c>
      <c r="J424" s="6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6"/>
      <c r="B425" s="6" t="str">
        <f>IF(A425="","",VLOOKUP(A425,DB!A:B,2,0))</f>
        <v/>
      </c>
      <c r="C425" s="5"/>
      <c r="D425" s="6"/>
      <c r="E425" s="6"/>
      <c r="F425" s="5"/>
      <c r="G425" s="5"/>
      <c r="H425" s="6"/>
      <c r="I425" s="5" t="str">
        <f>IF(H425="","",VLOOKUP(H425,DB!A:B,2,0))</f>
        <v/>
      </c>
      <c r="J425" s="6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6"/>
      <c r="B426" s="6" t="str">
        <f>IF(A426="","",VLOOKUP(A426,DB!A:B,2,0))</f>
        <v/>
      </c>
      <c r="C426" s="5"/>
      <c r="D426" s="6"/>
      <c r="E426" s="6"/>
      <c r="F426" s="5"/>
      <c r="G426" s="5"/>
      <c r="H426" s="6"/>
      <c r="I426" s="5" t="str">
        <f>IF(H426="","",VLOOKUP(H426,DB!A:B,2,0))</f>
        <v/>
      </c>
      <c r="J426" s="6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6"/>
      <c r="B427" s="6" t="str">
        <f>IF(A427="","",VLOOKUP(A427,DB!A:B,2,0))</f>
        <v/>
      </c>
      <c r="C427" s="5"/>
      <c r="D427" s="6"/>
      <c r="E427" s="6"/>
      <c r="F427" s="5"/>
      <c r="G427" s="5"/>
      <c r="H427" s="6"/>
      <c r="I427" s="5" t="str">
        <f>IF(H427="","",VLOOKUP(H427,DB!A:B,2,0))</f>
        <v/>
      </c>
      <c r="J427" s="6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6"/>
      <c r="B428" s="6" t="str">
        <f>IF(A428="","",VLOOKUP(A428,DB!A:B,2,0))</f>
        <v/>
      </c>
      <c r="C428" s="5"/>
      <c r="D428" s="6"/>
      <c r="E428" s="6"/>
      <c r="F428" s="5"/>
      <c r="G428" s="5"/>
      <c r="H428" s="6"/>
      <c r="I428" s="5" t="str">
        <f>IF(H428="","",VLOOKUP(H428,DB!A:B,2,0))</f>
        <v/>
      </c>
      <c r="J428" s="6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6"/>
      <c r="B429" s="6" t="str">
        <f>IF(A429="","",VLOOKUP(A429,DB!A:B,2,0))</f>
        <v/>
      </c>
      <c r="C429" s="5"/>
      <c r="D429" s="6"/>
      <c r="E429" s="6"/>
      <c r="F429" s="5"/>
      <c r="G429" s="5"/>
      <c r="H429" s="6"/>
      <c r="I429" s="5" t="str">
        <f>IF(H429="","",VLOOKUP(H429,DB!A:B,2,0))</f>
        <v/>
      </c>
      <c r="J429" s="6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6"/>
      <c r="B430" s="6" t="str">
        <f>IF(A430="","",VLOOKUP(A430,DB!A:B,2,0))</f>
        <v/>
      </c>
      <c r="C430" s="5"/>
      <c r="D430" s="6"/>
      <c r="E430" s="6"/>
      <c r="F430" s="5"/>
      <c r="G430" s="5"/>
      <c r="H430" s="6"/>
      <c r="I430" s="5" t="str">
        <f>IF(H430="","",VLOOKUP(H430,DB!A:B,2,0))</f>
        <v/>
      </c>
      <c r="J430" s="6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6"/>
      <c r="B431" s="6" t="str">
        <f>IF(A431="","",VLOOKUP(A431,DB!A:B,2,0))</f>
        <v/>
      </c>
      <c r="C431" s="5"/>
      <c r="D431" s="6"/>
      <c r="E431" s="6"/>
      <c r="F431" s="5"/>
      <c r="G431" s="5"/>
      <c r="H431" s="6"/>
      <c r="I431" s="5" t="str">
        <f>IF(H431="","",VLOOKUP(H431,DB!A:B,2,0))</f>
        <v/>
      </c>
      <c r="J431" s="6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6"/>
      <c r="B432" s="6" t="str">
        <f>IF(A432="","",VLOOKUP(A432,DB!A:B,2,0))</f>
        <v/>
      </c>
      <c r="C432" s="5"/>
      <c r="D432" s="6"/>
      <c r="E432" s="6"/>
      <c r="F432" s="5"/>
      <c r="G432" s="5"/>
      <c r="H432" s="6"/>
      <c r="I432" s="5" t="str">
        <f>IF(H432="","",VLOOKUP(H432,DB!A:B,2,0))</f>
        <v/>
      </c>
      <c r="J432" s="6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6"/>
      <c r="B433" s="6" t="str">
        <f>IF(A433="","",VLOOKUP(A433,DB!A:B,2,0))</f>
        <v/>
      </c>
      <c r="C433" s="5"/>
      <c r="D433" s="6"/>
      <c r="E433" s="6"/>
      <c r="F433" s="5"/>
      <c r="G433" s="5"/>
      <c r="H433" s="6"/>
      <c r="I433" s="5" t="str">
        <f>IF(H433="","",VLOOKUP(H433,DB!A:B,2,0))</f>
        <v/>
      </c>
      <c r="J433" s="6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6"/>
      <c r="B434" s="6" t="str">
        <f>IF(A434="","",VLOOKUP(A434,DB!A:B,2,0))</f>
        <v/>
      </c>
      <c r="C434" s="5"/>
      <c r="D434" s="6"/>
      <c r="E434" s="6"/>
      <c r="F434" s="5"/>
      <c r="G434" s="5"/>
      <c r="H434" s="6"/>
      <c r="I434" s="5" t="str">
        <f>IF(H434="","",VLOOKUP(H434,DB!A:B,2,0))</f>
        <v/>
      </c>
      <c r="J434" s="6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6"/>
      <c r="B435" s="6" t="str">
        <f>IF(A435="","",VLOOKUP(A435,DB!A:B,2,0))</f>
        <v/>
      </c>
      <c r="C435" s="5"/>
      <c r="D435" s="6"/>
      <c r="E435" s="6"/>
      <c r="F435" s="5"/>
      <c r="G435" s="5"/>
      <c r="H435" s="6"/>
      <c r="I435" s="5" t="str">
        <f>IF(H435="","",VLOOKUP(H435,DB!A:B,2,0))</f>
        <v/>
      </c>
      <c r="J435" s="6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6"/>
      <c r="B436" s="6" t="str">
        <f>IF(A436="","",VLOOKUP(A436,DB!A:B,2,0))</f>
        <v/>
      </c>
      <c r="C436" s="5"/>
      <c r="D436" s="6"/>
      <c r="E436" s="6"/>
      <c r="F436" s="5"/>
      <c r="G436" s="5"/>
      <c r="H436" s="6"/>
      <c r="I436" s="5" t="str">
        <f>IF(H436="","",VLOOKUP(H436,DB!A:B,2,0))</f>
        <v/>
      </c>
      <c r="J436" s="6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6"/>
      <c r="B437" s="6" t="str">
        <f>IF(A437="","",VLOOKUP(A437,DB!A:B,2,0))</f>
        <v/>
      </c>
      <c r="C437" s="5"/>
      <c r="D437" s="6"/>
      <c r="E437" s="6"/>
      <c r="F437" s="5"/>
      <c r="G437" s="5"/>
      <c r="H437" s="6"/>
      <c r="I437" s="5" t="str">
        <f>IF(H437="","",VLOOKUP(H437,DB!A:B,2,0))</f>
        <v/>
      </c>
      <c r="J437" s="6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6"/>
      <c r="B438" s="6" t="str">
        <f>IF(A438="","",VLOOKUP(A438,DB!A:B,2,0))</f>
        <v/>
      </c>
      <c r="C438" s="5"/>
      <c r="D438" s="6"/>
      <c r="E438" s="6"/>
      <c r="F438" s="5"/>
      <c r="G438" s="5"/>
      <c r="H438" s="6"/>
      <c r="I438" s="5" t="str">
        <f>IF(H438="","",VLOOKUP(H438,DB!A:B,2,0))</f>
        <v/>
      </c>
      <c r="J438" s="6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6"/>
      <c r="B439" s="6" t="str">
        <f>IF(A439="","",VLOOKUP(A439,DB!A:B,2,0))</f>
        <v/>
      </c>
      <c r="C439" s="5"/>
      <c r="D439" s="6"/>
      <c r="E439" s="6"/>
      <c r="F439" s="5"/>
      <c r="G439" s="5"/>
      <c r="H439" s="6"/>
      <c r="I439" s="5" t="str">
        <f>IF(H439="","",VLOOKUP(H439,DB!A:B,2,0))</f>
        <v/>
      </c>
      <c r="J439" s="6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6"/>
      <c r="B440" s="6" t="str">
        <f>IF(A440="","",VLOOKUP(A440,DB!A:B,2,0))</f>
        <v/>
      </c>
      <c r="C440" s="5"/>
      <c r="D440" s="6"/>
      <c r="E440" s="6"/>
      <c r="F440" s="5"/>
      <c r="G440" s="5"/>
      <c r="H440" s="6"/>
      <c r="I440" s="5" t="str">
        <f>IF(H440="","",VLOOKUP(H440,DB!A:B,2,0))</f>
        <v/>
      </c>
      <c r="J440" s="6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6"/>
      <c r="B441" s="6" t="str">
        <f>IF(A441="","",VLOOKUP(A441,DB!A:B,2,0))</f>
        <v/>
      </c>
      <c r="C441" s="5"/>
      <c r="D441" s="6"/>
      <c r="E441" s="6"/>
      <c r="F441" s="5"/>
      <c r="G441" s="5"/>
      <c r="H441" s="6"/>
      <c r="I441" s="5" t="str">
        <f>IF(H441="","",VLOOKUP(H441,DB!A:B,2,0))</f>
        <v/>
      </c>
      <c r="J441" s="6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6"/>
      <c r="B442" s="6" t="str">
        <f>IF(A442="","",VLOOKUP(A442,DB!A:B,2,0))</f>
        <v/>
      </c>
      <c r="C442" s="5"/>
      <c r="D442" s="6"/>
      <c r="E442" s="6"/>
      <c r="F442" s="5"/>
      <c r="G442" s="5"/>
      <c r="H442" s="6"/>
      <c r="I442" s="5" t="str">
        <f>IF(H442="","",VLOOKUP(H442,DB!A:B,2,0))</f>
        <v/>
      </c>
      <c r="J442" s="6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6"/>
      <c r="B443" s="6" t="str">
        <f>IF(A443="","",VLOOKUP(A443,DB!A:B,2,0))</f>
        <v/>
      </c>
      <c r="C443" s="5"/>
      <c r="D443" s="6"/>
      <c r="E443" s="6"/>
      <c r="F443" s="5"/>
      <c r="G443" s="5"/>
      <c r="H443" s="6"/>
      <c r="I443" s="5" t="str">
        <f>IF(H443="","",VLOOKUP(H443,DB!A:B,2,0))</f>
        <v/>
      </c>
      <c r="J443" s="6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6"/>
      <c r="B444" s="6" t="str">
        <f>IF(A444="","",VLOOKUP(A444,DB!A:B,2,0))</f>
        <v/>
      </c>
      <c r="C444" s="5"/>
      <c r="D444" s="6"/>
      <c r="E444" s="6"/>
      <c r="F444" s="5"/>
      <c r="G444" s="5"/>
      <c r="H444" s="6"/>
      <c r="I444" s="5" t="str">
        <f>IF(H444="","",VLOOKUP(H444,DB!A:B,2,0))</f>
        <v/>
      </c>
      <c r="J444" s="6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6"/>
      <c r="B445" s="6" t="str">
        <f>IF(A445="","",VLOOKUP(A445,DB!A:B,2,0))</f>
        <v/>
      </c>
      <c r="C445" s="5"/>
      <c r="D445" s="6"/>
      <c r="E445" s="6"/>
      <c r="F445" s="5"/>
      <c r="G445" s="5"/>
      <c r="H445" s="6"/>
      <c r="I445" s="5" t="str">
        <f>IF(H445="","",VLOOKUP(H445,DB!A:B,2,0))</f>
        <v/>
      </c>
      <c r="J445" s="6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6"/>
      <c r="B446" s="6" t="str">
        <f>IF(A446="","",VLOOKUP(A446,DB!A:B,2,0))</f>
        <v/>
      </c>
      <c r="C446" s="5"/>
      <c r="D446" s="6"/>
      <c r="E446" s="6"/>
      <c r="F446" s="5"/>
      <c r="G446" s="5"/>
      <c r="H446" s="6"/>
      <c r="I446" s="5" t="str">
        <f>IF(H446="","",VLOOKUP(H446,DB!A:B,2,0))</f>
        <v/>
      </c>
      <c r="J446" s="6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6"/>
      <c r="B447" s="6" t="str">
        <f>IF(A447="","",VLOOKUP(A447,DB!A:B,2,0))</f>
        <v/>
      </c>
      <c r="C447" s="5"/>
      <c r="D447" s="6"/>
      <c r="E447" s="6"/>
      <c r="F447" s="5"/>
      <c r="G447" s="5"/>
      <c r="H447" s="6"/>
      <c r="I447" s="5" t="str">
        <f>IF(H447="","",VLOOKUP(H447,DB!A:B,2,0))</f>
        <v/>
      </c>
      <c r="J447" s="6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6"/>
      <c r="B448" s="6" t="str">
        <f>IF(A448="","",VLOOKUP(A448,DB!A:B,2,0))</f>
        <v/>
      </c>
      <c r="C448" s="5"/>
      <c r="D448" s="6"/>
      <c r="E448" s="6"/>
      <c r="F448" s="5"/>
      <c r="G448" s="5"/>
      <c r="H448" s="6"/>
      <c r="I448" s="5" t="str">
        <f>IF(H448="","",VLOOKUP(H448,DB!A:B,2,0))</f>
        <v/>
      </c>
      <c r="J448" s="6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6"/>
      <c r="B449" s="6" t="str">
        <f>IF(A449="","",VLOOKUP(A449,DB!A:B,2,0))</f>
        <v/>
      </c>
      <c r="C449" s="5"/>
      <c r="D449" s="6"/>
      <c r="E449" s="6"/>
      <c r="F449" s="5"/>
      <c r="G449" s="5"/>
      <c r="H449" s="6"/>
      <c r="I449" s="5" t="str">
        <f>IF(H449="","",VLOOKUP(H449,DB!A:B,2,0))</f>
        <v/>
      </c>
      <c r="J449" s="6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6"/>
      <c r="B450" s="6" t="str">
        <f>IF(A450="","",VLOOKUP(A450,DB!A:B,2,0))</f>
        <v/>
      </c>
      <c r="C450" s="5"/>
      <c r="D450" s="6"/>
      <c r="E450" s="6"/>
      <c r="F450" s="5"/>
      <c r="G450" s="5"/>
      <c r="H450" s="6"/>
      <c r="I450" s="5" t="str">
        <f>IF(H450="","",VLOOKUP(H450,DB!A:B,2,0))</f>
        <v/>
      </c>
      <c r="J450" s="6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6"/>
      <c r="B451" s="6" t="str">
        <f>IF(A451="","",VLOOKUP(A451,DB!A:B,2,0))</f>
        <v/>
      </c>
      <c r="C451" s="5"/>
      <c r="D451" s="6"/>
      <c r="E451" s="6"/>
      <c r="F451" s="5"/>
      <c r="G451" s="5"/>
      <c r="H451" s="6"/>
      <c r="I451" s="5" t="str">
        <f>IF(H451="","",VLOOKUP(H451,DB!A:B,2,0))</f>
        <v/>
      </c>
      <c r="J451" s="6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6"/>
      <c r="B452" s="6" t="str">
        <f>IF(A452="","",VLOOKUP(A452,DB!A:B,2,0))</f>
        <v/>
      </c>
      <c r="C452" s="5"/>
      <c r="D452" s="6"/>
      <c r="E452" s="6"/>
      <c r="F452" s="5"/>
      <c r="G452" s="5"/>
      <c r="H452" s="6"/>
      <c r="I452" s="5" t="str">
        <f>IF(H452="","",VLOOKUP(H452,DB!A:B,2,0))</f>
        <v/>
      </c>
      <c r="J452" s="6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6"/>
      <c r="B453" s="6" t="str">
        <f>IF(A453="","",VLOOKUP(A453,DB!A:B,2,0))</f>
        <v/>
      </c>
      <c r="C453" s="5"/>
      <c r="D453" s="6"/>
      <c r="E453" s="6"/>
      <c r="F453" s="5"/>
      <c r="G453" s="5"/>
      <c r="H453" s="6"/>
      <c r="I453" s="5" t="str">
        <f>IF(H453="","",VLOOKUP(H453,DB!A:B,2,0))</f>
        <v/>
      </c>
      <c r="J453" s="6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6"/>
      <c r="B454" s="6" t="str">
        <f>IF(A454="","",VLOOKUP(A454,DB!A:B,2,0))</f>
        <v/>
      </c>
      <c r="C454" s="5"/>
      <c r="D454" s="6"/>
      <c r="E454" s="6"/>
      <c r="F454" s="5"/>
      <c r="G454" s="5"/>
      <c r="H454" s="6"/>
      <c r="I454" s="5" t="str">
        <f>IF(H454="","",VLOOKUP(H454,DB!A:B,2,0))</f>
        <v/>
      </c>
      <c r="J454" s="6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6"/>
      <c r="B455" s="6" t="str">
        <f>IF(A455="","",VLOOKUP(A455,DB!A:B,2,0))</f>
        <v/>
      </c>
      <c r="C455" s="5"/>
      <c r="D455" s="6"/>
      <c r="E455" s="6"/>
      <c r="F455" s="5"/>
      <c r="G455" s="5"/>
      <c r="H455" s="6"/>
      <c r="I455" s="5" t="str">
        <f>IF(H455="","",VLOOKUP(H455,DB!A:B,2,0))</f>
        <v/>
      </c>
      <c r="J455" s="6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6"/>
      <c r="B456" s="6" t="str">
        <f>IF(A456="","",VLOOKUP(A456,DB!A:B,2,0))</f>
        <v/>
      </c>
      <c r="C456" s="5"/>
      <c r="D456" s="6"/>
      <c r="E456" s="6"/>
      <c r="F456" s="5"/>
      <c r="G456" s="5"/>
      <c r="H456" s="6"/>
      <c r="I456" s="5" t="str">
        <f>IF(H456="","",VLOOKUP(H456,DB!A:B,2,0))</f>
        <v/>
      </c>
      <c r="J456" s="6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6"/>
      <c r="B457" s="6" t="str">
        <f>IF(A457="","",VLOOKUP(A457,DB!A:B,2,0))</f>
        <v/>
      </c>
      <c r="C457" s="5"/>
      <c r="D457" s="6"/>
      <c r="E457" s="6"/>
      <c r="F457" s="5"/>
      <c r="G457" s="5"/>
      <c r="H457" s="6"/>
      <c r="I457" s="5" t="str">
        <f>IF(H457="","",VLOOKUP(H457,DB!A:B,2,0))</f>
        <v/>
      </c>
      <c r="J457" s="6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6"/>
      <c r="B458" s="6" t="str">
        <f>IF(A458="","",VLOOKUP(A458,DB!A:B,2,0))</f>
        <v/>
      </c>
      <c r="C458" s="5"/>
      <c r="D458" s="6"/>
      <c r="E458" s="6"/>
      <c r="F458" s="5"/>
      <c r="G458" s="5"/>
      <c r="H458" s="6"/>
      <c r="I458" s="5" t="str">
        <f>IF(H458="","",VLOOKUP(H458,DB!A:B,2,0))</f>
        <v/>
      </c>
      <c r="J458" s="6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6"/>
      <c r="B459" s="6" t="str">
        <f>IF(A459="","",VLOOKUP(A459,DB!A:B,2,0))</f>
        <v/>
      </c>
      <c r="C459" s="5"/>
      <c r="D459" s="6"/>
      <c r="E459" s="6"/>
      <c r="F459" s="5"/>
      <c r="G459" s="5"/>
      <c r="H459" s="6"/>
      <c r="I459" s="5" t="str">
        <f>IF(H459="","",VLOOKUP(H459,DB!A:B,2,0))</f>
        <v/>
      </c>
      <c r="J459" s="6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6"/>
      <c r="B460" s="6" t="str">
        <f>IF(A460="","",VLOOKUP(A460,DB!A:B,2,0))</f>
        <v/>
      </c>
      <c r="C460" s="5"/>
      <c r="D460" s="6"/>
      <c r="E460" s="6"/>
      <c r="F460" s="5"/>
      <c r="G460" s="5"/>
      <c r="H460" s="6"/>
      <c r="I460" s="5" t="str">
        <f>IF(H460="","",VLOOKUP(H460,DB!A:B,2,0))</f>
        <v/>
      </c>
      <c r="J460" s="6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6"/>
      <c r="B461" s="6" t="str">
        <f>IF(A461="","",VLOOKUP(A461,DB!A:B,2,0))</f>
        <v/>
      </c>
      <c r="C461" s="5"/>
      <c r="D461" s="6"/>
      <c r="E461" s="6"/>
      <c r="F461" s="5"/>
      <c r="G461" s="5"/>
      <c r="H461" s="6"/>
      <c r="I461" s="5" t="str">
        <f>IF(H461="","",VLOOKUP(H461,DB!A:B,2,0))</f>
        <v/>
      </c>
      <c r="J461" s="6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6"/>
      <c r="B462" s="6" t="str">
        <f>IF(A462="","",VLOOKUP(A462,DB!A:B,2,0))</f>
        <v/>
      </c>
      <c r="C462" s="5"/>
      <c r="D462" s="6"/>
      <c r="E462" s="6"/>
      <c r="F462" s="5"/>
      <c r="G462" s="5"/>
      <c r="H462" s="6"/>
      <c r="I462" s="5" t="str">
        <f>IF(H462="","",VLOOKUP(H462,DB!A:B,2,0))</f>
        <v/>
      </c>
      <c r="J462" s="6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6"/>
      <c r="B463" s="6" t="str">
        <f>IF(A463="","",VLOOKUP(A463,DB!A:B,2,0))</f>
        <v/>
      </c>
      <c r="C463" s="5"/>
      <c r="D463" s="6"/>
      <c r="E463" s="6"/>
      <c r="F463" s="5"/>
      <c r="G463" s="5"/>
      <c r="H463" s="6"/>
      <c r="I463" s="5" t="str">
        <f>IF(H463="","",VLOOKUP(H463,DB!A:B,2,0))</f>
        <v/>
      </c>
      <c r="J463" s="6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6"/>
      <c r="B464" s="6" t="str">
        <f>IF(A464="","",VLOOKUP(A464,DB!A:B,2,0))</f>
        <v/>
      </c>
      <c r="C464" s="5"/>
      <c r="D464" s="6"/>
      <c r="E464" s="6"/>
      <c r="F464" s="5"/>
      <c r="G464" s="5"/>
      <c r="H464" s="6"/>
      <c r="I464" s="5" t="str">
        <f>IF(H464="","",VLOOKUP(H464,DB!A:B,2,0))</f>
        <v/>
      </c>
      <c r="J464" s="6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6"/>
      <c r="B465" s="6" t="str">
        <f>IF(A465="","",VLOOKUP(A465,DB!A:B,2,0))</f>
        <v/>
      </c>
      <c r="C465" s="5"/>
      <c r="D465" s="6"/>
      <c r="E465" s="6"/>
      <c r="F465" s="5"/>
      <c r="G465" s="5"/>
      <c r="H465" s="6"/>
      <c r="I465" s="5" t="str">
        <f>IF(H465="","",VLOOKUP(H465,DB!A:B,2,0))</f>
        <v/>
      </c>
      <c r="J465" s="6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6"/>
      <c r="B466" s="6" t="str">
        <f>IF(A466="","",VLOOKUP(A466,DB!A:B,2,0))</f>
        <v/>
      </c>
      <c r="C466" s="5"/>
      <c r="D466" s="6"/>
      <c r="E466" s="6"/>
      <c r="F466" s="5"/>
      <c r="G466" s="5"/>
      <c r="H466" s="6"/>
      <c r="I466" s="5" t="str">
        <f>IF(H466="","",VLOOKUP(H466,DB!A:B,2,0))</f>
        <v/>
      </c>
      <c r="J466" s="6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6"/>
      <c r="B467" s="6" t="str">
        <f>IF(A467="","",VLOOKUP(A467,DB!A:B,2,0))</f>
        <v/>
      </c>
      <c r="C467" s="5"/>
      <c r="D467" s="6"/>
      <c r="E467" s="6"/>
      <c r="F467" s="5"/>
      <c r="G467" s="5"/>
      <c r="H467" s="6"/>
      <c r="I467" s="5" t="str">
        <f>IF(H467="","",VLOOKUP(H467,DB!A:B,2,0))</f>
        <v/>
      </c>
      <c r="J467" s="6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6"/>
      <c r="B468" s="6" t="str">
        <f>IF(A468="","",VLOOKUP(A468,DB!A:B,2,0))</f>
        <v/>
      </c>
      <c r="C468" s="5"/>
      <c r="D468" s="6"/>
      <c r="E468" s="6"/>
      <c r="F468" s="5"/>
      <c r="G468" s="5"/>
      <c r="H468" s="6"/>
      <c r="I468" s="5" t="str">
        <f>IF(H468="","",VLOOKUP(H468,DB!A:B,2,0))</f>
        <v/>
      </c>
      <c r="J468" s="6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6"/>
      <c r="B469" s="6" t="str">
        <f>IF(A469="","",VLOOKUP(A469,DB!A:B,2,0))</f>
        <v/>
      </c>
      <c r="C469" s="5"/>
      <c r="D469" s="6"/>
      <c r="E469" s="6"/>
      <c r="F469" s="5"/>
      <c r="G469" s="5"/>
      <c r="H469" s="6"/>
      <c r="I469" s="5" t="str">
        <f>IF(H469="","",VLOOKUP(H469,DB!A:B,2,0))</f>
        <v/>
      </c>
      <c r="J469" s="6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6"/>
      <c r="B470" s="6" t="str">
        <f>IF(A470="","",VLOOKUP(A470,DB!A:B,2,0))</f>
        <v/>
      </c>
      <c r="C470" s="5"/>
      <c r="D470" s="6"/>
      <c r="E470" s="6"/>
      <c r="F470" s="5"/>
      <c r="G470" s="5"/>
      <c r="H470" s="6"/>
      <c r="I470" s="5" t="str">
        <f>IF(H470="","",VLOOKUP(H470,DB!A:B,2,0))</f>
        <v/>
      </c>
      <c r="J470" s="6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6"/>
      <c r="B471" s="6" t="str">
        <f>IF(A471="","",VLOOKUP(A471,DB!A:B,2,0))</f>
        <v/>
      </c>
      <c r="C471" s="5"/>
      <c r="D471" s="6"/>
      <c r="E471" s="6"/>
      <c r="F471" s="5"/>
      <c r="G471" s="5"/>
      <c r="H471" s="6"/>
      <c r="I471" s="5" t="str">
        <f>IF(H471="","",VLOOKUP(H471,DB!A:B,2,0))</f>
        <v/>
      </c>
      <c r="J471" s="6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6"/>
      <c r="B472" s="6" t="str">
        <f>IF(A472="","",VLOOKUP(A472,DB!A:B,2,0))</f>
        <v/>
      </c>
      <c r="C472" s="5"/>
      <c r="D472" s="6"/>
      <c r="E472" s="6"/>
      <c r="F472" s="5"/>
      <c r="G472" s="5"/>
      <c r="H472" s="6"/>
      <c r="I472" s="5" t="str">
        <f>IF(H472="","",VLOOKUP(H472,DB!A:B,2,0))</f>
        <v/>
      </c>
      <c r="J472" s="6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6"/>
      <c r="B473" s="6" t="str">
        <f>IF(A473="","",VLOOKUP(A473,DB!A:B,2,0))</f>
        <v/>
      </c>
      <c r="C473" s="5"/>
      <c r="D473" s="6"/>
      <c r="E473" s="6"/>
      <c r="F473" s="5"/>
      <c r="G473" s="5"/>
      <c r="H473" s="6"/>
      <c r="I473" s="5" t="str">
        <f>IF(H473="","",VLOOKUP(H473,DB!A:B,2,0))</f>
        <v/>
      </c>
      <c r="J473" s="6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6"/>
      <c r="B474" s="6" t="str">
        <f>IF(A474="","",VLOOKUP(A474,DB!A:B,2,0))</f>
        <v/>
      </c>
      <c r="C474" s="5"/>
      <c r="D474" s="6"/>
      <c r="E474" s="6"/>
      <c r="F474" s="5"/>
      <c r="G474" s="5"/>
      <c r="H474" s="6"/>
      <c r="I474" s="5" t="str">
        <f>IF(H474="","",VLOOKUP(H474,DB!A:B,2,0))</f>
        <v/>
      </c>
      <c r="J474" s="6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6"/>
      <c r="B475" s="6" t="str">
        <f>IF(A475="","",VLOOKUP(A475,DB!A:B,2,0))</f>
        <v/>
      </c>
      <c r="C475" s="5"/>
      <c r="D475" s="6"/>
      <c r="E475" s="6"/>
      <c r="F475" s="5"/>
      <c r="G475" s="5"/>
      <c r="H475" s="6"/>
      <c r="I475" s="5" t="str">
        <f>IF(H475="","",VLOOKUP(H475,DB!A:B,2,0))</f>
        <v/>
      </c>
      <c r="J475" s="6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6"/>
      <c r="B476" s="6" t="str">
        <f>IF(A476="","",VLOOKUP(A476,DB!A:B,2,0))</f>
        <v/>
      </c>
      <c r="C476" s="5"/>
      <c r="D476" s="6"/>
      <c r="E476" s="6"/>
      <c r="F476" s="5"/>
      <c r="G476" s="5"/>
      <c r="H476" s="6"/>
      <c r="I476" s="5" t="str">
        <f>IF(H476="","",VLOOKUP(H476,DB!A:B,2,0))</f>
        <v/>
      </c>
      <c r="J476" s="6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6"/>
      <c r="B477" s="6" t="str">
        <f>IF(A477="","",VLOOKUP(A477,DB!A:B,2,0))</f>
        <v/>
      </c>
      <c r="C477" s="5"/>
      <c r="D477" s="6"/>
      <c r="E477" s="6"/>
      <c r="F477" s="5"/>
      <c r="G477" s="5"/>
      <c r="H477" s="6"/>
      <c r="I477" s="5" t="str">
        <f>IF(H477="","",VLOOKUP(H477,DB!A:B,2,0))</f>
        <v/>
      </c>
      <c r="J477" s="6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6"/>
      <c r="B478" s="6" t="str">
        <f>IF(A478="","",VLOOKUP(A478,DB!A:B,2,0))</f>
        <v/>
      </c>
      <c r="C478" s="5"/>
      <c r="D478" s="6"/>
      <c r="E478" s="6"/>
      <c r="F478" s="5"/>
      <c r="G478" s="5"/>
      <c r="H478" s="6"/>
      <c r="I478" s="5" t="str">
        <f>IF(H478="","",VLOOKUP(H478,DB!A:B,2,0))</f>
        <v/>
      </c>
      <c r="J478" s="6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6"/>
      <c r="B479" s="6" t="str">
        <f>IF(A479="","",VLOOKUP(A479,DB!A:B,2,0))</f>
        <v/>
      </c>
      <c r="C479" s="5"/>
      <c r="D479" s="6"/>
      <c r="E479" s="6"/>
      <c r="F479" s="5"/>
      <c r="G479" s="5"/>
      <c r="H479" s="6"/>
      <c r="I479" s="5" t="str">
        <f>IF(H479="","",VLOOKUP(H479,DB!A:B,2,0))</f>
        <v/>
      </c>
      <c r="J479" s="6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6"/>
      <c r="B480" s="6" t="str">
        <f>IF(A480="","",VLOOKUP(A480,DB!A:B,2,0))</f>
        <v/>
      </c>
      <c r="C480" s="5"/>
      <c r="D480" s="6"/>
      <c r="E480" s="6"/>
      <c r="F480" s="5"/>
      <c r="G480" s="5"/>
      <c r="H480" s="6"/>
      <c r="I480" s="5" t="str">
        <f>IF(H480="","",VLOOKUP(H480,DB!A:B,2,0))</f>
        <v/>
      </c>
      <c r="J480" s="6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6"/>
      <c r="B481" s="6" t="str">
        <f>IF(A481="","",VLOOKUP(A481,DB!A:B,2,0))</f>
        <v/>
      </c>
      <c r="C481" s="5"/>
      <c r="D481" s="6"/>
      <c r="E481" s="6"/>
      <c r="F481" s="5"/>
      <c r="G481" s="5"/>
      <c r="H481" s="6"/>
      <c r="I481" s="5" t="str">
        <f>IF(H481="","",VLOOKUP(H481,DB!A:B,2,0))</f>
        <v/>
      </c>
      <c r="J481" s="6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6"/>
      <c r="B482" s="6" t="str">
        <f>IF(A482="","",VLOOKUP(A482,DB!A:B,2,0))</f>
        <v/>
      </c>
      <c r="C482" s="5"/>
      <c r="D482" s="6"/>
      <c r="E482" s="6"/>
      <c r="F482" s="5"/>
      <c r="G482" s="5"/>
      <c r="H482" s="6"/>
      <c r="I482" s="5" t="str">
        <f>IF(H482="","",VLOOKUP(H482,DB!A:B,2,0))</f>
        <v/>
      </c>
      <c r="J482" s="6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6"/>
      <c r="B483" s="6" t="str">
        <f>IF(A483="","",VLOOKUP(A483,DB!A:B,2,0))</f>
        <v/>
      </c>
      <c r="C483" s="5"/>
      <c r="D483" s="6"/>
      <c r="E483" s="6"/>
      <c r="F483" s="5"/>
      <c r="G483" s="5"/>
      <c r="H483" s="6"/>
      <c r="I483" s="5" t="str">
        <f>IF(H483="","",VLOOKUP(H483,DB!A:B,2,0))</f>
        <v/>
      </c>
      <c r="J483" s="6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6"/>
      <c r="B484" s="6" t="str">
        <f>IF(A484="","",VLOOKUP(A484,DB!A:B,2,0))</f>
        <v/>
      </c>
      <c r="C484" s="5"/>
      <c r="D484" s="6"/>
      <c r="E484" s="6"/>
      <c r="F484" s="5"/>
      <c r="G484" s="5"/>
      <c r="H484" s="6"/>
      <c r="I484" s="5" t="str">
        <f>IF(H484="","",VLOOKUP(H484,DB!A:B,2,0))</f>
        <v/>
      </c>
      <c r="J484" s="6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6"/>
      <c r="B485" s="6" t="str">
        <f>IF(A485="","",VLOOKUP(A485,DB!A:B,2,0))</f>
        <v/>
      </c>
      <c r="C485" s="5"/>
      <c r="D485" s="6"/>
      <c r="E485" s="6"/>
      <c r="F485" s="5"/>
      <c r="G485" s="5"/>
      <c r="H485" s="6"/>
      <c r="I485" s="5" t="str">
        <f>IF(H485="","",VLOOKUP(H485,DB!A:B,2,0))</f>
        <v/>
      </c>
      <c r="J485" s="6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6"/>
      <c r="B486" s="6" t="str">
        <f>IF(A486="","",VLOOKUP(A486,DB!A:B,2,0))</f>
        <v/>
      </c>
      <c r="C486" s="5"/>
      <c r="D486" s="6"/>
      <c r="E486" s="6"/>
      <c r="F486" s="5"/>
      <c r="G486" s="5"/>
      <c r="H486" s="6"/>
      <c r="I486" s="5" t="str">
        <f>IF(H486="","",VLOOKUP(H486,DB!A:B,2,0))</f>
        <v/>
      </c>
      <c r="J486" s="6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6"/>
      <c r="B487" s="6" t="str">
        <f>IF(A487="","",VLOOKUP(A487,DB!A:B,2,0))</f>
        <v/>
      </c>
      <c r="C487" s="5"/>
      <c r="D487" s="6"/>
      <c r="E487" s="6"/>
      <c r="F487" s="5"/>
      <c r="G487" s="5"/>
      <c r="H487" s="6"/>
      <c r="I487" s="5" t="str">
        <f>IF(H487="","",VLOOKUP(H487,DB!A:B,2,0))</f>
        <v/>
      </c>
      <c r="J487" s="6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6"/>
      <c r="B488" s="6" t="str">
        <f>IF(A488="","",VLOOKUP(A488,DB!A:B,2,0))</f>
        <v/>
      </c>
      <c r="C488" s="5"/>
      <c r="D488" s="6"/>
      <c r="E488" s="6"/>
      <c r="F488" s="5"/>
      <c r="G488" s="5"/>
      <c r="H488" s="6"/>
      <c r="I488" s="5" t="str">
        <f>IF(H488="","",VLOOKUP(H488,DB!A:B,2,0))</f>
        <v/>
      </c>
      <c r="J488" s="6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6"/>
      <c r="B489" s="6" t="str">
        <f>IF(A489="","",VLOOKUP(A489,DB!A:B,2,0))</f>
        <v/>
      </c>
      <c r="C489" s="5"/>
      <c r="D489" s="6"/>
      <c r="E489" s="6"/>
      <c r="F489" s="5"/>
      <c r="G489" s="5"/>
      <c r="H489" s="6"/>
      <c r="I489" s="5" t="str">
        <f>IF(H489="","",VLOOKUP(H489,DB!A:B,2,0))</f>
        <v/>
      </c>
      <c r="J489" s="6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6"/>
      <c r="B490" s="6" t="str">
        <f>IF(A490="","",VLOOKUP(A490,DB!A:B,2,0))</f>
        <v/>
      </c>
      <c r="C490" s="5"/>
      <c r="D490" s="6"/>
      <c r="E490" s="6"/>
      <c r="F490" s="5"/>
      <c r="G490" s="5"/>
      <c r="H490" s="6"/>
      <c r="I490" s="5" t="str">
        <f>IF(H490="","",VLOOKUP(H490,DB!A:B,2,0))</f>
        <v/>
      </c>
      <c r="J490" s="6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6"/>
      <c r="B491" s="6" t="str">
        <f>IF(A491="","",VLOOKUP(A491,DB!A:B,2,0))</f>
        <v/>
      </c>
      <c r="C491" s="5"/>
      <c r="D491" s="6"/>
      <c r="E491" s="6"/>
      <c r="F491" s="5"/>
      <c r="G491" s="5"/>
      <c r="H491" s="6"/>
      <c r="I491" s="5" t="str">
        <f>IF(H491="","",VLOOKUP(H491,DB!A:B,2,0))</f>
        <v/>
      </c>
      <c r="J491" s="6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6"/>
      <c r="B492" s="6" t="str">
        <f>IF(A492="","",VLOOKUP(A492,DB!A:B,2,0))</f>
        <v/>
      </c>
      <c r="C492" s="5"/>
      <c r="D492" s="6"/>
      <c r="E492" s="6"/>
      <c r="F492" s="5"/>
      <c r="G492" s="5"/>
      <c r="H492" s="6"/>
      <c r="I492" s="5" t="str">
        <f>IF(H492="","",VLOOKUP(H492,DB!A:B,2,0))</f>
        <v/>
      </c>
      <c r="J492" s="6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6"/>
      <c r="B493" s="6" t="str">
        <f>IF(A493="","",VLOOKUP(A493,DB!A:B,2,0))</f>
        <v/>
      </c>
      <c r="C493" s="5"/>
      <c r="D493" s="6"/>
      <c r="E493" s="6"/>
      <c r="F493" s="5"/>
      <c r="G493" s="5"/>
      <c r="H493" s="6"/>
      <c r="I493" s="5" t="str">
        <f>IF(H493="","",VLOOKUP(H493,DB!A:B,2,0))</f>
        <v/>
      </c>
      <c r="J493" s="6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6"/>
      <c r="B494" s="6" t="str">
        <f>IF(A494="","",VLOOKUP(A494,DB!A:B,2,0))</f>
        <v/>
      </c>
      <c r="C494" s="5"/>
      <c r="D494" s="6"/>
      <c r="E494" s="6"/>
      <c r="F494" s="5"/>
      <c r="G494" s="5"/>
      <c r="H494" s="6"/>
      <c r="I494" s="5" t="str">
        <f>IF(H494="","",VLOOKUP(H494,DB!A:B,2,0))</f>
        <v/>
      </c>
      <c r="J494" s="6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6"/>
      <c r="B495" s="6" t="str">
        <f>IF(A495="","",VLOOKUP(A495,DB!A:B,2,0))</f>
        <v/>
      </c>
      <c r="C495" s="5"/>
      <c r="D495" s="6"/>
      <c r="E495" s="6"/>
      <c r="F495" s="5"/>
      <c r="G495" s="5"/>
      <c r="H495" s="6"/>
      <c r="I495" s="5" t="str">
        <f>IF(H495="","",VLOOKUP(H495,DB!A:B,2,0))</f>
        <v/>
      </c>
      <c r="J495" s="6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6"/>
      <c r="B496" s="6" t="str">
        <f>IF(A496="","",VLOOKUP(A496,DB!A:B,2,0))</f>
        <v/>
      </c>
      <c r="C496" s="5"/>
      <c r="D496" s="6"/>
      <c r="E496" s="6"/>
      <c r="F496" s="5"/>
      <c r="G496" s="5"/>
      <c r="H496" s="6"/>
      <c r="I496" s="5" t="str">
        <f>IF(H496="","",VLOOKUP(H496,DB!A:B,2,0))</f>
        <v/>
      </c>
      <c r="J496" s="6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6"/>
      <c r="B497" s="6" t="str">
        <f>IF(A497="","",VLOOKUP(A497,DB!A:B,2,0))</f>
        <v/>
      </c>
      <c r="C497" s="5"/>
      <c r="D497" s="6"/>
      <c r="E497" s="6"/>
      <c r="F497" s="5"/>
      <c r="G497" s="5"/>
      <c r="H497" s="6"/>
      <c r="I497" s="5" t="str">
        <f>IF(H497="","",VLOOKUP(H497,DB!A:B,2,0))</f>
        <v/>
      </c>
      <c r="J497" s="6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6"/>
      <c r="B498" s="6" t="str">
        <f>IF(A498="","",VLOOKUP(A498,DB!A:B,2,0))</f>
        <v/>
      </c>
      <c r="C498" s="5"/>
      <c r="D498" s="6"/>
      <c r="E498" s="6"/>
      <c r="F498" s="5"/>
      <c r="G498" s="5"/>
      <c r="H498" s="6"/>
      <c r="I498" s="5" t="str">
        <f>IF(H498="","",VLOOKUP(H498,DB!A:B,2,0))</f>
        <v/>
      </c>
      <c r="J498" s="6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6"/>
      <c r="B499" s="6" t="str">
        <f>IF(A499="","",VLOOKUP(A499,DB!A:B,2,0))</f>
        <v/>
      </c>
      <c r="C499" s="5"/>
      <c r="D499" s="6"/>
      <c r="E499" s="6"/>
      <c r="F499" s="5"/>
      <c r="G499" s="5"/>
      <c r="H499" s="6"/>
      <c r="I499" s="5" t="str">
        <f>IF(H499="","",VLOOKUP(H499,DB!A:B,2,0))</f>
        <v/>
      </c>
      <c r="J499" s="6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6"/>
      <c r="B500" s="6" t="str">
        <f>IF(A500="","",VLOOKUP(A500,DB!A:B,2,0))</f>
        <v/>
      </c>
      <c r="C500" s="5"/>
      <c r="D500" s="6"/>
      <c r="E500" s="6"/>
      <c r="F500" s="5"/>
      <c r="G500" s="5"/>
      <c r="H500" s="6"/>
      <c r="I500" s="5" t="str">
        <f>IF(H500="","",VLOOKUP(H500,DB!A:B,2,0))</f>
        <v/>
      </c>
      <c r="J500" s="6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6"/>
      <c r="B501" s="6" t="str">
        <f>IF(A501="","",VLOOKUP(A501,DB!A:B,2,0))</f>
        <v/>
      </c>
      <c r="C501" s="5"/>
      <c r="D501" s="6"/>
      <c r="E501" s="6"/>
      <c r="F501" s="5"/>
      <c r="G501" s="5"/>
      <c r="H501" s="6"/>
      <c r="I501" s="5" t="str">
        <f>IF(H501="","",VLOOKUP(H501,DB!A:B,2,0))</f>
        <v/>
      </c>
      <c r="J501" s="6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6"/>
      <c r="B502" s="6" t="str">
        <f>IF(A502="","",VLOOKUP(A502,DB!A:B,2,0))</f>
        <v/>
      </c>
      <c r="C502" s="5"/>
      <c r="D502" s="6"/>
      <c r="E502" s="6"/>
      <c r="F502" s="5"/>
      <c r="G502" s="5"/>
      <c r="H502" s="6"/>
      <c r="I502" s="5" t="str">
        <f>IF(H502="","",VLOOKUP(H502,DB!A:B,2,0))</f>
        <v/>
      </c>
      <c r="J502" s="6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6"/>
      <c r="B503" s="6" t="str">
        <f>IF(A503="","",VLOOKUP(A503,DB!A:B,2,0))</f>
        <v/>
      </c>
      <c r="C503" s="5"/>
      <c r="D503" s="6"/>
      <c r="E503" s="6"/>
      <c r="F503" s="5"/>
      <c r="G503" s="5"/>
      <c r="H503" s="6"/>
      <c r="I503" s="5" t="str">
        <f>IF(H503="","",VLOOKUP(H503,DB!A:B,2,0))</f>
        <v/>
      </c>
      <c r="J503" s="6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6"/>
      <c r="B504" s="6" t="str">
        <f>IF(A504="","",VLOOKUP(A504,DB!A:B,2,0))</f>
        <v/>
      </c>
      <c r="C504" s="5"/>
      <c r="D504" s="6"/>
      <c r="E504" s="6"/>
      <c r="F504" s="5"/>
      <c r="G504" s="5"/>
      <c r="H504" s="6"/>
      <c r="I504" s="5" t="str">
        <f>IF(H504="","",VLOOKUP(H504,DB!A:B,2,0))</f>
        <v/>
      </c>
      <c r="J504" s="6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6"/>
      <c r="B505" s="6" t="str">
        <f>IF(A505="","",VLOOKUP(A505,DB!A:B,2,0))</f>
        <v/>
      </c>
      <c r="C505" s="5"/>
      <c r="D505" s="6"/>
      <c r="E505" s="6"/>
      <c r="F505" s="5"/>
      <c r="G505" s="5"/>
      <c r="H505" s="6"/>
      <c r="I505" s="5" t="str">
        <f>IF(H505="","",VLOOKUP(H505,DB!A:B,2,0))</f>
        <v/>
      </c>
      <c r="J505" s="6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6"/>
      <c r="B506" s="6" t="str">
        <f>IF(A506="","",VLOOKUP(A506,DB!A:B,2,0))</f>
        <v/>
      </c>
      <c r="C506" s="5"/>
      <c r="D506" s="6"/>
      <c r="E506" s="6"/>
      <c r="F506" s="5"/>
      <c r="G506" s="5"/>
      <c r="H506" s="6"/>
      <c r="I506" s="5" t="str">
        <f>IF(H506="","",VLOOKUP(H506,DB!A:B,2,0))</f>
        <v/>
      </c>
      <c r="J506" s="6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6"/>
      <c r="B507" s="6" t="str">
        <f>IF(A507="","",VLOOKUP(A507,DB!A:B,2,0))</f>
        <v/>
      </c>
      <c r="C507" s="5"/>
      <c r="D507" s="6"/>
      <c r="E507" s="6"/>
      <c r="F507" s="5"/>
      <c r="G507" s="5"/>
      <c r="H507" s="6"/>
      <c r="I507" s="5" t="str">
        <f>IF(H507="","",VLOOKUP(H507,DB!A:B,2,0))</f>
        <v/>
      </c>
      <c r="J507" s="6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</sheetData>
  <conditionalFormatting sqref="A1:AC507">
    <cfRule type="cellIs" dxfId="0" priority="1" operator="equal">
      <formula>"N/D"</formula>
    </cfRule>
  </conditionalFormatting>
  <conditionalFormatting sqref="A1:AC507">
    <cfRule type="cellIs" dxfId="1" priority="2" operator="equal">
      <formula>"N/C"</formula>
    </cfRule>
  </conditionalFormatting>
  <conditionalFormatting sqref="A1:AC507">
    <cfRule type="expression" dxfId="2" priority="3">
      <formula>ISEVEN(ROW())</formula>
    </cfRule>
  </conditionalFormatting>
  <dataValidations>
    <dataValidation type="list" allowBlank="1" showErrorMessage="1" sqref="A2:A507 H2:H507">
      <formula1>DB!$A$2:$A$1016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9.25"/>
    <col customWidth="1" min="3" max="3" width="16.13"/>
  </cols>
  <sheetData>
    <row r="1">
      <c r="A1" s="14" t="s">
        <v>79</v>
      </c>
      <c r="B1" s="15" t="s">
        <v>80</v>
      </c>
      <c r="C1" s="16" t="s">
        <v>81</v>
      </c>
      <c r="D1" s="17" t="s">
        <v>82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9" t="s">
        <v>83</v>
      </c>
      <c r="B2" s="9" t="s">
        <v>84</v>
      </c>
      <c r="C2" s="1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7"/>
      <c r="B3" s="7"/>
      <c r="C3" s="18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9" t="s">
        <v>20</v>
      </c>
      <c r="B4" s="9" t="s">
        <v>85</v>
      </c>
      <c r="C4" s="18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7" t="s">
        <v>17</v>
      </c>
      <c r="B5" s="7" t="s">
        <v>86</v>
      </c>
      <c r="C5" s="18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9" t="s">
        <v>38</v>
      </c>
      <c r="B6" s="9" t="s">
        <v>87</v>
      </c>
      <c r="C6" s="19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20" t="s">
        <v>40</v>
      </c>
      <c r="B7" s="20" t="s">
        <v>88</v>
      </c>
      <c r="C7" s="19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9" t="s">
        <v>42</v>
      </c>
      <c r="B8" s="9" t="s">
        <v>89</v>
      </c>
      <c r="C8" s="18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7" t="s">
        <v>90</v>
      </c>
      <c r="B9" s="7" t="s">
        <v>91</v>
      </c>
      <c r="C9" s="1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9" t="s">
        <v>92</v>
      </c>
      <c r="B10" s="9" t="s">
        <v>93</v>
      </c>
      <c r="C10" s="18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7" t="s">
        <v>27</v>
      </c>
      <c r="B11" s="11" t="s">
        <v>94</v>
      </c>
      <c r="C11" s="18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9" t="s">
        <v>65</v>
      </c>
      <c r="B12" s="21" t="s">
        <v>95</v>
      </c>
      <c r="C12" s="18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7"/>
      <c r="B13" s="7"/>
      <c r="C13" s="18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9" t="s">
        <v>72</v>
      </c>
      <c r="B14" s="22" t="s">
        <v>96</v>
      </c>
      <c r="C14" s="1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7" t="s">
        <v>15</v>
      </c>
      <c r="B15" s="7" t="s">
        <v>97</v>
      </c>
      <c r="C15" s="1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9" t="s">
        <v>22</v>
      </c>
      <c r="B16" s="9" t="s">
        <v>98</v>
      </c>
      <c r="C16" s="18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7" t="s">
        <v>99</v>
      </c>
      <c r="B17" s="7" t="s">
        <v>96</v>
      </c>
      <c r="C17" s="18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9" t="s">
        <v>100</v>
      </c>
      <c r="B18" s="9" t="s">
        <v>101</v>
      </c>
      <c r="C18" s="1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7" t="s">
        <v>102</v>
      </c>
      <c r="B19" s="7" t="s">
        <v>103</v>
      </c>
      <c r="C19" s="18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9"/>
      <c r="B20" s="9"/>
      <c r="C20" s="18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7" t="s">
        <v>104</v>
      </c>
      <c r="B21" s="7" t="s">
        <v>105</v>
      </c>
      <c r="C21" s="1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9" t="s">
        <v>106</v>
      </c>
      <c r="B22" s="22" t="s">
        <v>107</v>
      </c>
      <c r="C22" s="1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7" t="s">
        <v>108</v>
      </c>
      <c r="B23" s="20" t="s">
        <v>109</v>
      </c>
      <c r="C23" s="1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9" t="s">
        <v>110</v>
      </c>
      <c r="B24" s="9" t="s">
        <v>111</v>
      </c>
      <c r="C24" s="1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7" t="s">
        <v>112</v>
      </c>
      <c r="B25" s="7" t="s">
        <v>113</v>
      </c>
      <c r="C25" s="1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9" t="s">
        <v>114</v>
      </c>
      <c r="B26" s="9" t="s">
        <v>115</v>
      </c>
      <c r="C26" s="1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7" t="s">
        <v>116</v>
      </c>
      <c r="B27" s="7" t="s">
        <v>117</v>
      </c>
      <c r="C27" s="1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9" t="s">
        <v>118</v>
      </c>
      <c r="B28" s="9" t="s">
        <v>119</v>
      </c>
      <c r="C28" s="1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7" t="s">
        <v>120</v>
      </c>
      <c r="B29" s="7" t="s">
        <v>121</v>
      </c>
      <c r="C29" s="1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9" t="s">
        <v>122</v>
      </c>
      <c r="B30" s="9" t="s">
        <v>123</v>
      </c>
      <c r="C30" s="1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7" t="s">
        <v>124</v>
      </c>
      <c r="B31" s="7" t="s">
        <v>125</v>
      </c>
      <c r="C31" s="1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9" t="s">
        <v>126</v>
      </c>
      <c r="B32" s="9" t="s">
        <v>127</v>
      </c>
      <c r="C32" s="1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7" t="s">
        <v>128</v>
      </c>
      <c r="B33" s="7" t="s">
        <v>129</v>
      </c>
      <c r="C33" s="1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9" t="s">
        <v>130</v>
      </c>
      <c r="B34" s="9" t="s">
        <v>131</v>
      </c>
      <c r="C34" s="1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7" t="s">
        <v>132</v>
      </c>
      <c r="B35" s="7" t="s">
        <v>133</v>
      </c>
      <c r="C35" s="1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9" t="s">
        <v>134</v>
      </c>
      <c r="B36" s="9" t="s">
        <v>135</v>
      </c>
      <c r="C36" s="1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9"/>
      <c r="B37" s="9"/>
      <c r="C37" s="1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21" t="s">
        <v>54</v>
      </c>
      <c r="B38" s="21" t="s">
        <v>136</v>
      </c>
      <c r="C38" s="1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7"/>
      <c r="B39" s="7"/>
      <c r="C39" s="1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9" t="s">
        <v>137</v>
      </c>
      <c r="B40" s="9"/>
      <c r="C40" s="1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7" t="s">
        <v>138</v>
      </c>
      <c r="B41" s="7"/>
      <c r="C41" s="1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9" t="s">
        <v>139</v>
      </c>
      <c r="B42" s="9"/>
      <c r="C42" s="1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7" t="s">
        <v>140</v>
      </c>
      <c r="B43" s="7"/>
      <c r="C43" s="1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9" t="s">
        <v>141</v>
      </c>
      <c r="B44" s="9"/>
      <c r="C44" s="1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7" t="s">
        <v>142</v>
      </c>
      <c r="B45" s="7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9" t="s">
        <v>143</v>
      </c>
      <c r="B46" s="9"/>
      <c r="C46" s="1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7" t="s">
        <v>144</v>
      </c>
      <c r="B47" s="7"/>
      <c r="C47" s="1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9" t="s">
        <v>145</v>
      </c>
      <c r="B48" s="9"/>
      <c r="C48" s="1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7" t="s">
        <v>146</v>
      </c>
      <c r="B49" s="7"/>
      <c r="C49" s="1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9" t="s">
        <v>147</v>
      </c>
      <c r="B50" s="9"/>
      <c r="C50" s="1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7" t="s">
        <v>148</v>
      </c>
      <c r="B51" s="7"/>
      <c r="C51" s="1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9" t="s">
        <v>149</v>
      </c>
      <c r="B52" s="22"/>
      <c r="C52" s="1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7" t="s">
        <v>150</v>
      </c>
      <c r="B53" s="20"/>
      <c r="C53" s="1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9" t="s">
        <v>151</v>
      </c>
      <c r="B54" s="22"/>
      <c r="C54" s="18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7" t="s">
        <v>152</v>
      </c>
      <c r="B55" s="20"/>
      <c r="C55" s="1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9"/>
      <c r="B56" s="9"/>
      <c r="C56" s="18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7" t="s">
        <v>153</v>
      </c>
      <c r="B57" s="7"/>
      <c r="C57" s="1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9"/>
      <c r="B58" s="9"/>
      <c r="C58" s="18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23" t="s">
        <v>154</v>
      </c>
      <c r="B59" s="7"/>
      <c r="C59" s="1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22"/>
      <c r="B60" s="22"/>
      <c r="C60" s="1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20" t="s">
        <v>155</v>
      </c>
      <c r="B61" s="20"/>
      <c r="C61" s="1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7"/>
      <c r="B62" s="7"/>
      <c r="C62" s="18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11"/>
      <c r="B63" s="11"/>
      <c r="C63" s="18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7"/>
      <c r="B64" s="7"/>
      <c r="C64" s="18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1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11"/>
      <c r="B66" s="11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11"/>
      <c r="B67" s="11"/>
      <c r="C67" s="18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11"/>
      <c r="B68" s="11"/>
      <c r="C68" s="1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11"/>
      <c r="B69" s="7"/>
      <c r="C69" s="1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11"/>
      <c r="B70" s="7"/>
      <c r="C70" s="1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11"/>
      <c r="B71" s="7"/>
      <c r="C71" s="1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11"/>
      <c r="B72" s="5"/>
      <c r="C72" s="1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11"/>
      <c r="B73" s="7"/>
      <c r="C73" s="1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11"/>
      <c r="B74" s="7"/>
      <c r="C74" s="1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7"/>
      <c r="B75" s="7"/>
      <c r="C75" s="1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7"/>
      <c r="B76" s="7"/>
      <c r="C76" s="1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7"/>
      <c r="B77" s="7"/>
      <c r="C77" s="1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7"/>
      <c r="B78" s="7"/>
      <c r="C78" s="1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7"/>
      <c r="B79" s="7"/>
      <c r="C79" s="1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7"/>
      <c r="B80" s="7"/>
      <c r="C80" s="1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7"/>
      <c r="B81" s="7"/>
      <c r="C81" s="1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7"/>
      <c r="B82" s="7"/>
      <c r="C82" s="1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7"/>
      <c r="B83" s="7"/>
      <c r="C83" s="1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7"/>
      <c r="B84" s="7"/>
      <c r="C84" s="1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7"/>
      <c r="B85" s="7"/>
      <c r="C85" s="1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7"/>
      <c r="B86" s="7"/>
      <c r="C86" s="1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7"/>
      <c r="B87" s="7"/>
      <c r="C87" s="1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7"/>
      <c r="B88" s="7"/>
      <c r="C88" s="1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7"/>
      <c r="B89" s="7"/>
      <c r="C89" s="1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11"/>
      <c r="B90" s="11"/>
      <c r="C90" s="1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7"/>
      <c r="B91" s="7"/>
      <c r="C91" s="1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7"/>
      <c r="B92" s="7"/>
      <c r="C92" s="1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7"/>
      <c r="B93" s="7"/>
      <c r="C93" s="1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11"/>
      <c r="B94" s="11"/>
      <c r="C94" s="1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7"/>
      <c r="B95" s="7"/>
      <c r="C95" s="1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7"/>
      <c r="B96" s="7"/>
      <c r="C96" s="1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</sheetData>
  <conditionalFormatting sqref="B98:B101">
    <cfRule type="cellIs" dxfId="1" priority="1" operator="equal">
      <formula>"N/C"</formula>
    </cfRule>
  </conditionalFormatting>
  <conditionalFormatting sqref="A1:Y1016">
    <cfRule type="cellIs" dxfId="0" priority="2" operator="equal">
      <formula>"N/D"</formula>
    </cfRule>
  </conditionalFormatting>
  <conditionalFormatting sqref="A1:Y1016">
    <cfRule type="expression" dxfId="3" priority="3">
      <formula>ISEVEN(ROW())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9.13"/>
    <col customWidth="1" min="3" max="3" width="10.5"/>
    <col customWidth="1" min="4" max="4" width="11.88"/>
    <col customWidth="1" min="5" max="5" width="18.63"/>
    <col customWidth="1" min="6" max="6" width="4.38"/>
    <col customWidth="1" min="7" max="7" width="7.13"/>
    <col customWidth="1" min="8" max="8" width="12.0"/>
    <col customWidth="1" min="9" max="9" width="19.13"/>
    <col customWidth="1" min="10" max="10" width="13.63"/>
    <col customWidth="1" min="11" max="12" width="13.13"/>
    <col customWidth="1" min="13" max="13" width="15.63"/>
    <col customWidth="1" min="14" max="14" width="22.13"/>
    <col customWidth="1" min="15" max="15" width="28.38"/>
    <col customWidth="1" min="17" max="17" width="17.63"/>
    <col customWidth="1" min="32" max="39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5"/>
      <c r="Q1" s="4" t="s">
        <v>156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>
      <c r="A2" s="6" t="s">
        <v>157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>
        <v>1.0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>
      <c r="A3" s="5" t="str">
        <f>IFERROR(__xludf.DUMMYFUNCTION("SORT(
  FILTER(
    Conexiones!A2:O507,
    IF(A2="""", ROW(Conexiones!A2:A507)^0, ISNUMBER(SEARCH(A2, Conexiones!A2:A507))),
    IF(B2="""", ROW(Conexiones!B2:B507)^0, ISNUMBER(SEARCH(B2, Conexiones!B2:B507))),
    IF(C2="""", ROW(Conexiones!C2:C507)^0, "&amp;"ISNUMBER(SEARCH(C2, Conexiones!C2:C507))),
    IF(D2="""", ROW(Conexiones!D2:D507)^0, ISNUMBER(SEARCH(D2, Conexiones!D2:D507))),
    IF(E2="""", ROW(Conexiones!E2:E507)^0, ISNUMBER(SEARCH(E2, Conexiones!E2:E507))),
    IF(F2="""", ROW(Conexiones!F2:F507)^"&amp;"0, ISNUMBER(SEARCH(F2, Conexiones!F2:F507))),
    IF(G2="""", ROW(Conexiones!G2:G507)^0, ISNUMBER(SEARCH(G2, Conexiones!G2:G507))),
    IF(H2="""", ROW(Conexiones!H2:H507)^0, ISNUMBER(SEARCH(H2, Conexiones!H2:H507))),
    IF(B2="""", ROW(Conexiones!H2:H50"&amp;"7)^0, ISNUMBER(SEARCH(B2, Conexiones!H2:H507))),
    IF(I2="""", ROW(Conexiones!I2:I507)^0, ISNUMBER(SEARCH(I2, Conexiones!I2:I507))),
    IF(J2="""", ROW(Conexiones!J2:J507)^0, ISNUMBER(SEARCH(J2, Conexiones!J2:J507))),
    IF(L2="""", ROW(Conexiones!L2:"&amp;"L507)^0, ISNUMBER(SEARCH(L2, Conexiones!L2:L507))),
    IF(M2="""", ROW(Conexiones!M2:M507)^0, ISNUMBER(SEARCH(M2, Conexiones!M2:M507))),
    IF(N2="""", ROW(Conexiones!N2:N507)^0, ISNUMBER(SEARCH(N2, Conexiones!N2:N507))),
    IF(O2="""", ROW(Conexiones!"&amp;"O2:O507)^0, ISNUMBER(SEARCH(O2, Conexiones!O2:O507)))
  ),
  Q2,
  TRUE
)"),"B.1")</f>
        <v>B.1</v>
      </c>
      <c r="B3" s="5" t="str">
        <f>IFERROR(__xludf.DUMMYFUNCTION("""COMPUTED_VALUE"""),"Patch panel")</f>
        <v>Patch panel</v>
      </c>
      <c r="C3" s="5"/>
      <c r="D3" s="5"/>
      <c r="E3" s="5" t="str">
        <f>IFERROR(__xludf.DUMMYFUNCTION("""COMPUTED_VALUE"""),"Out 1")</f>
        <v>Out 1</v>
      </c>
      <c r="F3" s="5" t="str">
        <f>IFERROR(__xludf.DUMMYFUNCTION("""COMPUTED_VALUE"""),"T")</f>
        <v>T</v>
      </c>
      <c r="G3" s="5" t="str">
        <f>IFERROR(__xludf.DUMMYFUNCTION("""COMPUTED_VALUE"""),"In 1")</f>
        <v>In 1</v>
      </c>
      <c r="H3" s="5" t="str">
        <f>IFERROR(__xludf.DUMMYFUNCTION("""COMPUTED_VALUE"""),"B.8")</f>
        <v>B.8</v>
      </c>
      <c r="I3" s="5" t="str">
        <f>IFERROR(__xludf.DUMMYFUNCTION("""COMPUTED_VALUE"""),"PC Player")</f>
        <v>PC Player</v>
      </c>
      <c r="J3" s="5">
        <f>IFERROR(__xludf.DUMMYFUNCTION("""COMPUTED_VALUE"""),1.0)</f>
        <v>1</v>
      </c>
      <c r="K3" s="5" t="str">
        <f>IFERROR(__xludf.DUMMYFUNCTION("""COMPUTED_VALUE"""),"DeckLink")</f>
        <v>DeckLink</v>
      </c>
      <c r="L3" s="5" t="str">
        <f>IFERROR(__xludf.DUMMYFUNCTION("""COMPUTED_VALUE"""),"P1")</f>
        <v>P1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>
      <c r="A4" s="5" t="str">
        <f>IFERROR(__xludf.DUMMYFUNCTION("""COMPUTED_VALUE"""),"B.1")</f>
        <v>B.1</v>
      </c>
      <c r="B4" s="5" t="str">
        <f>IFERROR(__xludf.DUMMYFUNCTION("""COMPUTED_VALUE"""),"Patch panel")</f>
        <v>Patch panel</v>
      </c>
      <c r="C4" s="5"/>
      <c r="D4" s="5"/>
      <c r="E4" s="5" t="str">
        <f>IFERROR(__xludf.DUMMYFUNCTION("""COMPUTED_VALUE"""),"Out 2")</f>
        <v>Out 2</v>
      </c>
      <c r="F4" s="5" t="str">
        <f>IFERROR(__xludf.DUMMYFUNCTION("""COMPUTED_VALUE"""),"T")</f>
        <v>T</v>
      </c>
      <c r="G4" s="5" t="str">
        <f>IFERROR(__xludf.DUMMYFUNCTION("""COMPUTED_VALUE"""),"In 2")</f>
        <v>In 2</v>
      </c>
      <c r="H4" s="5" t="str">
        <f>IFERROR(__xludf.DUMMYFUNCTION("""COMPUTED_VALUE"""),"B.8")</f>
        <v>B.8</v>
      </c>
      <c r="I4" s="5" t="str">
        <f>IFERROR(__xludf.DUMMYFUNCTION("""COMPUTED_VALUE"""),"PC Player")</f>
        <v>PC Player</v>
      </c>
      <c r="J4" s="5">
        <f>IFERROR(__xludf.DUMMYFUNCTION("""COMPUTED_VALUE"""),1.0)</f>
        <v>1</v>
      </c>
      <c r="K4" s="5" t="str">
        <f>IFERROR(__xludf.DUMMYFUNCTION("""COMPUTED_VALUE"""),"DeckLink")</f>
        <v>DeckLink</v>
      </c>
      <c r="L4" s="5" t="str">
        <f>IFERROR(__xludf.DUMMYFUNCTION("""COMPUTED_VALUE"""),"P2")</f>
        <v>P2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>
      <c r="A5" s="5" t="str">
        <f>IFERROR(__xludf.DUMMYFUNCTION("""COMPUTED_VALUE"""),"B.1")</f>
        <v>B.1</v>
      </c>
      <c r="B5" s="5" t="str">
        <f>IFERROR(__xludf.DUMMYFUNCTION("""COMPUTED_VALUE"""),"Patch panel")</f>
        <v>Patch panel</v>
      </c>
      <c r="C5" s="5"/>
      <c r="D5" s="5"/>
      <c r="E5" s="5" t="str">
        <f>IFERROR(__xludf.DUMMYFUNCTION("""COMPUTED_VALUE"""),"Out 3")</f>
        <v>Out 3</v>
      </c>
      <c r="F5" s="5" t="str">
        <f>IFERROR(__xludf.DUMMYFUNCTION("""COMPUTED_VALUE"""),"T")</f>
        <v>T</v>
      </c>
      <c r="G5" s="5" t="str">
        <f>IFERROR(__xludf.DUMMYFUNCTION("""COMPUTED_VALUE"""),"In 3")</f>
        <v>In 3</v>
      </c>
      <c r="H5" s="5" t="str">
        <f>IFERROR(__xludf.DUMMYFUNCTION("""COMPUTED_VALUE"""),"B.8")</f>
        <v>B.8</v>
      </c>
      <c r="I5" s="5" t="str">
        <f>IFERROR(__xludf.DUMMYFUNCTION("""COMPUTED_VALUE"""),"PC Player")</f>
        <v>PC Player</v>
      </c>
      <c r="J5" s="5">
        <f>IFERROR(__xludf.DUMMYFUNCTION("""COMPUTED_VALUE"""),1.0)</f>
        <v>1</v>
      </c>
      <c r="K5" s="5" t="str">
        <f>IFERROR(__xludf.DUMMYFUNCTION("""COMPUTED_VALUE"""),"DeckLink")</f>
        <v>DeckLink</v>
      </c>
      <c r="L5" s="5" t="str">
        <f>IFERROR(__xludf.DUMMYFUNCTION("""COMPUTED_VALUE"""),"P3")</f>
        <v>P3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>
      <c r="A6" s="5" t="str">
        <f>IFERROR(__xludf.DUMMYFUNCTION("""COMPUTED_VALUE"""),"B.1")</f>
        <v>B.1</v>
      </c>
      <c r="B6" s="5" t="str">
        <f>IFERROR(__xludf.DUMMYFUNCTION("""COMPUTED_VALUE"""),"Patch panel")</f>
        <v>Patch panel</v>
      </c>
      <c r="C6" s="5"/>
      <c r="D6" s="5"/>
      <c r="E6" s="5" t="str">
        <f>IFERROR(__xludf.DUMMYFUNCTION("""COMPUTED_VALUE"""),"Out 4")</f>
        <v>Out 4</v>
      </c>
      <c r="F6" s="5" t="str">
        <f>IFERROR(__xludf.DUMMYFUNCTION("""COMPUTED_VALUE"""),"T")</f>
        <v>T</v>
      </c>
      <c r="G6" s="5" t="str">
        <f>IFERROR(__xludf.DUMMYFUNCTION("""COMPUTED_VALUE"""),"In 4")</f>
        <v>In 4</v>
      </c>
      <c r="H6" s="5" t="str">
        <f>IFERROR(__xludf.DUMMYFUNCTION("""COMPUTED_VALUE"""),"B.8")</f>
        <v>B.8</v>
      </c>
      <c r="I6" s="5" t="str">
        <f>IFERROR(__xludf.DUMMYFUNCTION("""COMPUTED_VALUE"""),"PC Player")</f>
        <v>PC Player</v>
      </c>
      <c r="J6" s="5">
        <f>IFERROR(__xludf.DUMMYFUNCTION("""COMPUTED_VALUE"""),1.0)</f>
        <v>1</v>
      </c>
      <c r="K6" s="5" t="str">
        <f>IFERROR(__xludf.DUMMYFUNCTION("""COMPUTED_VALUE"""),"DeckLink")</f>
        <v>DeckLink</v>
      </c>
      <c r="L6" s="5" t="str">
        <f>IFERROR(__xludf.DUMMYFUNCTION("""COMPUTED_VALUE"""),"P4")</f>
        <v>P4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24"/>
      <c r="AG6" s="24"/>
      <c r="AH6" s="24"/>
      <c r="AI6" s="24"/>
      <c r="AJ6" s="24"/>
      <c r="AK6" s="24"/>
      <c r="AL6" s="24"/>
      <c r="AM6" s="24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>
      <c r="A7" s="5" t="str">
        <f>IFERROR(__xludf.DUMMYFUNCTION("""COMPUTED_VALUE"""),"B.1")</f>
        <v>B.1</v>
      </c>
      <c r="B7" s="5" t="str">
        <f>IFERROR(__xludf.DUMMYFUNCTION("""COMPUTED_VALUE"""),"Patch panel")</f>
        <v>Patch panel</v>
      </c>
      <c r="C7" s="5"/>
      <c r="D7" s="5"/>
      <c r="E7" s="5" t="str">
        <f>IFERROR(__xludf.DUMMYFUNCTION("""COMPUTED_VALUE"""),"Out 6")</f>
        <v>Out 6</v>
      </c>
      <c r="F7" s="5" t="str">
        <f>IFERROR(__xludf.DUMMYFUNCTION("""COMPUTED_VALUE"""),"T")</f>
        <v>T</v>
      </c>
      <c r="G7" s="5" t="str">
        <f>IFERROR(__xludf.DUMMYFUNCTION("""COMPUTED_VALUE"""),"In 6")</f>
        <v>In 6</v>
      </c>
      <c r="H7" s="5" t="str">
        <f>IFERROR(__xludf.DUMMYFUNCTION("""COMPUTED_VALUE"""),"B.2")</f>
        <v>B.2</v>
      </c>
      <c r="I7" s="5" t="str">
        <f>IFERROR(__xludf.DUMMYFUNCTION("""COMPUTED_VALUE"""),"ATEM 1 Production Studio")</f>
        <v>ATEM 1 Production Studio</v>
      </c>
      <c r="J7" s="5"/>
      <c r="K7" s="5"/>
      <c r="L7" s="5" t="str">
        <f>IFERROR(__xludf.DUMMYFUNCTION("""COMPUTED_VALUE"""),"In 7")</f>
        <v>In 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6"/>
      <c r="AG7" s="6"/>
      <c r="AH7" s="6"/>
      <c r="AI7" s="6"/>
      <c r="AJ7" s="6"/>
      <c r="AK7" s="6"/>
      <c r="AL7" s="6"/>
      <c r="AM7" s="6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>
      <c r="A8" s="5" t="str">
        <f>IFERROR(__xludf.DUMMYFUNCTION("""COMPUTED_VALUE"""),"B.1")</f>
        <v>B.1</v>
      </c>
      <c r="B8" s="5" t="str">
        <f>IFERROR(__xludf.DUMMYFUNCTION("""COMPUTED_VALUE"""),"Patch panel")</f>
        <v>Patch panel</v>
      </c>
      <c r="C8" s="5"/>
      <c r="D8" s="5"/>
      <c r="E8" s="5" t="str">
        <f>IFERROR(__xludf.DUMMYFUNCTION("""COMPUTED_VALUE"""),"Out 7")</f>
        <v>Out 7</v>
      </c>
      <c r="F8" s="5" t="str">
        <f>IFERROR(__xludf.DUMMYFUNCTION("""COMPUTED_VALUE"""),"T")</f>
        <v>T</v>
      </c>
      <c r="G8" s="5" t="str">
        <f>IFERROR(__xludf.DUMMYFUNCTION("""COMPUTED_VALUE"""),"In 7")</f>
        <v>In 7</v>
      </c>
      <c r="H8" s="5" t="str">
        <f>IFERROR(__xludf.DUMMYFUNCTION("""COMPUTED_VALUE"""),"B.2")</f>
        <v>B.2</v>
      </c>
      <c r="I8" s="5" t="str">
        <f>IFERROR(__xludf.DUMMYFUNCTION("""COMPUTED_VALUE"""),"ATEM 1 Production Studio")</f>
        <v>ATEM 1 Production Studio</v>
      </c>
      <c r="J8" s="5"/>
      <c r="K8" s="5"/>
      <c r="L8" s="5" t="str">
        <f>IFERROR(__xludf.DUMMYFUNCTION("""COMPUTED_VALUE"""),"In 8")</f>
        <v>In 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>
      <c r="A9" s="5" t="str">
        <f>IFERROR(__xludf.DUMMYFUNCTION("""COMPUTED_VALUE"""),"B.1")</f>
        <v>B.1</v>
      </c>
      <c r="B9" s="5" t="str">
        <f>IFERROR(__xludf.DUMMYFUNCTION("""COMPUTED_VALUE"""),"Patch panel")</f>
        <v>Patch panel</v>
      </c>
      <c r="C9" s="5"/>
      <c r="D9" s="5"/>
      <c r="E9" s="5" t="str">
        <f>IFERROR(__xludf.DUMMYFUNCTION("""COMPUTED_VALUE"""),"Out 8")</f>
        <v>Out 8</v>
      </c>
      <c r="F9" s="5" t="str">
        <f>IFERROR(__xludf.DUMMYFUNCTION("""COMPUTED_VALUE"""),"T")</f>
        <v>T</v>
      </c>
      <c r="G9" s="5" t="str">
        <f>IFERROR(__xludf.DUMMYFUNCTION("""COMPUTED_VALUE"""),"In 8")</f>
        <v>In 8</v>
      </c>
      <c r="H9" s="5" t="str">
        <f>IFERROR(__xludf.DUMMYFUNCTION("""COMPUTED_VALUE"""),"B.2")</f>
        <v>B.2</v>
      </c>
      <c r="I9" s="5" t="str">
        <f>IFERROR(__xludf.DUMMYFUNCTION("""COMPUTED_VALUE"""),"ATEM 1 Production Studio")</f>
        <v>ATEM 1 Production Studio</v>
      </c>
      <c r="J9" s="5"/>
      <c r="K9" s="5"/>
      <c r="L9" s="5" t="str">
        <f>IFERROR(__xludf.DUMMYFUNCTION("""COMPUTED_VALUE"""),"In 9")</f>
        <v>In 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>
      <c r="A10" s="5" t="str">
        <f>IFERROR(__xludf.DUMMYFUNCTION("""COMPUTED_VALUE"""),"B.1")</f>
        <v>B.1</v>
      </c>
      <c r="B10" s="5" t="str">
        <f>IFERROR(__xludf.DUMMYFUNCTION("""COMPUTED_VALUE"""),"Patch panel")</f>
        <v>Patch panel</v>
      </c>
      <c r="C10" s="5"/>
      <c r="D10" s="5"/>
      <c r="E10" s="5" t="str">
        <f>IFERROR(__xludf.DUMMYFUNCTION("""COMPUTED_VALUE"""),"Out 9")</f>
        <v>Out 9</v>
      </c>
      <c r="F10" s="5"/>
      <c r="G10" s="5"/>
      <c r="H10" s="5" t="str">
        <f>IFERROR(__xludf.DUMMYFUNCTION("""COMPUTED_VALUE"""),"B.2")</f>
        <v>B.2</v>
      </c>
      <c r="I10" s="5" t="str">
        <f>IFERROR(__xludf.DUMMYFUNCTION("""COMPUTED_VALUE"""),"ATEM 1 Production Studio")</f>
        <v>ATEM 1 Production Studio</v>
      </c>
      <c r="J10" s="5"/>
      <c r="K10" s="5"/>
      <c r="L10" s="5" t="str">
        <f>IFERROR(__xludf.DUMMYFUNCTION("""COMPUTED_VALUE"""),"In 10")</f>
        <v>In 10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>
      <c r="A11" s="5" t="str">
        <f>IFERROR(__xludf.DUMMYFUNCTION("""COMPUTED_VALUE"""),"B.1")</f>
        <v>B.1</v>
      </c>
      <c r="B11" s="5" t="str">
        <f>IFERROR(__xludf.DUMMYFUNCTION("""COMPUTED_VALUE"""),"Patch panel")</f>
        <v>Patch panel</v>
      </c>
      <c r="C11" s="5"/>
      <c r="D11" s="5"/>
      <c r="E11" s="5" t="str">
        <f>IFERROR(__xludf.DUMMYFUNCTION("""COMPUTED_VALUE"""),"Out 15")</f>
        <v>Out 15</v>
      </c>
      <c r="F11" s="5" t="str">
        <f>IFERROR(__xludf.DUMMYFUNCTION("""COMPUTED_VALUE"""),"T")</f>
        <v>T</v>
      </c>
      <c r="G11" s="5" t="str">
        <f>IFERROR(__xludf.DUMMYFUNCTION("""COMPUTED_VALUE"""),"In 9")</f>
        <v>In 9</v>
      </c>
      <c r="H11" s="5" t="str">
        <f>IFERROR(__xludf.DUMMYFUNCTION("""COMPUTED_VALUE"""),"B.9")</f>
        <v>B.9</v>
      </c>
      <c r="I11" s="5" t="str">
        <f>IFERROR(__xludf.DUMMYFUNCTION("""COMPUTED_VALUE"""),"PC CGX")</f>
        <v>PC CGX</v>
      </c>
      <c r="J11" s="5">
        <f>IFERROR(__xludf.DUMMYFUNCTION("""COMPUTED_VALUE"""),1.0)</f>
        <v>1</v>
      </c>
      <c r="K11" s="5" t="str">
        <f>IFERROR(__xludf.DUMMYFUNCTION("""COMPUTED_VALUE"""),"DeckLink")</f>
        <v>DeckLink</v>
      </c>
      <c r="L11" s="5" t="str">
        <f>IFERROR(__xludf.DUMMYFUNCTION("""COMPUTED_VALUE"""),"P1")</f>
        <v>P1</v>
      </c>
      <c r="M11" s="5"/>
      <c r="N11" s="5"/>
      <c r="O11" s="5" t="str">
        <f>IFERROR(__xludf.DUMMYFUNCTION("""COMPUTED_VALUE"""),"Patch Cable Externo")</f>
        <v>Patch Cable Externo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>
      <c r="A12" s="5" t="str">
        <f>IFERROR(__xludf.DUMMYFUNCTION("""COMPUTED_VALUE"""),"B.1")</f>
        <v>B.1</v>
      </c>
      <c r="B12" s="5" t="str">
        <f>IFERROR(__xludf.DUMMYFUNCTION("""COMPUTED_VALUE"""),"Patch panel")</f>
        <v>Patch panel</v>
      </c>
      <c r="C12" s="5"/>
      <c r="D12" s="5"/>
      <c r="E12" s="5" t="str">
        <f>IFERROR(__xludf.DUMMYFUNCTION("""COMPUTED_VALUE"""),"Out 13")</f>
        <v>Out 13</v>
      </c>
      <c r="F12" s="5" t="str">
        <f>IFERROR(__xludf.DUMMYFUNCTION("""COMPUTED_VALUE"""),"T")</f>
        <v>T</v>
      </c>
      <c r="G12" s="5" t="str">
        <f>IFERROR(__xludf.DUMMYFUNCTION("""COMPUTED_VALUE"""),"In 13")</f>
        <v>In 13</v>
      </c>
      <c r="H12" s="5" t="str">
        <f>IFERROR(__xludf.DUMMYFUNCTION("""COMPUTED_VALUE"""),"C.2")</f>
        <v>C.2</v>
      </c>
      <c r="I12" s="5" t="str">
        <f>IFERROR(__xludf.DUMMYFUNCTION("""COMPUTED_VALUE"""),"Ikegami BS-80 4")</f>
        <v>Ikegami BS-80 4</v>
      </c>
      <c r="J12" s="5"/>
      <c r="K12" s="5"/>
      <c r="L12" s="5" t="str">
        <f>IFERROR(__xludf.DUMMYFUNCTION("""COMPUTED_VALUE"""),"Trunk In")</f>
        <v>Trunk In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>
      <c r="A13" s="5" t="str">
        <f>IFERROR(__xludf.DUMMYFUNCTION("""COMPUTED_VALUE"""),"B.1")</f>
        <v>B.1</v>
      </c>
      <c r="B13" s="5" t="str">
        <f>IFERROR(__xludf.DUMMYFUNCTION("""COMPUTED_VALUE"""),"Patch panel")</f>
        <v>Patch panel</v>
      </c>
      <c r="C13" s="5"/>
      <c r="D13" s="5"/>
      <c r="E13" s="5" t="str">
        <f>IFERROR(__xludf.DUMMYFUNCTION("""COMPUTED_VALUE"""),"Out 14")</f>
        <v>Out 14</v>
      </c>
      <c r="F13" s="5" t="str">
        <f>IFERROR(__xludf.DUMMYFUNCTION("""COMPUTED_VALUE"""),"T")</f>
        <v>T</v>
      </c>
      <c r="G13" s="5" t="str">
        <f>IFERROR(__xludf.DUMMYFUNCTION("""COMPUTED_VALUE"""),"In 14")</f>
        <v>In 14</v>
      </c>
      <c r="H13" s="5" t="str">
        <f>IFERROR(__xludf.DUMMYFUNCTION("""COMPUTED_VALUE"""),"C.3")</f>
        <v>C.3</v>
      </c>
      <c r="I13" s="5" t="str">
        <f>IFERROR(__xludf.DUMMYFUNCTION("""COMPUTED_VALUE"""),"Ikegami BS-80 5")</f>
        <v>Ikegami BS-80 5</v>
      </c>
      <c r="J13" s="5"/>
      <c r="K13" s="5"/>
      <c r="L13" s="5" t="str">
        <f>IFERROR(__xludf.DUMMYFUNCTION("""COMPUTED_VALUE"""),"Trunk In")</f>
        <v>Trunk In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24"/>
      <c r="AG14" s="24"/>
      <c r="AH14" s="24"/>
      <c r="AI14" s="24"/>
      <c r="AJ14" s="24"/>
      <c r="AK14" s="24"/>
      <c r="AL14" s="24"/>
      <c r="AM14" s="24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6"/>
      <c r="AG15" s="6"/>
      <c r="AH15" s="6"/>
      <c r="AI15" s="6"/>
      <c r="AJ15" s="6"/>
      <c r="AK15" s="6"/>
      <c r="AL15" s="6"/>
      <c r="AM15" s="6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</row>
  </sheetData>
  <conditionalFormatting sqref="A1:O1">
    <cfRule type="cellIs" dxfId="0" priority="1" operator="equal">
      <formula>"?"</formula>
    </cfRule>
  </conditionalFormatting>
  <conditionalFormatting sqref="A1:O1">
    <cfRule type="cellIs" dxfId="1" priority="2" operator="equal">
      <formula>"N/C"</formula>
    </cfRule>
  </conditionalFormatting>
  <conditionalFormatting sqref="A1:O1">
    <cfRule type="expression" dxfId="3" priority="3">
      <formula>ISEVEN(ROW())</formula>
    </cfRule>
  </conditionalFormatting>
  <conditionalFormatting sqref="A1:AX1000">
    <cfRule type="expression" dxfId="3" priority="4">
      <formula>ISEVEN(ROW())</formula>
    </cfRule>
  </conditionalFormatting>
  <dataValidations>
    <dataValidation type="list" allowBlank="1" showErrorMessage="1" sqref="B2 I2">
      <formula1>DB!$B$2:$B$415</formula1>
    </dataValidation>
  </dataValidations>
  <drawing r:id="rId1"/>
</worksheet>
</file>