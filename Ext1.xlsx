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<sst xmlns="http://schemas.openxmlformats.org/spreadsheetml/2006/main" count="742" uniqueCount="239">
  <si>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</si>
  <si>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</si>
  <si>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</si>
  <si>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</si>
  <si>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</si>
  <si>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</si>
  <si>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</si>
  <si>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</si>
  <si>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</si>
  <si>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</si>
  <si>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</si>
  <si>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</si>
  <si>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</si>
  <si>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</si>
  <si>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</si>
  <si>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</si>
  <si>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</si>
  <si>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</si>
  <si>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</si>
  <si>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</si>
  <si>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</si>
  <si>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</si>
  <si>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Out 2</t>
  </si>
  <si>
    <t>In 2</t>
  </si>
  <si>
    <t>P2</t>
  </si>
  <si>
    <t>Out 3</t>
  </si>
  <si>
    <t>In 3</t>
  </si>
  <si>
    <t>P3</t>
  </si>
  <si>
    <t>Out 4</t>
  </si>
  <si>
    <t>In 4</t>
  </si>
  <si>
    <t>P4</t>
  </si>
  <si>
    <t>Out 5</t>
  </si>
  <si>
    <t>In 5</t>
  </si>
  <si>
    <t>N/C</t>
  </si>
  <si>
    <t>Out 6</t>
  </si>
  <si>
    <t>In 6</t>
  </si>
  <si>
    <t>B.2</t>
  </si>
  <si>
    <t>In 7</t>
  </si>
  <si>
    <t>Out 7</t>
  </si>
  <si>
    <t>In 8</t>
  </si>
  <si>
    <t>Out 8</t>
  </si>
  <si>
    <t>In 9</t>
  </si>
  <si>
    <t>Out 9</t>
  </si>
  <si>
    <t>Out 10</t>
  </si>
  <si>
    <t>In 10</t>
  </si>
  <si>
    <t>C.2</t>
  </si>
  <si>
    <t>Dist. Amp. 2x4</t>
  </si>
  <si>
    <t>In A</t>
  </si>
  <si>
    <t>Out 11</t>
  </si>
  <si>
    <t>In 11</t>
  </si>
  <si>
    <t>In B</t>
  </si>
  <si>
    <t>Out 12</t>
  </si>
  <si>
    <t>In 12</t>
  </si>
  <si>
    <t>Out 13</t>
  </si>
  <si>
    <t>In 13</t>
  </si>
  <si>
    <t>C.3</t>
  </si>
  <si>
    <t>Trunk In</t>
  </si>
  <si>
    <t>Out 14</t>
  </si>
  <si>
    <t>In 14</t>
  </si>
  <si>
    <t>C.4</t>
  </si>
  <si>
    <t>Out 15</t>
  </si>
  <si>
    <t>In 15</t>
  </si>
  <si>
    <t>Out 16</t>
  </si>
  <si>
    <t>In 16</t>
  </si>
  <si>
    <t>B.6</t>
  </si>
  <si>
    <t>Out 17</t>
  </si>
  <si>
    <t>In 17</t>
  </si>
  <si>
    <t>Out 18</t>
  </si>
  <si>
    <t>In 18</t>
  </si>
  <si>
    <t>Ext.Patch</t>
  </si>
  <si>
    <t>I/O 10</t>
  </si>
  <si>
    <t>SDI Out 2</t>
  </si>
  <si>
    <t>B.3</t>
  </si>
  <si>
    <t>SDI Out 1</t>
  </si>
  <si>
    <t>B.4</t>
  </si>
  <si>
    <t>B.5</t>
  </si>
  <si>
    <t>C.5</t>
  </si>
  <si>
    <t>De-embedder</t>
  </si>
  <si>
    <t>SDI Out</t>
  </si>
  <si>
    <t>SDI In</t>
  </si>
  <si>
    <t>Audio Out L</t>
  </si>
  <si>
    <t>D.1</t>
  </si>
  <si>
    <t>Emb 7 L</t>
  </si>
  <si>
    <t>Audio Out R</t>
  </si>
  <si>
    <t>Emb 7 R</t>
  </si>
  <si>
    <t>Emb 8 L</t>
  </si>
  <si>
    <t>Emb 8 R</t>
  </si>
  <si>
    <t>SDI 9</t>
  </si>
  <si>
    <t>Aux 1</t>
  </si>
  <si>
    <t>Aux 2</t>
  </si>
  <si>
    <t>Aux 3</t>
  </si>
  <si>
    <t>B.9</t>
  </si>
  <si>
    <t>C.6</t>
  </si>
  <si>
    <t>Mon 2</t>
  </si>
  <si>
    <t>PGM</t>
  </si>
  <si>
    <t>Out A</t>
  </si>
  <si>
    <t>SDI In 2</t>
  </si>
  <si>
    <t>SDI In 3</t>
  </si>
  <si>
    <t>SDI In 4</t>
  </si>
  <si>
    <t>SDI In 5</t>
  </si>
  <si>
    <t>SDI In 6</t>
  </si>
  <si>
    <t>A1</t>
  </si>
  <si>
    <t>HD-QTV In</t>
  </si>
  <si>
    <t>B1</t>
  </si>
  <si>
    <t>A2</t>
  </si>
  <si>
    <t>B2</t>
  </si>
  <si>
    <t>Dist. Amp. 1x9</t>
  </si>
  <si>
    <t>B.7</t>
  </si>
  <si>
    <t>Mon 1</t>
  </si>
  <si>
    <t>Intensity</t>
  </si>
  <si>
    <t>HDMI Out</t>
  </si>
  <si>
    <t>HDMI In</t>
  </si>
  <si>
    <t>SDI 7</t>
  </si>
  <si>
    <t>SDI 8</t>
  </si>
  <si>
    <t>AIRE In</t>
  </si>
  <si>
    <t>PGM 1</t>
  </si>
  <si>
    <t>B3</t>
  </si>
  <si>
    <t>PGM 2</t>
  </si>
  <si>
    <t>B4</t>
  </si>
  <si>
    <t>PGM 3</t>
  </si>
  <si>
    <t>AIRE Out 1</t>
  </si>
  <si>
    <t>AIRE Out 2</t>
  </si>
  <si>
    <t>A3</t>
  </si>
  <si>
    <t>D.8</t>
  </si>
  <si>
    <t>BM SDI to HDMI</t>
  </si>
  <si>
    <t>OF JVC 1</t>
  </si>
  <si>
    <t>OF I/O</t>
  </si>
  <si>
    <t>OF JVC 2</t>
  </si>
  <si>
    <t>OF JVC 3</t>
  </si>
  <si>
    <t>OF IKE 4</t>
  </si>
  <si>
    <t>OF IKE 5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</si>
  <si>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</si>
  <si>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</si>
  <si>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</si>
  <si>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</si>
  <si>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</si>
  <si>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</si>
  <si>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</si>
  <si>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</si>
  <si>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</si>
  <si>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</si>
  <si>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XLR 1</t>
  </si>
  <si>
    <t>XLR 2</t>
  </si>
  <si>
    <t>XLR 3</t>
  </si>
  <si>
    <t>XLR 4</t>
  </si>
  <si>
    <t>XLR 5</t>
  </si>
  <si>
    <t>XLR 6</t>
  </si>
  <si>
    <t>XLR 7</t>
  </si>
  <si>
    <t>XLR 8</t>
  </si>
  <si>
    <t>XLR 9</t>
  </si>
  <si>
    <t>Audio Dist.</t>
  </si>
  <si>
    <t>XLR Orden 1</t>
  </si>
  <si>
    <t>XLR Orden 2</t>
  </si>
  <si>
    <t>XLR Orden 3</t>
  </si>
  <si>
    <t>XLR Orden 4</t>
  </si>
  <si>
    <t>Embedder</t>
  </si>
  <si>
    <t>Audio In 1</t>
  </si>
  <si>
    <t>Audio In 2</t>
  </si>
  <si>
    <t>PGM L</t>
  </si>
  <si>
    <t>PGM R</t>
  </si>
  <si>
    <t>Audio In 3</t>
  </si>
  <si>
    <t>Sub 1</t>
  </si>
  <si>
    <t>Audio In 4</t>
  </si>
  <si>
    <t>CG</t>
  </si>
  <si>
    <t>PGM Sin CG</t>
  </si>
  <si>
    <t>Sub 3</t>
  </si>
  <si>
    <t>Rack</t>
  </si>
  <si>
    <t>Equipo</t>
  </si>
  <si>
    <t>IP</t>
  </si>
  <si>
    <t>Puerto</t>
  </si>
  <si>
    <t>A.1</t>
  </si>
  <si>
    <t>Monitor PC CGX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</si>
  <si>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</si>
  <si>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</si>
  <si>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</si>
  <si>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</si>
  <si>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</si>
  <si>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</si>
  <si>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</si>
  <si>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</si>
  <si>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PC CG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</si>
  <si>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</si>
  <si>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</si>
  <si>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</si>
  <si>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</si>
  <si>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</si>
  <si>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</si>
  <si>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</si>
  <si>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</si>
  <si>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</si>
  <si>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</si>
  <si>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PC Audio</t>
  </si>
  <si>
    <t>D.3</t>
  </si>
  <si>
    <t>Monitor Audio L</t>
  </si>
  <si>
    <t>D.4</t>
  </si>
  <si>
    <t>Mixer Intercom</t>
  </si>
  <si>
    <t>D.5</t>
  </si>
  <si>
    <t>ATEM 1 Broadcast Panel</t>
  </si>
  <si>
    <t>D.6</t>
  </si>
  <si>
    <t>Blackmagic SmartView HD</t>
  </si>
  <si>
    <t>D.7</t>
  </si>
  <si>
    <t>Monitor Aire</t>
  </si>
  <si>
    <t>D.9</t>
  </si>
  <si>
    <t>Monitor Multiview</t>
  </si>
  <si>
    <t>D.10</t>
  </si>
  <si>
    <t>Remoto CCU 1</t>
  </si>
  <si>
    <t>D.11</t>
  </si>
  <si>
    <t>Remoto CCU 2</t>
  </si>
  <si>
    <t>D.12</t>
  </si>
  <si>
    <t>Remoto CCU 3</t>
  </si>
  <si>
    <t>D.13</t>
  </si>
  <si>
    <t>Remoto CCU 4</t>
  </si>
  <si>
    <t>D.14</t>
  </si>
  <si>
    <t>Remoto CCU 5</t>
  </si>
  <si>
    <t>D.15</t>
  </si>
  <si>
    <t>Monitor PC Player</t>
  </si>
  <si>
    <t>D.16</t>
  </si>
  <si>
    <t>Monitor Audio R</t>
  </si>
  <si>
    <t>Patchera Externa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</si>
  <si>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</si>
  <si>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</si>
  <si>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</si>
  <si>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</si>
  <si>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</si>
  <si>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</si>
  <si>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</si>
  <si>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</si>
  <si>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</si>
  <si>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</si>
  <si>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</si>
  <si>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</si>
  <si>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</si>
  <si>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</si>
  <si>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</si>
  <si>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</si>
  <si>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</si>
  <si>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</si>
  <si>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</si>
  <si>
    <t>Aire 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</si>
</sst>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readingOrder="0" vertical="bottom"/>
    </xf>
    <xf borderId="0" fillId="6" fontId="2" numFmtId="0" xfId="0" applyAlignment="1" applyFont="1">
      <alignment vertical="bottom"/>
    </xf>
    <xf borderId="0" fillId="6" fontId="2" numFmtId="0" xfId="0" applyAlignment="1" applyFont="1">
      <alignment horizontal="right" vertical="bottom"/>
    </xf>
    <xf borderId="0" fillId="7" fontId="2" numFmtId="0" xfId="0" applyAlignment="1" applyFill="1" applyFont="1">
      <alignment readingOrder="0" vertical="bottom"/>
    </xf>
    <xf borderId="0" fillId="8" fontId="2" numFmtId="0" xfId="0" applyAlignment="1" applyFill="1" applyFont="1">
      <alignment vertical="bottom"/>
    </xf>
    <xf borderId="0" fillId="8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10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Patch panel</v>
      </c>
      <c r="C2" s="5"/>
      <c r="D2" s="5"/>
      <c r="E2" s="6" t="s">
        <v>16</v>
      </c>
      <c r="F2" s="6" t="s">
        <v>17</v>
      </c>
      <c r="G2" s="6" t="s">
        <v>18</v>
      </c>
      <c r="H2" s="6" t="s">
        <v>19</v>
      </c>
      <c r="I2" s="5" t="str">
        <f>IF(H2="","",VLOOKUP(H2,DB!A:B,2,0))</f>
        <v>PC Video</v>
      </c>
      <c r="J2" s="6">
        <v>2.0</v>
      </c>
      <c r="K2" s="6" t="s">
        <v>20</v>
      </c>
      <c r="L2" s="6" t="s">
        <v>21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Patch panel</v>
      </c>
      <c r="C3" s="5"/>
      <c r="D3" s="5"/>
      <c r="E3" s="6" t="s">
        <v>22</v>
      </c>
      <c r="F3" s="6" t="s">
        <v>17</v>
      </c>
      <c r="G3" s="6" t="s">
        <v>23</v>
      </c>
      <c r="H3" s="6" t="s">
        <v>19</v>
      </c>
      <c r="I3" s="5" t="str">
        <f>IF(H3="","",VLOOKUP(H3,DB!A:B,2,0))</f>
        <v>PC Video</v>
      </c>
      <c r="J3" s="6">
        <v>2.0</v>
      </c>
      <c r="K3" s="6" t="s">
        <v>20</v>
      </c>
      <c r="L3" s="6" t="s">
        <v>24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Patch panel</v>
      </c>
      <c r="C4" s="5"/>
      <c r="D4" s="5"/>
      <c r="E4" s="6" t="s">
        <v>25</v>
      </c>
      <c r="F4" s="6" t="s">
        <v>17</v>
      </c>
      <c r="G4" s="6" t="s">
        <v>26</v>
      </c>
      <c r="H4" s="6" t="s">
        <v>19</v>
      </c>
      <c r="I4" s="5" t="str">
        <f>IF(H4="","",VLOOKUP(H4,DB!A:B,2,0))</f>
        <v>PC Video</v>
      </c>
      <c r="J4" s="6">
        <v>2.0</v>
      </c>
      <c r="K4" s="6" t="s">
        <v>20</v>
      </c>
      <c r="L4" s="6" t="s">
        <v>27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Patch panel</v>
      </c>
      <c r="C5" s="5"/>
      <c r="D5" s="5"/>
      <c r="E5" s="6" t="s">
        <v>28</v>
      </c>
      <c r="F5" s="6" t="s">
        <v>17</v>
      </c>
      <c r="G5" s="6" t="s">
        <v>29</v>
      </c>
      <c r="H5" s="6" t="s">
        <v>19</v>
      </c>
      <c r="I5" s="5" t="str">
        <f>IF(H5="","",VLOOKUP(H5,DB!A:B,2,0))</f>
        <v>PC Video</v>
      </c>
      <c r="J5" s="6">
        <v>2.0</v>
      </c>
      <c r="K5" s="6" t="s">
        <v>20</v>
      </c>
      <c r="L5" s="6" t="s">
        <v>30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Patch panel</v>
      </c>
      <c r="C6" s="5"/>
      <c r="D6" s="5"/>
      <c r="E6" s="6" t="s">
        <v>31</v>
      </c>
      <c r="F6" s="6" t="s">
        <v>17</v>
      </c>
      <c r="G6" s="6" t="s">
        <v>32</v>
      </c>
      <c r="H6" s="6" t="s">
        <v>33</v>
      </c>
      <c r="I6" s="5" t="str">
        <f>IF(H6="","",VLOOKUP(H6,DB!A:B,2,0))</f>
        <v/>
      </c>
      <c r="J6" s="5"/>
      <c r="K6" s="5"/>
      <c r="L6" s="6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Patch panel</v>
      </c>
      <c r="C7" s="5"/>
      <c r="D7" s="5"/>
      <c r="E7" s="6" t="s">
        <v>34</v>
      </c>
      <c r="F7" s="6" t="s">
        <v>17</v>
      </c>
      <c r="G7" s="6" t="s">
        <v>35</v>
      </c>
      <c r="H7" s="6" t="s">
        <v>36</v>
      </c>
      <c r="I7" s="5" t="str">
        <f>IF(H7="","",VLOOKUP(H7,DB!A:B,2,0))</f>
        <v>ATEM 1 Production Studio</v>
      </c>
      <c r="J7" s="5"/>
      <c r="K7" s="5"/>
      <c r="L7" s="6" t="s">
        <v>37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Patch panel</v>
      </c>
      <c r="C8" s="5"/>
      <c r="D8" s="5"/>
      <c r="E8" s="6" t="s">
        <v>38</v>
      </c>
      <c r="F8" s="6" t="s">
        <v>17</v>
      </c>
      <c r="G8" s="6" t="s">
        <v>37</v>
      </c>
      <c r="H8" s="6" t="s">
        <v>36</v>
      </c>
      <c r="I8" s="5" t="str">
        <f>IF(H8="","",VLOOKUP(H8,DB!A:B,2,0))</f>
        <v>ATEM 1 Production Studio</v>
      </c>
      <c r="J8" s="5"/>
      <c r="K8" s="5"/>
      <c r="L8" s="6" t="s">
        <v>39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Patch panel</v>
      </c>
      <c r="C9" s="5"/>
      <c r="D9" s="5"/>
      <c r="E9" s="6" t="s">
        <v>40</v>
      </c>
      <c r="F9" s="6" t="s">
        <v>17</v>
      </c>
      <c r="G9" s="6" t="s">
        <v>39</v>
      </c>
      <c r="H9" s="6" t="s">
        <v>36</v>
      </c>
      <c r="I9" s="5" t="str">
        <f>IF(H9="","",VLOOKUP(H9,DB!A:B,2,0))</f>
        <v>ATEM 1 Production Studio</v>
      </c>
      <c r="J9" s="5"/>
      <c r="K9" s="5"/>
      <c r="L9" s="6" t="s">
        <v>41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Patch panel</v>
      </c>
      <c r="C10" s="5"/>
      <c r="D10" s="5"/>
      <c r="E10" s="6" t="s">
        <v>42</v>
      </c>
      <c r="F10" s="6" t="s">
        <v>17</v>
      </c>
      <c r="G10" s="6" t="s">
        <v>41</v>
      </c>
      <c r="H10" s="6" t="s">
        <v>33</v>
      </c>
      <c r="I10" s="5" t="str">
        <f>IF(H10="","",VLOOKUP(H10,DB!A:B,2,0))</f>
        <v/>
      </c>
      <c r="J10" s="5"/>
      <c r="K10" s="5"/>
      <c r="L10" s="5"/>
      <c r="M10" s="6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Patch panel</v>
      </c>
      <c r="C11" s="5"/>
      <c r="D11" s="5"/>
      <c r="E11" s="6" t="s">
        <v>43</v>
      </c>
      <c r="F11" s="6" t="s">
        <v>17</v>
      </c>
      <c r="G11" s="6" t="s">
        <v>44</v>
      </c>
      <c r="H11" s="6" t="s">
        <v>45</v>
      </c>
      <c r="I11" s="5" t="str">
        <f>IF(H11="","",VLOOKUP(H11,DB!A:B,2,0))</f>
        <v>Miranda Densite3</v>
      </c>
      <c r="J11" s="6">
        <v>7.0</v>
      </c>
      <c r="K11" s="6" t="s">
        <v>46</v>
      </c>
      <c r="L11" s="6" t="s">
        <v>47</v>
      </c>
      <c r="M11" s="6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Patch panel</v>
      </c>
      <c r="C12" s="5"/>
      <c r="D12" s="5"/>
      <c r="E12" s="6" t="s">
        <v>48</v>
      </c>
      <c r="F12" s="6" t="s">
        <v>17</v>
      </c>
      <c r="G12" s="6" t="s">
        <v>49</v>
      </c>
      <c r="H12" s="6" t="s">
        <v>45</v>
      </c>
      <c r="I12" s="5" t="str">
        <f>IF(H12="","",VLOOKUP(H12,DB!A:B,2,0))</f>
        <v>Miranda Densite3</v>
      </c>
      <c r="J12" s="6">
        <v>8.0</v>
      </c>
      <c r="K12" s="6" t="s">
        <v>46</v>
      </c>
      <c r="L12" s="6" t="s">
        <v>50</v>
      </c>
      <c r="M12" s="6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Patch panel</v>
      </c>
      <c r="C13" s="5"/>
      <c r="D13" s="5"/>
      <c r="E13" s="6" t="s">
        <v>51</v>
      </c>
      <c r="F13" s="6" t="s">
        <v>17</v>
      </c>
      <c r="G13" s="6" t="s">
        <v>52</v>
      </c>
      <c r="H13" s="6" t="s">
        <v>45</v>
      </c>
      <c r="I13" s="5" t="str">
        <f>IF(H13="","",VLOOKUP(H13,DB!A:B,2,0))</f>
        <v>Miranda Densite3</v>
      </c>
      <c r="J13" s="6">
        <v>8.0</v>
      </c>
      <c r="K13" s="6" t="s">
        <v>46</v>
      </c>
      <c r="L13" s="6" t="s">
        <v>47</v>
      </c>
      <c r="M13" s="6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Patch panel</v>
      </c>
      <c r="C14" s="5"/>
      <c r="D14" s="5"/>
      <c r="E14" s="6" t="s">
        <v>53</v>
      </c>
      <c r="F14" s="6" t="s">
        <v>17</v>
      </c>
      <c r="G14" s="6" t="s">
        <v>54</v>
      </c>
      <c r="H14" s="6" t="s">
        <v>55</v>
      </c>
      <c r="I14" s="5" t="str">
        <f>IF(H14="","",VLOOKUP(H14,DB!A:B,2,0))</f>
        <v>Ikegami BS-80 4</v>
      </c>
      <c r="J14" s="5"/>
      <c r="K14" s="5"/>
      <c r="L14" s="6" t="s">
        <v>56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Patch panel</v>
      </c>
      <c r="C15" s="5"/>
      <c r="D15" s="5"/>
      <c r="E15" s="6" t="s">
        <v>57</v>
      </c>
      <c r="F15" s="6" t="s">
        <v>17</v>
      </c>
      <c r="G15" s="6" t="s">
        <v>58</v>
      </c>
      <c r="H15" s="6" t="s">
        <v>59</v>
      </c>
      <c r="I15" s="5" t="str">
        <f>IF(H15="","",VLOOKUP(H15,DB!A:B,2,0))</f>
        <v>Ikegami BS-80 5</v>
      </c>
      <c r="J15" s="5"/>
      <c r="K15" s="5"/>
      <c r="L15" s="6" t="s">
        <v>56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Patch panel</v>
      </c>
      <c r="C16" s="5"/>
      <c r="D16" s="5"/>
      <c r="E16" s="6" t="s">
        <v>60</v>
      </c>
      <c r="F16" s="6" t="s">
        <v>17</v>
      </c>
      <c r="G16" s="6" t="s">
        <v>61</v>
      </c>
      <c r="H16" s="6" t="s">
        <v>36</v>
      </c>
      <c r="I16" s="5" t="str">
        <f>IF(H16="","",VLOOKUP(H16,DB!A:B,2,0))</f>
        <v>ATEM 1 Production Studio</v>
      </c>
      <c r="J16" s="5"/>
      <c r="K16" s="5"/>
      <c r="L16" s="6" t="s">
        <v>44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Patch panel</v>
      </c>
      <c r="C17" s="5"/>
      <c r="D17" s="5"/>
      <c r="E17" s="6" t="s">
        <v>62</v>
      </c>
      <c r="F17" s="6" t="s">
        <v>17</v>
      </c>
      <c r="G17" s="6" t="s">
        <v>63</v>
      </c>
      <c r="H17" s="6" t="s">
        <v>64</v>
      </c>
      <c r="I17" s="5" t="str">
        <f>IF(H17="","",VLOOKUP(H17,DB!A:B,2,0))</f>
        <v>Blackmagic HyperDeck Studio Pro</v>
      </c>
      <c r="J17" s="5"/>
      <c r="K17" s="5"/>
      <c r="L17" s="6" t="s">
        <v>47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Patch panel</v>
      </c>
      <c r="C18" s="5"/>
      <c r="D18" s="5"/>
      <c r="E18" s="6" t="s">
        <v>65</v>
      </c>
      <c r="F18" s="6" t="s">
        <v>17</v>
      </c>
      <c r="G18" s="6" t="s">
        <v>66</v>
      </c>
      <c r="H18" s="6" t="s">
        <v>33</v>
      </c>
      <c r="I18" s="5" t="str">
        <f>IF(H18="","",VLOOKUP(H18,DB!A:B,2,0))</f>
        <v/>
      </c>
      <c r="J18" s="5"/>
      <c r="K18" s="5"/>
      <c r="L18" s="6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Patch panel</v>
      </c>
      <c r="C19" s="5"/>
      <c r="D19" s="5"/>
      <c r="E19" s="6" t="s">
        <v>67</v>
      </c>
      <c r="F19" s="6" t="s">
        <v>17</v>
      </c>
      <c r="G19" s="6" t="s">
        <v>68</v>
      </c>
      <c r="H19" s="6" t="s">
        <v>69</v>
      </c>
      <c r="I19" s="5" t="str">
        <f>IF(H19="","",VLOOKUP(H19,DB!A:B,2,0))</f>
        <v>Patchera Externa</v>
      </c>
      <c r="J19" s="5"/>
      <c r="K19" s="5"/>
      <c r="L19" s="6" t="s">
        <v>70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55</v>
      </c>
      <c r="B20" s="6" t="str">
        <f>IF(A20="","",VLOOKUP(A20,DB!A:B,2,0))</f>
        <v>Ikegami BS-80 4</v>
      </c>
      <c r="C20" s="5"/>
      <c r="D20" s="5"/>
      <c r="E20" s="6" t="s">
        <v>71</v>
      </c>
      <c r="F20" s="5"/>
      <c r="G20" s="5"/>
      <c r="H20" s="6" t="s">
        <v>15</v>
      </c>
      <c r="I20" s="5" t="str">
        <f>IF(H20="","",VLOOKUP(H20,DB!A:B,2,0))</f>
        <v>Patch panel</v>
      </c>
      <c r="J20" s="5"/>
      <c r="K20" s="5"/>
      <c r="L20" s="6" t="s">
        <v>18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59</v>
      </c>
      <c r="B21" s="6" t="str">
        <f>IF(A21="","",VLOOKUP(A21,DB!A:B,2,0))</f>
        <v>Ikegami BS-80 5</v>
      </c>
      <c r="C21" s="5"/>
      <c r="D21" s="5"/>
      <c r="E21" s="6" t="s">
        <v>71</v>
      </c>
      <c r="F21" s="5"/>
      <c r="G21" s="5"/>
      <c r="H21" s="6" t="s">
        <v>15</v>
      </c>
      <c r="I21" s="5" t="str">
        <f>IF(H21="","",VLOOKUP(H21,DB!A:B,2,0))</f>
        <v>Patch panel</v>
      </c>
      <c r="J21" s="5"/>
      <c r="K21" s="5"/>
      <c r="L21" s="6" t="s">
        <v>23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72</v>
      </c>
      <c r="B22" s="6" t="str">
        <f>IF(A22="","",VLOOKUP(A22,DB!A:B,2,0))</f>
        <v>Telecast CopperHead ProHD 1</v>
      </c>
      <c r="C22" s="5"/>
      <c r="D22" s="5"/>
      <c r="E22" s="6" t="s">
        <v>73</v>
      </c>
      <c r="F22" s="5"/>
      <c r="G22" s="5"/>
      <c r="H22" s="6" t="s">
        <v>15</v>
      </c>
      <c r="I22" s="5" t="str">
        <f>IF(H22="","",VLOOKUP(H22,DB!A:B,2,0))</f>
        <v>Patch panel</v>
      </c>
      <c r="J22" s="5"/>
      <c r="K22" s="5"/>
      <c r="L22" s="6" t="s">
        <v>26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74</v>
      </c>
      <c r="B23" s="6" t="str">
        <f>IF(A23="","",VLOOKUP(A23,DB!A:B,2,0))</f>
        <v>Telecast CopperHead ProHD 2</v>
      </c>
      <c r="C23" s="5"/>
      <c r="D23" s="5"/>
      <c r="E23" s="6" t="s">
        <v>73</v>
      </c>
      <c r="F23" s="5"/>
      <c r="G23" s="5"/>
      <c r="H23" s="6" t="s">
        <v>15</v>
      </c>
      <c r="I23" s="5" t="str">
        <f>IF(H23="","",VLOOKUP(H23,DB!A:B,2,0))</f>
        <v>Patch panel</v>
      </c>
      <c r="J23" s="5"/>
      <c r="K23" s="5"/>
      <c r="L23" s="6" t="s">
        <v>29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75</v>
      </c>
      <c r="B24" s="6" t="str">
        <f>IF(A24="","",VLOOKUP(A24,DB!A:B,2,0))</f>
        <v>Telecast CopperHead ProHD 3</v>
      </c>
      <c r="C24" s="5"/>
      <c r="D24" s="5"/>
      <c r="E24" s="6" t="s">
        <v>73</v>
      </c>
      <c r="F24" s="5"/>
      <c r="G24" s="5"/>
      <c r="H24" s="6" t="s">
        <v>15</v>
      </c>
      <c r="I24" s="5" t="str">
        <f>IF(H24="","",VLOOKUP(H24,DB!A:B,2,0))</f>
        <v>Patch panel</v>
      </c>
      <c r="J24" s="5"/>
      <c r="K24" s="5"/>
      <c r="L24" s="6" t="s">
        <v>32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76</v>
      </c>
      <c r="B25" s="6" t="str">
        <f>IF(A25="","",VLOOKUP(A25,DB!A:B,2,0))</f>
        <v>Miranda Densite3</v>
      </c>
      <c r="C25" s="6">
        <v>5.0</v>
      </c>
      <c r="D25" s="6" t="s">
        <v>77</v>
      </c>
      <c r="E25" s="6" t="s">
        <v>78</v>
      </c>
      <c r="F25" s="6" t="s">
        <v>17</v>
      </c>
      <c r="G25" s="6" t="s">
        <v>79</v>
      </c>
      <c r="H25" s="6" t="s">
        <v>15</v>
      </c>
      <c r="I25" s="5" t="str">
        <f>IF(H25="","",VLOOKUP(H25,DB!A:B,2,0))</f>
        <v>Patch panel</v>
      </c>
      <c r="J25" s="5"/>
      <c r="K25" s="5"/>
      <c r="L25" s="6" t="s">
        <v>35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76</v>
      </c>
      <c r="B26" s="6" t="str">
        <f>IF(A26="","",VLOOKUP(A26,DB!A:B,2,0))</f>
        <v>Miranda Densite3</v>
      </c>
      <c r="C26" s="6">
        <v>6.0</v>
      </c>
      <c r="D26" s="6" t="s">
        <v>77</v>
      </c>
      <c r="E26" s="6" t="s">
        <v>78</v>
      </c>
      <c r="F26" s="6" t="s">
        <v>17</v>
      </c>
      <c r="G26" s="6" t="s">
        <v>79</v>
      </c>
      <c r="H26" s="6" t="s">
        <v>15</v>
      </c>
      <c r="I26" s="5" t="str">
        <f>IF(H26="","",VLOOKUP(H26,DB!A:B,2,0))</f>
        <v>Patch panel</v>
      </c>
      <c r="J26" s="5"/>
      <c r="K26" s="5"/>
      <c r="L26" s="6" t="s">
        <v>37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76</v>
      </c>
      <c r="B27" s="6" t="str">
        <f>IF(A27="","",VLOOKUP(A27,DB!A:B,2,0))</f>
        <v>Miranda Densite3</v>
      </c>
      <c r="C27" s="6">
        <v>5.0</v>
      </c>
      <c r="D27" s="6" t="s">
        <v>77</v>
      </c>
      <c r="E27" s="6" t="s">
        <v>80</v>
      </c>
      <c r="F27" s="6" t="s">
        <v>17</v>
      </c>
      <c r="G27" s="6" t="s">
        <v>79</v>
      </c>
      <c r="H27" s="6" t="s">
        <v>81</v>
      </c>
      <c r="I27" s="5" t="str">
        <f>IF(H27="","",VLOOKUP(H27,DB!A:B,2,0))</f>
        <v>Yamaha MG166</v>
      </c>
      <c r="J27" s="5"/>
      <c r="K27" s="5"/>
      <c r="L27" s="6" t="s">
        <v>82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76</v>
      </c>
      <c r="B28" s="6" t="str">
        <f>IF(A28="","",VLOOKUP(A28,DB!A:B,2,0))</f>
        <v>Miranda Densite3</v>
      </c>
      <c r="C28" s="6">
        <v>5.0</v>
      </c>
      <c r="D28" s="6" t="s">
        <v>77</v>
      </c>
      <c r="E28" s="6" t="s">
        <v>83</v>
      </c>
      <c r="F28" s="6" t="s">
        <v>17</v>
      </c>
      <c r="G28" s="6" t="s">
        <v>79</v>
      </c>
      <c r="H28" s="6" t="s">
        <v>81</v>
      </c>
      <c r="I28" s="5" t="str">
        <f>IF(H28="","",VLOOKUP(H28,DB!A:B,2,0))</f>
        <v>Yamaha MG166</v>
      </c>
      <c r="J28" s="5"/>
      <c r="K28" s="5"/>
      <c r="L28" s="6" t="s">
        <v>84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76</v>
      </c>
      <c r="B29" s="6" t="str">
        <f>IF(A29="","",VLOOKUP(A29,DB!A:B,2,0))</f>
        <v>Miranda Densite3</v>
      </c>
      <c r="C29" s="6">
        <v>6.0</v>
      </c>
      <c r="D29" s="6" t="s">
        <v>77</v>
      </c>
      <c r="E29" s="6" t="s">
        <v>80</v>
      </c>
      <c r="F29" s="6" t="s">
        <v>17</v>
      </c>
      <c r="G29" s="6" t="s">
        <v>79</v>
      </c>
      <c r="H29" s="6" t="s">
        <v>81</v>
      </c>
      <c r="I29" s="5" t="str">
        <f>IF(H29="","",VLOOKUP(H29,DB!A:B,2,0))</f>
        <v>Yamaha MG166</v>
      </c>
      <c r="J29" s="5"/>
      <c r="K29" s="5"/>
      <c r="L29" s="6" t="s">
        <v>85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76</v>
      </c>
      <c r="B30" s="6" t="str">
        <f>IF(A30="","",VLOOKUP(A30,DB!A:B,2,0))</f>
        <v>Miranda Densite3</v>
      </c>
      <c r="C30" s="6">
        <v>6.0</v>
      </c>
      <c r="D30" s="6" t="s">
        <v>77</v>
      </c>
      <c r="E30" s="6" t="s">
        <v>83</v>
      </c>
      <c r="F30" s="6" t="s">
        <v>17</v>
      </c>
      <c r="G30" s="6" t="s">
        <v>79</v>
      </c>
      <c r="H30" s="6" t="s">
        <v>81</v>
      </c>
      <c r="I30" s="5" t="str">
        <f>IF(H30="","",VLOOKUP(H30,DB!A:B,2,0))</f>
        <v>Yamaha MG166</v>
      </c>
      <c r="J30" s="5"/>
      <c r="K30" s="5"/>
      <c r="L30" s="6" t="s">
        <v>86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69</v>
      </c>
      <c r="B31" s="6" t="str">
        <f>IF(A31="","",VLOOKUP(A31,DB!A:B,2,0))</f>
        <v>Patchera Externa</v>
      </c>
      <c r="C31" s="5"/>
      <c r="D31" s="5"/>
      <c r="E31" s="6" t="s">
        <v>87</v>
      </c>
      <c r="F31" s="5"/>
      <c r="G31" s="5"/>
      <c r="H31" s="6" t="s">
        <v>15</v>
      </c>
      <c r="I31" s="5" t="str">
        <f>IF(H31="","",VLOOKUP(H31,DB!A:B,2,0))</f>
        <v>Patch panel</v>
      </c>
      <c r="J31" s="5"/>
      <c r="K31" s="5"/>
      <c r="L31" s="6" t="s">
        <v>39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33</v>
      </c>
      <c r="B32" s="6" t="str">
        <f>IF(A32="","",VLOOKUP(A32,DB!A:B,2,0))</f>
        <v/>
      </c>
      <c r="C32" s="5"/>
      <c r="D32" s="5"/>
      <c r="E32" s="5"/>
      <c r="F32" s="5"/>
      <c r="G32" s="5"/>
      <c r="H32" s="6" t="s">
        <v>15</v>
      </c>
      <c r="I32" s="5" t="str">
        <f>IF(H32="","",VLOOKUP(H32,DB!A:B,2,0))</f>
        <v>Patch panel</v>
      </c>
      <c r="J32" s="5"/>
      <c r="K32" s="5"/>
      <c r="L32" s="6" t="s">
        <v>41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36</v>
      </c>
      <c r="B33" s="6" t="str">
        <f>IF(A33="","",VLOOKUP(A33,DB!A:B,2,0))</f>
        <v>ATEM 1 Production Studio</v>
      </c>
      <c r="C33" s="5"/>
      <c r="D33" s="5"/>
      <c r="E33" s="6" t="s">
        <v>88</v>
      </c>
      <c r="F33" s="5"/>
      <c r="G33" s="5"/>
      <c r="H33" s="6" t="s">
        <v>15</v>
      </c>
      <c r="I33" s="5" t="str">
        <f>IF(H33="","",VLOOKUP(H33,DB!A:B,2,0))</f>
        <v>Patch panel</v>
      </c>
      <c r="J33" s="5"/>
      <c r="K33" s="5"/>
      <c r="L33" s="6" t="s">
        <v>44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36</v>
      </c>
      <c r="B34" s="6" t="str">
        <f>IF(A34="","",VLOOKUP(A34,DB!A:B,2,0))</f>
        <v>ATEM 1 Production Studio</v>
      </c>
      <c r="C34" s="5"/>
      <c r="D34" s="5"/>
      <c r="E34" s="6" t="s">
        <v>89</v>
      </c>
      <c r="F34" s="5"/>
      <c r="G34" s="5"/>
      <c r="H34" s="6" t="s">
        <v>15</v>
      </c>
      <c r="I34" s="5" t="str">
        <f>IF(H34="","",VLOOKUP(H34,DB!A:B,2,0))</f>
        <v>Patch panel</v>
      </c>
      <c r="J34" s="5"/>
      <c r="K34" s="5"/>
      <c r="L34" s="6" t="s">
        <v>49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36</v>
      </c>
      <c r="B35" s="6" t="str">
        <f>IF(A35="","",VLOOKUP(A35,DB!A:B,2,0))</f>
        <v>ATEM 1 Production Studio</v>
      </c>
      <c r="C35" s="5"/>
      <c r="D35" s="5"/>
      <c r="E35" s="6" t="s">
        <v>90</v>
      </c>
      <c r="F35" s="5"/>
      <c r="G35" s="5"/>
      <c r="H35" s="6" t="s">
        <v>15</v>
      </c>
      <c r="I35" s="5" t="str">
        <f>IF(H35="","",VLOOKUP(H35,DB!A:B,2,0))</f>
        <v>Patch panel</v>
      </c>
      <c r="J35" s="5"/>
      <c r="K35" s="5"/>
      <c r="L35" s="6" t="s">
        <v>52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33</v>
      </c>
      <c r="B36" s="6" t="str">
        <f>IF(A36="","",VLOOKUP(A36,DB!A:B,2,0))</f>
        <v/>
      </c>
      <c r="C36" s="6"/>
      <c r="D36" s="6"/>
      <c r="E36" s="6"/>
      <c r="F36" s="5"/>
      <c r="G36" s="5"/>
      <c r="H36" s="6" t="s">
        <v>15</v>
      </c>
      <c r="I36" s="5" t="str">
        <f>IF(H36="","",VLOOKUP(H36,DB!A:B,2,0))</f>
        <v>Patch panel</v>
      </c>
      <c r="J36" s="5"/>
      <c r="K36" s="5"/>
      <c r="L36" s="6" t="s">
        <v>54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33</v>
      </c>
      <c r="B37" s="6" t="str">
        <f>IF(A37="","",VLOOKUP(A37,DB!A:B,2,0))</f>
        <v/>
      </c>
      <c r="C37" s="6"/>
      <c r="D37" s="6"/>
      <c r="E37" s="6"/>
      <c r="F37" s="5"/>
      <c r="G37" s="5"/>
      <c r="H37" s="6" t="s">
        <v>15</v>
      </c>
      <c r="I37" s="5" t="str">
        <f>IF(H37="","",VLOOKUP(H37,DB!A:B,2,0))</f>
        <v>Patch panel</v>
      </c>
      <c r="J37" s="5"/>
      <c r="K37" s="5"/>
      <c r="L37" s="6" t="s">
        <v>58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91</v>
      </c>
      <c r="B38" s="6" t="str">
        <f>IF(A38="","",VLOOKUP(A38,DB!A:B,2,0))</f>
        <v>PC CG</v>
      </c>
      <c r="C38" s="6">
        <v>1.0</v>
      </c>
      <c r="D38" s="6" t="s">
        <v>20</v>
      </c>
      <c r="E38" s="6" t="s">
        <v>21</v>
      </c>
      <c r="F38" s="5"/>
      <c r="G38" s="5"/>
      <c r="H38" s="6" t="s">
        <v>15</v>
      </c>
      <c r="I38" s="5" t="str">
        <f>IF(H38="","",VLOOKUP(H38,DB!A:B,2,0))</f>
        <v>Patch panel</v>
      </c>
      <c r="J38" s="5"/>
      <c r="K38" s="5"/>
      <c r="L38" s="6" t="s">
        <v>61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92</v>
      </c>
      <c r="B39" s="6" t="str">
        <f>IF(A39="","",VLOOKUP(A39,DB!A:B,2,0))</f>
        <v>Blackmagic SmartScope Duo</v>
      </c>
      <c r="C39" s="5"/>
      <c r="D39" s="5"/>
      <c r="E39" s="6" t="s">
        <v>71</v>
      </c>
      <c r="F39" s="6" t="s">
        <v>17</v>
      </c>
      <c r="G39" s="6" t="s">
        <v>93</v>
      </c>
      <c r="H39" s="6" t="s">
        <v>15</v>
      </c>
      <c r="I39" s="5" t="str">
        <f>IF(H39="","",VLOOKUP(H39,DB!A:B,2,0))</f>
        <v>Patch panel</v>
      </c>
      <c r="J39" s="5"/>
      <c r="K39" s="5"/>
      <c r="L39" s="6" t="s">
        <v>63</v>
      </c>
      <c r="M39" s="5"/>
      <c r="N39" s="6" t="s">
        <v>94</v>
      </c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64</v>
      </c>
      <c r="B40" s="6" t="str">
        <f>IF(A40="","",VLOOKUP(A40,DB!A:B,2,0))</f>
        <v>Blackmagic HyperDeck Studio Pro</v>
      </c>
      <c r="C40" s="6"/>
      <c r="D40" s="6"/>
      <c r="E40" s="6" t="s">
        <v>95</v>
      </c>
      <c r="F40" s="5"/>
      <c r="G40" s="5"/>
      <c r="H40" s="6" t="s">
        <v>15</v>
      </c>
      <c r="I40" s="5" t="str">
        <f>IF(H40="","",VLOOKUP(H40,DB!A:B,2,0))</f>
        <v>Patch panel</v>
      </c>
      <c r="J40" s="5"/>
      <c r="K40" s="5"/>
      <c r="L40" s="6" t="s">
        <v>66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33</v>
      </c>
      <c r="B41" s="6" t="str">
        <f>IF(A41="","",VLOOKUP(A41,DB!A:B,2,0))</f>
        <v/>
      </c>
      <c r="C41" s="6"/>
      <c r="D41" s="6"/>
      <c r="E41" s="6"/>
      <c r="F41" s="5"/>
      <c r="G41" s="5"/>
      <c r="H41" s="6" t="s">
        <v>15</v>
      </c>
      <c r="I41" s="5" t="str">
        <f>IF(H41="","",VLOOKUP(H41,DB!A:B,2,0))</f>
        <v>Patch panel</v>
      </c>
      <c r="J41" s="5"/>
      <c r="K41" s="5"/>
      <c r="L41" s="6" t="s">
        <v>68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72</v>
      </c>
      <c r="B42" s="6" t="str">
        <f>IF(A42="","",VLOOKUP(A42,DB!A:B,2,0))</f>
        <v>Telecast CopperHead ProHD 1</v>
      </c>
      <c r="C42" s="5"/>
      <c r="D42" s="5"/>
      <c r="E42" s="6" t="s">
        <v>71</v>
      </c>
      <c r="F42" s="5"/>
      <c r="G42" s="5"/>
      <c r="H42" s="6" t="s">
        <v>36</v>
      </c>
      <c r="I42" s="5" t="str">
        <f>IF(H42="","",VLOOKUP(H42,DB!A:B,2,0))</f>
        <v>ATEM 1 Production Studio</v>
      </c>
      <c r="J42" s="5"/>
      <c r="K42" s="5"/>
      <c r="L42" s="6" t="s">
        <v>96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74</v>
      </c>
      <c r="B43" s="6" t="str">
        <f>IF(A43="","",VLOOKUP(A43,DB!A:B,2,0))</f>
        <v>Telecast CopperHead ProHD 2</v>
      </c>
      <c r="C43" s="5"/>
      <c r="D43" s="5"/>
      <c r="E43" s="6" t="s">
        <v>71</v>
      </c>
      <c r="F43" s="5"/>
      <c r="G43" s="5"/>
      <c r="H43" s="6" t="s">
        <v>36</v>
      </c>
      <c r="I43" s="5" t="str">
        <f>IF(H43="","",VLOOKUP(H43,DB!A:B,2,0))</f>
        <v>ATEM 1 Production Studio</v>
      </c>
      <c r="J43" s="5"/>
      <c r="K43" s="5"/>
      <c r="L43" s="6" t="s">
        <v>97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75</v>
      </c>
      <c r="B44" s="6" t="str">
        <f>IF(A44="","",VLOOKUP(A44,DB!A:B,2,0))</f>
        <v>Telecast CopperHead ProHD 3</v>
      </c>
      <c r="C44" s="5"/>
      <c r="D44" s="5"/>
      <c r="E44" s="6" t="s">
        <v>71</v>
      </c>
      <c r="F44" s="5"/>
      <c r="G44" s="5"/>
      <c r="H44" s="6" t="s">
        <v>36</v>
      </c>
      <c r="I44" s="5" t="str">
        <f>IF(H44="","",VLOOKUP(H44,DB!A:B,2,0))</f>
        <v>ATEM 1 Production Studio</v>
      </c>
      <c r="J44" s="5"/>
      <c r="K44" s="5"/>
      <c r="L44" s="6" t="s">
        <v>98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55</v>
      </c>
      <c r="B45" s="6" t="str">
        <f>IF(A45="","",VLOOKUP(A45,DB!A:B,2,0))</f>
        <v>Ikegami BS-80 4</v>
      </c>
      <c r="C45" s="5"/>
      <c r="D45" s="5"/>
      <c r="E45" s="6" t="s">
        <v>73</v>
      </c>
      <c r="F45" s="5"/>
      <c r="G45" s="5"/>
      <c r="H45" s="6" t="s">
        <v>36</v>
      </c>
      <c r="I45" s="5" t="str">
        <f>IF(H45="","",VLOOKUP(H45,DB!A:B,2,0))</f>
        <v>ATEM 1 Production Studio</v>
      </c>
      <c r="J45" s="5"/>
      <c r="K45" s="5"/>
      <c r="L45" s="6" t="s">
        <v>99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59</v>
      </c>
      <c r="B46" s="6" t="str">
        <f>IF(A46="","",VLOOKUP(A46,DB!A:B,2,0))</f>
        <v>Ikegami BS-80 5</v>
      </c>
      <c r="C46" s="5"/>
      <c r="D46" s="5"/>
      <c r="E46" s="6" t="s">
        <v>73</v>
      </c>
      <c r="F46" s="5"/>
      <c r="G46" s="5"/>
      <c r="H46" s="6" t="s">
        <v>36</v>
      </c>
      <c r="I46" s="5" t="str">
        <f>IF(H46="","",VLOOKUP(H46,DB!A:B,2,0))</f>
        <v>ATEM 1 Production Studio</v>
      </c>
      <c r="J46" s="5"/>
      <c r="K46" s="5"/>
      <c r="L46" s="6" t="s">
        <v>100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45</v>
      </c>
      <c r="B47" s="6" t="str">
        <f>IF(A47="","",VLOOKUP(A47,DB!A:B,2,0))</f>
        <v>Miranda Densite3</v>
      </c>
      <c r="C47" s="6">
        <v>7.0</v>
      </c>
      <c r="D47" s="6" t="s">
        <v>46</v>
      </c>
      <c r="E47" s="6" t="s">
        <v>101</v>
      </c>
      <c r="F47" s="6" t="s">
        <v>17</v>
      </c>
      <c r="G47" s="6" t="s">
        <v>47</v>
      </c>
      <c r="H47" s="6" t="s">
        <v>55</v>
      </c>
      <c r="I47" s="5" t="str">
        <f>IF(H47="","",VLOOKUP(H47,DB!A:B,2,0))</f>
        <v>Ikegami BS-80 4</v>
      </c>
      <c r="J47" s="5"/>
      <c r="K47" s="5"/>
      <c r="L47" s="6" t="s">
        <v>102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45</v>
      </c>
      <c r="B48" s="6" t="str">
        <f>IF(A48="","",VLOOKUP(A48,DB!A:B,2,0))</f>
        <v>Miranda Densite3</v>
      </c>
      <c r="C48" s="6">
        <v>8.0</v>
      </c>
      <c r="D48" s="6" t="s">
        <v>46</v>
      </c>
      <c r="E48" s="6" t="s">
        <v>103</v>
      </c>
      <c r="F48" s="6" t="s">
        <v>17</v>
      </c>
      <c r="G48" s="6" t="s">
        <v>50</v>
      </c>
      <c r="H48" s="6" t="s">
        <v>59</v>
      </c>
      <c r="I48" s="5" t="str">
        <f>IF(H48="","",VLOOKUP(H48,DB!A:B,2,0))</f>
        <v>Ikegami BS-80 5</v>
      </c>
      <c r="J48" s="5"/>
      <c r="K48" s="5"/>
      <c r="L48" s="6" t="s">
        <v>102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45</v>
      </c>
      <c r="B49" s="6" t="str">
        <f>IF(A49="","",VLOOKUP(A49,DB!A:B,2,0))</f>
        <v>Miranda Densite3</v>
      </c>
      <c r="C49" s="6">
        <v>7.0</v>
      </c>
      <c r="D49" s="6" t="s">
        <v>46</v>
      </c>
      <c r="E49" s="6" t="s">
        <v>104</v>
      </c>
      <c r="F49" s="6" t="s">
        <v>17</v>
      </c>
      <c r="G49" s="6" t="s">
        <v>47</v>
      </c>
      <c r="H49" s="6" t="s">
        <v>72</v>
      </c>
      <c r="I49" s="5" t="str">
        <f>IF(H49="","",VLOOKUP(H49,DB!A:B,2,0))</f>
        <v>Telecast CopperHead ProHD 1</v>
      </c>
      <c r="J49" s="5"/>
      <c r="K49" s="5"/>
      <c r="L49" s="6" t="s">
        <v>79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45</v>
      </c>
      <c r="B50" s="6" t="str">
        <f>IF(A50="","",VLOOKUP(A50,DB!A:B,2,0))</f>
        <v>Miranda Densite3</v>
      </c>
      <c r="C50" s="6">
        <v>8.0</v>
      </c>
      <c r="D50" s="6" t="s">
        <v>46</v>
      </c>
      <c r="E50" s="6" t="s">
        <v>105</v>
      </c>
      <c r="F50" s="6" t="s">
        <v>17</v>
      </c>
      <c r="G50" s="6" t="s">
        <v>50</v>
      </c>
      <c r="H50" s="6" t="s">
        <v>74</v>
      </c>
      <c r="I50" s="5" t="str">
        <f>IF(H50="","",VLOOKUP(H50,DB!A:B,2,0))</f>
        <v>Telecast CopperHead ProHD 2</v>
      </c>
      <c r="J50" s="5"/>
      <c r="K50" s="5"/>
      <c r="L50" s="6" t="s">
        <v>79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45</v>
      </c>
      <c r="B51" s="6" t="str">
        <f>IF(A51="","",VLOOKUP(A51,DB!A:B,2,0))</f>
        <v>Miranda Densite3</v>
      </c>
      <c r="C51" s="6">
        <v>8.0</v>
      </c>
      <c r="D51" s="6" t="s">
        <v>46</v>
      </c>
      <c r="E51" s="6" t="s">
        <v>101</v>
      </c>
      <c r="F51" s="6" t="s">
        <v>17</v>
      </c>
      <c r="G51" s="6" t="s">
        <v>47</v>
      </c>
      <c r="H51" s="6" t="s">
        <v>75</v>
      </c>
      <c r="I51" s="5" t="str">
        <f>IF(H51="","",VLOOKUP(H51,DB!A:B,2,0))</f>
        <v>Telecast CopperHead ProHD 3</v>
      </c>
      <c r="J51" s="5"/>
      <c r="K51" s="5"/>
      <c r="L51" s="6" t="s">
        <v>79</v>
      </c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45</v>
      </c>
      <c r="B52" s="6" t="str">
        <f>IF(A52="","",VLOOKUP(A52,DB!A:B,2,0))</f>
        <v>Miranda Densite3</v>
      </c>
      <c r="C52" s="6">
        <v>5.0</v>
      </c>
      <c r="D52" s="6" t="s">
        <v>106</v>
      </c>
      <c r="E52" s="6" t="s">
        <v>101</v>
      </c>
      <c r="F52" s="6" t="s">
        <v>17</v>
      </c>
      <c r="G52" s="6" t="s">
        <v>47</v>
      </c>
      <c r="H52" s="6" t="s">
        <v>107</v>
      </c>
      <c r="I52" s="5" t="str">
        <f>IF(H52="","",VLOOKUP(H52,DB!A:B,2,0))</f>
        <v>Blackmagic SmartView Duo</v>
      </c>
      <c r="J52" s="5"/>
      <c r="K52" s="5"/>
      <c r="L52" s="6" t="s">
        <v>93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107</v>
      </c>
      <c r="B53" s="6" t="str">
        <f>IF(A53="","",VLOOKUP(A53,DB!A:B,2,0))</f>
        <v>Blackmagic SmartView Duo</v>
      </c>
      <c r="C53" s="5"/>
      <c r="D53" s="5"/>
      <c r="E53" s="6" t="s">
        <v>71</v>
      </c>
      <c r="F53" s="6" t="s">
        <v>17</v>
      </c>
      <c r="G53" s="6" t="s">
        <v>93</v>
      </c>
      <c r="H53" s="6" t="s">
        <v>92</v>
      </c>
      <c r="I53" s="5" t="str">
        <f>IF(H53="","",VLOOKUP(H53,DB!A:B,2,0))</f>
        <v>Blackmagic SmartScope Duo</v>
      </c>
      <c r="J53" s="5"/>
      <c r="K53" s="5"/>
      <c r="L53" s="6" t="s">
        <v>108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92</v>
      </c>
      <c r="B54" s="6" t="str">
        <f>IF(A54="","",VLOOKUP(A54,DB!A:B,2,0))</f>
        <v>Blackmagic SmartScope Duo</v>
      </c>
      <c r="C54" s="5"/>
      <c r="D54" s="5"/>
      <c r="E54" s="6" t="s">
        <v>73</v>
      </c>
      <c r="F54" s="6" t="s">
        <v>17</v>
      </c>
      <c r="G54" s="6" t="s">
        <v>108</v>
      </c>
      <c r="H54" s="6" t="s">
        <v>92</v>
      </c>
      <c r="I54" s="5" t="str">
        <f>IF(H54="","",VLOOKUP(H54,DB!A:B,2,0))</f>
        <v>Blackmagic SmartScope Duo</v>
      </c>
      <c r="J54" s="5"/>
      <c r="K54" s="5"/>
      <c r="L54" s="6" t="s">
        <v>93</v>
      </c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19</v>
      </c>
      <c r="B55" s="6" t="str">
        <f>IF(A55="","",VLOOKUP(A55,DB!A:B,2,0))</f>
        <v>PC Video</v>
      </c>
      <c r="C55" s="6">
        <v>1.0</v>
      </c>
      <c r="D55" s="6" t="s">
        <v>109</v>
      </c>
      <c r="E55" s="6" t="s">
        <v>110</v>
      </c>
      <c r="F55" s="5"/>
      <c r="G55" s="5"/>
      <c r="H55" s="6" t="s">
        <v>36</v>
      </c>
      <c r="I55" s="5" t="str">
        <f>IF(H55="","",VLOOKUP(H55,DB!A:B,2,0))</f>
        <v>ATEM 1 Production Studio</v>
      </c>
      <c r="J55" s="5"/>
      <c r="K55" s="5"/>
      <c r="L55" s="6" t="s">
        <v>111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69</v>
      </c>
      <c r="B56" s="6" t="str">
        <f>IF(A56="","",VLOOKUP(A56,DB!A:B,2,0))</f>
        <v>Patchera Externa</v>
      </c>
      <c r="C56" s="5"/>
      <c r="D56" s="5"/>
      <c r="E56" s="6" t="s">
        <v>112</v>
      </c>
      <c r="F56" s="5"/>
      <c r="G56" s="5"/>
      <c r="H56" s="6" t="s">
        <v>76</v>
      </c>
      <c r="I56" s="5" t="str">
        <f>IF(H56="","",VLOOKUP(H56,DB!A:B,2,0))</f>
        <v>Miranda Densite3</v>
      </c>
      <c r="J56" s="6">
        <v>5.0</v>
      </c>
      <c r="K56" s="6" t="s">
        <v>77</v>
      </c>
      <c r="L56" s="6" t="s">
        <v>79</v>
      </c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69</v>
      </c>
      <c r="B57" s="6" t="str">
        <f>IF(A57="","",VLOOKUP(A57,DB!A:B,2,0))</f>
        <v>Patchera Externa</v>
      </c>
      <c r="C57" s="5"/>
      <c r="D57" s="5"/>
      <c r="E57" s="6" t="s">
        <v>113</v>
      </c>
      <c r="F57" s="5"/>
      <c r="G57" s="5"/>
      <c r="H57" s="6" t="s">
        <v>76</v>
      </c>
      <c r="I57" s="5" t="str">
        <f>IF(H57="","",VLOOKUP(H57,DB!A:B,2,0))</f>
        <v>Miranda Densite3</v>
      </c>
      <c r="J57" s="6">
        <v>6.0</v>
      </c>
      <c r="K57" s="6" t="s">
        <v>77</v>
      </c>
      <c r="L57" s="6" t="s">
        <v>79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69</v>
      </c>
      <c r="B58" s="6" t="str">
        <f>IF(A58="","",VLOOKUP(A58,DB!A:B,2,0))</f>
        <v>Patchera Externa</v>
      </c>
      <c r="C58" s="5"/>
      <c r="D58" s="5"/>
      <c r="E58" s="6" t="s">
        <v>114</v>
      </c>
      <c r="F58" s="5"/>
      <c r="G58" s="5"/>
      <c r="H58" s="6" t="s">
        <v>45</v>
      </c>
      <c r="I58" s="5" t="str">
        <f>IF(H58="","",VLOOKUP(H58,DB!A:B,2,0))</f>
        <v>Miranda Densite3</v>
      </c>
      <c r="J58" s="6">
        <v>7.0</v>
      </c>
      <c r="K58" s="6" t="s">
        <v>46</v>
      </c>
      <c r="L58" s="6" t="s">
        <v>50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45</v>
      </c>
      <c r="B59" s="6" t="str">
        <f>IF(A59="","",VLOOKUP(A59,DB!A:B,2,0))</f>
        <v>Miranda Densite3</v>
      </c>
      <c r="C59" s="6">
        <v>5.0</v>
      </c>
      <c r="D59" s="6" t="s">
        <v>106</v>
      </c>
      <c r="E59" s="6" t="s">
        <v>105</v>
      </c>
      <c r="F59" s="6" t="s">
        <v>17</v>
      </c>
      <c r="G59" s="6" t="s">
        <v>47</v>
      </c>
      <c r="H59" s="6" t="s">
        <v>69</v>
      </c>
      <c r="I59" s="5" t="str">
        <f>IF(H59="","",VLOOKUP(H59,DB!A:B,2,0))</f>
        <v>Patchera Externa</v>
      </c>
      <c r="J59" s="5"/>
      <c r="K59" s="5"/>
      <c r="L59" s="6" t="s">
        <v>115</v>
      </c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45</v>
      </c>
      <c r="B60" s="6" t="str">
        <f>IF(A60="","",VLOOKUP(A60,DB!A:B,2,0))</f>
        <v>Miranda Densite3</v>
      </c>
      <c r="C60" s="6">
        <v>5.0</v>
      </c>
      <c r="D60" s="6" t="s">
        <v>106</v>
      </c>
      <c r="E60" s="6" t="s">
        <v>116</v>
      </c>
      <c r="F60" s="6" t="s">
        <v>17</v>
      </c>
      <c r="G60" s="6" t="s">
        <v>47</v>
      </c>
      <c r="H60" s="6" t="s">
        <v>69</v>
      </c>
      <c r="I60" s="5" t="str">
        <f>IF(H60="","",VLOOKUP(H60,DB!A:B,2,0))</f>
        <v>Patchera Externa</v>
      </c>
      <c r="J60" s="5"/>
      <c r="K60" s="5"/>
      <c r="L60" s="6" t="s">
        <v>117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45</v>
      </c>
      <c r="B61" s="6" t="str">
        <f>IF(A61="","",VLOOKUP(A61,DB!A:B,2,0))</f>
        <v>Miranda Densite3</v>
      </c>
      <c r="C61" s="6">
        <v>5.0</v>
      </c>
      <c r="D61" s="6" t="s">
        <v>106</v>
      </c>
      <c r="E61" s="6" t="s">
        <v>118</v>
      </c>
      <c r="F61" s="6" t="s">
        <v>17</v>
      </c>
      <c r="G61" s="6" t="s">
        <v>47</v>
      </c>
      <c r="H61" s="6" t="s">
        <v>69</v>
      </c>
      <c r="I61" s="5" t="str">
        <f>IF(H61="","",VLOOKUP(H61,DB!A:B,2,0))</f>
        <v>Patchera Externa</v>
      </c>
      <c r="J61" s="5"/>
      <c r="K61" s="5"/>
      <c r="L61" s="6" t="s">
        <v>119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45</v>
      </c>
      <c r="B62" s="6" t="str">
        <f>IF(A62="","",VLOOKUP(A62,DB!A:B,2,0))</f>
        <v>Miranda Densite3</v>
      </c>
      <c r="C62" s="6">
        <v>7.0</v>
      </c>
      <c r="D62" s="6" t="s">
        <v>46</v>
      </c>
      <c r="E62" s="6" t="s">
        <v>105</v>
      </c>
      <c r="F62" s="6" t="s">
        <v>17</v>
      </c>
      <c r="G62" s="6" t="s">
        <v>50</v>
      </c>
      <c r="H62" s="6" t="s">
        <v>69</v>
      </c>
      <c r="I62" s="5" t="str">
        <f>IF(H62="","",VLOOKUP(H62,DB!A:B,2,0))</f>
        <v>Patchera Externa</v>
      </c>
      <c r="J62" s="5"/>
      <c r="K62" s="5"/>
      <c r="L62" s="6" t="s">
        <v>120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45</v>
      </c>
      <c r="B63" s="6" t="str">
        <f>IF(A63="","",VLOOKUP(A63,DB!A:B,2,0))</f>
        <v>Miranda Densite3</v>
      </c>
      <c r="C63" s="6">
        <v>7.0</v>
      </c>
      <c r="D63" s="6" t="s">
        <v>46</v>
      </c>
      <c r="E63" s="6" t="s">
        <v>116</v>
      </c>
      <c r="F63" s="6" t="s">
        <v>17</v>
      </c>
      <c r="G63" s="6" t="s">
        <v>50</v>
      </c>
      <c r="H63" s="6" t="s">
        <v>69</v>
      </c>
      <c r="I63" s="5" t="str">
        <f>IF(H63="","",VLOOKUP(H63,DB!A:B,2,0))</f>
        <v>Patchera Externa</v>
      </c>
      <c r="J63" s="5"/>
      <c r="K63" s="5"/>
      <c r="L63" s="6" t="s">
        <v>121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45</v>
      </c>
      <c r="B64" s="6" t="str">
        <f>IF(A64="","",VLOOKUP(A64,DB!A:B,2,0))</f>
        <v>Miranda Densite3</v>
      </c>
      <c r="C64" s="6">
        <v>7.0</v>
      </c>
      <c r="D64" s="6" t="s">
        <v>46</v>
      </c>
      <c r="E64" s="6" t="s">
        <v>122</v>
      </c>
      <c r="F64" s="6" t="s">
        <v>17</v>
      </c>
      <c r="G64" s="6" t="s">
        <v>47</v>
      </c>
      <c r="H64" s="6" t="s">
        <v>69</v>
      </c>
      <c r="I64" s="5" t="str">
        <f>IF(H64="","",VLOOKUP(H64,DB!A:B,2,0))</f>
        <v>Patchera Externa</v>
      </c>
      <c r="J64" s="5"/>
      <c r="K64" s="5"/>
      <c r="L64" s="6" t="s">
        <v>88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45</v>
      </c>
      <c r="B65" s="6" t="str">
        <f>IF(A65="","",VLOOKUP(A65,DB!A:B,2,0))</f>
        <v>Miranda Densite3</v>
      </c>
      <c r="C65" s="6">
        <v>8.0</v>
      </c>
      <c r="D65" s="6" t="s">
        <v>46</v>
      </c>
      <c r="E65" s="6" t="s">
        <v>116</v>
      </c>
      <c r="F65" s="6" t="s">
        <v>17</v>
      </c>
      <c r="G65" s="6" t="s">
        <v>50</v>
      </c>
      <c r="H65" s="6" t="s">
        <v>69</v>
      </c>
      <c r="I65" s="5" t="str">
        <f>IF(H65="","",VLOOKUP(H65,DB!A:B,2,0))</f>
        <v>Patchera Externa</v>
      </c>
      <c r="J65" s="5"/>
      <c r="K65" s="5"/>
      <c r="L65" s="6" t="s">
        <v>89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45</v>
      </c>
      <c r="B66" s="6" t="str">
        <f>IF(A66="","",VLOOKUP(A66,DB!A:B,2,0))</f>
        <v>Miranda Densite3</v>
      </c>
      <c r="C66" s="6">
        <v>7.0</v>
      </c>
      <c r="D66" s="6" t="s">
        <v>46</v>
      </c>
      <c r="E66" s="6" t="s">
        <v>118</v>
      </c>
      <c r="F66" s="6" t="s">
        <v>17</v>
      </c>
      <c r="G66" s="6" t="s">
        <v>50</v>
      </c>
      <c r="H66" s="6" t="s">
        <v>123</v>
      </c>
      <c r="I66" s="5" t="str">
        <f>IF(H66="","",VLOOKUP(H66,DB!A:B,2,0))</f>
        <v>Monitor Aire</v>
      </c>
      <c r="J66" s="5"/>
      <c r="K66" s="5"/>
      <c r="L66" s="6" t="s">
        <v>79</v>
      </c>
      <c r="M66" s="5"/>
      <c r="N66" s="5"/>
      <c r="O66" s="6" t="s">
        <v>124</v>
      </c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69</v>
      </c>
      <c r="B67" s="6" t="str">
        <f>IF(A67="","",VLOOKUP(A67,DB!A:B,2,0))</f>
        <v>Patchera Externa</v>
      </c>
      <c r="C67" s="5"/>
      <c r="D67" s="5"/>
      <c r="E67" s="6" t="s">
        <v>125</v>
      </c>
      <c r="F67" s="5"/>
      <c r="G67" s="5"/>
      <c r="H67" s="6" t="s">
        <v>72</v>
      </c>
      <c r="I67" s="5" t="str">
        <f>IF(H67="","",VLOOKUP(H67,DB!A:B,2,0))</f>
        <v>Telecast CopperHead ProHD 1</v>
      </c>
      <c r="J67" s="5"/>
      <c r="K67" s="5"/>
      <c r="L67" s="6" t="s">
        <v>126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6" t="s">
        <v>69</v>
      </c>
      <c r="B68" s="6" t="str">
        <f>IF(A68="","",VLOOKUP(A68,DB!A:B,2,0))</f>
        <v>Patchera Externa</v>
      </c>
      <c r="C68" s="5"/>
      <c r="D68" s="5"/>
      <c r="E68" s="6" t="s">
        <v>127</v>
      </c>
      <c r="F68" s="5"/>
      <c r="G68" s="5"/>
      <c r="H68" s="6" t="s">
        <v>74</v>
      </c>
      <c r="I68" s="5" t="str">
        <f>IF(H68="","",VLOOKUP(H68,DB!A:B,2,0))</f>
        <v>Telecast CopperHead ProHD 2</v>
      </c>
      <c r="J68" s="5"/>
      <c r="K68" s="5"/>
      <c r="L68" s="6" t="s">
        <v>126</v>
      </c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6" t="s">
        <v>69</v>
      </c>
      <c r="B69" s="6" t="str">
        <f>IF(A69="","",VLOOKUP(A69,DB!A:B,2,0))</f>
        <v>Patchera Externa</v>
      </c>
      <c r="C69" s="5"/>
      <c r="D69" s="5"/>
      <c r="E69" s="6" t="s">
        <v>128</v>
      </c>
      <c r="F69" s="5"/>
      <c r="G69" s="5"/>
      <c r="H69" s="6" t="s">
        <v>75</v>
      </c>
      <c r="I69" s="5" t="str">
        <f>IF(H69="","",VLOOKUP(H69,DB!A:B,2,0))</f>
        <v>Telecast CopperHead ProHD 3</v>
      </c>
      <c r="J69" s="5"/>
      <c r="K69" s="5"/>
      <c r="L69" s="6" t="s">
        <v>126</v>
      </c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6" t="s">
        <v>69</v>
      </c>
      <c r="B70" s="6" t="str">
        <f>IF(A70="","",VLOOKUP(A70,DB!A:B,2,0))</f>
        <v>Patchera Externa</v>
      </c>
      <c r="C70" s="5"/>
      <c r="D70" s="5"/>
      <c r="E70" s="6" t="s">
        <v>129</v>
      </c>
      <c r="F70" s="5"/>
      <c r="G70" s="5"/>
      <c r="H70" s="6" t="s">
        <v>55</v>
      </c>
      <c r="I70" s="5" t="str">
        <f>IF(H70="","",VLOOKUP(H70,DB!A:B,2,0))</f>
        <v>Ikegami BS-80 4</v>
      </c>
      <c r="J70" s="5"/>
      <c r="K70" s="5"/>
      <c r="L70" s="6" t="s">
        <v>126</v>
      </c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6" t="s">
        <v>69</v>
      </c>
      <c r="B71" s="6" t="str">
        <f>IF(A71="","",VLOOKUP(A71,DB!A:B,2,0))</f>
        <v>Patchera Externa</v>
      </c>
      <c r="C71" s="5"/>
      <c r="D71" s="5"/>
      <c r="E71" s="6" t="s">
        <v>130</v>
      </c>
      <c r="F71" s="5"/>
      <c r="G71" s="5"/>
      <c r="H71" s="6" t="s">
        <v>59</v>
      </c>
      <c r="I71" s="5" t="str">
        <f>IF(H71="","",VLOOKUP(H71,DB!A:B,2,0))</f>
        <v>Ikegami BS-80 5</v>
      </c>
      <c r="J71" s="5"/>
      <c r="K71" s="5"/>
      <c r="L71" s="6" t="s">
        <v>126</v>
      </c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6" t="s">
        <v>69</v>
      </c>
      <c r="B72" s="6" t="str">
        <f>IF(A72="","",VLOOKUP(A72,DB!A:B,2,0))</f>
        <v>Patchera Externa</v>
      </c>
      <c r="C72" s="5"/>
      <c r="D72" s="5"/>
      <c r="E72" s="6" t="s">
        <v>131</v>
      </c>
      <c r="F72" s="5"/>
      <c r="G72" s="5"/>
      <c r="H72" s="6" t="s">
        <v>72</v>
      </c>
      <c r="I72" s="5" t="str">
        <f>IF(H72="","",VLOOKUP(H72,DB!A:B,2,0))</f>
        <v>Telecast CopperHead ProHD 1</v>
      </c>
      <c r="J72" s="5"/>
      <c r="K72" s="5"/>
      <c r="L72" s="6" t="s">
        <v>80</v>
      </c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6" t="s">
        <v>69</v>
      </c>
      <c r="B73" s="6" t="str">
        <f>IF(A73="","",VLOOKUP(A73,DB!A:B,2,0))</f>
        <v>Patchera Externa</v>
      </c>
      <c r="C73" s="5"/>
      <c r="D73" s="5"/>
      <c r="E73" s="6" t="s">
        <v>132</v>
      </c>
      <c r="F73" s="5"/>
      <c r="G73" s="5"/>
      <c r="H73" s="6" t="s">
        <v>72</v>
      </c>
      <c r="I73" s="5" t="str">
        <f>IF(H73="","",VLOOKUP(H73,DB!A:B,2,0))</f>
        <v>Telecast CopperHead ProHD 1</v>
      </c>
      <c r="J73" s="5"/>
      <c r="K73" s="5"/>
      <c r="L73" s="6" t="s">
        <v>83</v>
      </c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6" t="s">
        <v>69</v>
      </c>
      <c r="B74" s="6" t="str">
        <f>IF(A74="","",VLOOKUP(A74,DB!A:B,2,0))</f>
        <v>Patchera Externa</v>
      </c>
      <c r="C74" s="5"/>
      <c r="D74" s="5"/>
      <c r="E74" s="6" t="s">
        <v>133</v>
      </c>
      <c r="F74" s="5"/>
      <c r="G74" s="5"/>
      <c r="H74" s="6" t="s">
        <v>74</v>
      </c>
      <c r="I74" s="5" t="str">
        <f>IF(H74="","",VLOOKUP(H74,DB!A:B,2,0))</f>
        <v>Telecast CopperHead ProHD 2</v>
      </c>
      <c r="J74" s="5"/>
      <c r="K74" s="5"/>
      <c r="L74" s="6" t="s">
        <v>80</v>
      </c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69</v>
      </c>
      <c r="B75" s="6" t="str">
        <f>IF(A75="","",VLOOKUP(A75,DB!A:B,2,0))</f>
        <v>Patchera Externa</v>
      </c>
      <c r="C75" s="5"/>
      <c r="D75" s="5"/>
      <c r="E75" s="6" t="s">
        <v>134</v>
      </c>
      <c r="F75" s="5"/>
      <c r="G75" s="5"/>
      <c r="H75" s="6" t="s">
        <v>74</v>
      </c>
      <c r="I75" s="5" t="str">
        <f>IF(H75="","",VLOOKUP(H75,DB!A:B,2,0))</f>
        <v>Telecast CopperHead ProHD 2</v>
      </c>
      <c r="J75" s="5"/>
      <c r="K75" s="5"/>
      <c r="L75" s="6" t="s">
        <v>83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69</v>
      </c>
      <c r="B76" s="6" t="str">
        <f>IF(A76="","",VLOOKUP(A76,DB!A:B,2,0))</f>
        <v>Patchera Externa</v>
      </c>
      <c r="C76" s="5"/>
      <c r="D76" s="5"/>
      <c r="E76" s="6" t="s">
        <v>135</v>
      </c>
      <c r="F76" s="5"/>
      <c r="G76" s="5"/>
      <c r="H76" s="6" t="s">
        <v>75</v>
      </c>
      <c r="I76" s="5" t="str">
        <f>IF(H76="","",VLOOKUP(H76,DB!A:B,2,0))</f>
        <v>Telecast CopperHead ProHD 3</v>
      </c>
      <c r="J76" s="5"/>
      <c r="K76" s="5"/>
      <c r="L76" s="6" t="s">
        <v>80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69</v>
      </c>
      <c r="B77" s="6" t="str">
        <f>IF(A77="","",VLOOKUP(A77,DB!A:B,2,0))</f>
        <v>Patchera Externa</v>
      </c>
      <c r="C77" s="5"/>
      <c r="D77" s="5"/>
      <c r="E77" s="6" t="s">
        <v>136</v>
      </c>
      <c r="F77" s="5"/>
      <c r="G77" s="5"/>
      <c r="H77" s="6" t="s">
        <v>75</v>
      </c>
      <c r="I77" s="5" t="str">
        <f>IF(H77="","",VLOOKUP(H77,DB!A:B,2,0))</f>
        <v>Telecast CopperHead ProHD 3</v>
      </c>
      <c r="J77" s="5"/>
      <c r="K77" s="5"/>
      <c r="L77" s="6" t="s">
        <v>83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69</v>
      </c>
      <c r="B78" s="6" t="str">
        <f>IF(A78="","",VLOOKUP(A78,DB!A:B,2,0))</f>
        <v>Patchera Externa</v>
      </c>
      <c r="C78" s="5"/>
      <c r="D78" s="5"/>
      <c r="E78" s="6" t="s">
        <v>137</v>
      </c>
      <c r="F78" s="5"/>
      <c r="G78" s="5"/>
      <c r="H78" s="6" t="s">
        <v>55</v>
      </c>
      <c r="I78" s="5" t="str">
        <f>IF(H78="","",VLOOKUP(H78,DB!A:B,2,0))</f>
        <v>Ikegami BS-80 4</v>
      </c>
      <c r="J78" s="5"/>
      <c r="K78" s="5"/>
      <c r="L78" s="6" t="s">
        <v>80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69</v>
      </c>
      <c r="B79" s="6" t="str">
        <f>IF(A79="","",VLOOKUP(A79,DB!A:B,2,0))</f>
        <v>Patchera Externa</v>
      </c>
      <c r="C79" s="5"/>
      <c r="D79" s="5"/>
      <c r="E79" s="6" t="s">
        <v>138</v>
      </c>
      <c r="F79" s="5"/>
      <c r="G79" s="5"/>
      <c r="H79" s="6" t="s">
        <v>55</v>
      </c>
      <c r="I79" s="5" t="str">
        <f>IF(H79="","",VLOOKUP(H79,DB!A:B,2,0))</f>
        <v>Ikegami BS-80 4</v>
      </c>
      <c r="J79" s="5"/>
      <c r="K79" s="5"/>
      <c r="L79" s="6" t="s">
        <v>83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69</v>
      </c>
      <c r="B80" s="6" t="str">
        <f>IF(A80="","",VLOOKUP(A80,DB!A:B,2,0))</f>
        <v>Patchera Externa</v>
      </c>
      <c r="C80" s="5"/>
      <c r="D80" s="5"/>
      <c r="E80" s="6" t="s">
        <v>139</v>
      </c>
      <c r="F80" s="5"/>
      <c r="G80" s="5"/>
      <c r="H80" s="6" t="s">
        <v>59</v>
      </c>
      <c r="I80" s="5" t="str">
        <f>IF(H80="","",VLOOKUP(H80,DB!A:B,2,0))</f>
        <v>Ikegami BS-80 5</v>
      </c>
      <c r="J80" s="5"/>
      <c r="K80" s="5"/>
      <c r="L80" s="6" t="s">
        <v>80</v>
      </c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7" t="s">
        <v>69</v>
      </c>
      <c r="B81" s="8" t="str">
        <f>IF(A81="","",VLOOKUP(A81,DB!A:B,2,0))</f>
        <v>Patchera Externa</v>
      </c>
      <c r="C81" s="9"/>
      <c r="D81" s="8"/>
      <c r="E81" s="7" t="s">
        <v>140</v>
      </c>
      <c r="F81" s="8"/>
      <c r="G81" s="8"/>
      <c r="H81" s="7" t="s">
        <v>59</v>
      </c>
      <c r="I81" s="8" t="str">
        <f>IF(H81="","",VLOOKUP(H81,DB!A:B,2,0))</f>
        <v>Ikegami BS-80 5</v>
      </c>
      <c r="J81" s="8"/>
      <c r="K81" s="8"/>
      <c r="L81" s="6" t="s">
        <v>83</v>
      </c>
      <c r="M81" s="8"/>
      <c r="N81" s="8"/>
      <c r="O81" s="8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10" t="s">
        <v>69</v>
      </c>
      <c r="B82" s="11" t="str">
        <f>IF(A82="","",VLOOKUP(A82,DB!A:B,2,0))</f>
        <v>Patchera Externa</v>
      </c>
      <c r="C82" s="12"/>
      <c r="D82" s="11"/>
      <c r="E82" s="10" t="s">
        <v>141</v>
      </c>
      <c r="F82" s="11"/>
      <c r="G82" s="11"/>
      <c r="H82" s="10" t="s">
        <v>81</v>
      </c>
      <c r="I82" s="11" t="str">
        <f>IF(H82="","",VLOOKUP(H82,DB!A:B,2,0))</f>
        <v>Yamaha MG166</v>
      </c>
      <c r="J82" s="11"/>
      <c r="K82" s="11"/>
      <c r="L82" s="10" t="s">
        <v>18</v>
      </c>
      <c r="M82" s="11"/>
      <c r="N82" s="11"/>
      <c r="O82" s="11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7" t="s">
        <v>69</v>
      </c>
      <c r="B83" s="8" t="str">
        <f>IF(A83="","",VLOOKUP(A83,DB!A:B,2,0))</f>
        <v>Patchera Externa</v>
      </c>
      <c r="C83" s="8"/>
      <c r="D83" s="8"/>
      <c r="E83" s="10" t="s">
        <v>142</v>
      </c>
      <c r="F83" s="8"/>
      <c r="G83" s="8"/>
      <c r="H83" s="10" t="s">
        <v>81</v>
      </c>
      <c r="I83" s="8" t="str">
        <f>IF(H83="","",VLOOKUP(H83,DB!A:B,2,0))</f>
        <v>Yamaha MG166</v>
      </c>
      <c r="J83" s="8"/>
      <c r="K83" s="8"/>
      <c r="L83" s="10" t="s">
        <v>23</v>
      </c>
      <c r="M83" s="8"/>
      <c r="N83" s="8"/>
      <c r="O83" s="8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7" t="s">
        <v>69</v>
      </c>
      <c r="B84" s="8" t="str">
        <f>IF(A84="","",VLOOKUP(A84,DB!A:B,2,0))</f>
        <v>Patchera Externa</v>
      </c>
      <c r="C84" s="8"/>
      <c r="D84" s="8"/>
      <c r="E84" s="10" t="s">
        <v>143</v>
      </c>
      <c r="F84" s="8"/>
      <c r="G84" s="8"/>
      <c r="H84" s="10" t="s">
        <v>81</v>
      </c>
      <c r="I84" s="8" t="str">
        <f>IF(H84="","",VLOOKUP(H84,DB!A:B,2,0))</f>
        <v>Yamaha MG166</v>
      </c>
      <c r="J84" s="8"/>
      <c r="K84" s="8"/>
      <c r="L84" s="10" t="s">
        <v>26</v>
      </c>
      <c r="M84" s="8"/>
      <c r="N84" s="8"/>
      <c r="O84" s="8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7" t="s">
        <v>69</v>
      </c>
      <c r="B85" s="8" t="str">
        <f>IF(A85="","",VLOOKUP(A85,DB!A:B,2,0))</f>
        <v>Patchera Externa</v>
      </c>
      <c r="C85" s="8"/>
      <c r="D85" s="8"/>
      <c r="E85" s="10" t="s">
        <v>144</v>
      </c>
      <c r="F85" s="8"/>
      <c r="G85" s="8"/>
      <c r="H85" s="10" t="s">
        <v>81</v>
      </c>
      <c r="I85" s="8" t="str">
        <f>IF(H85="","",VLOOKUP(H85,DB!A:B,2,0))</f>
        <v>Yamaha MG166</v>
      </c>
      <c r="J85" s="8"/>
      <c r="K85" s="8"/>
      <c r="L85" s="10" t="s">
        <v>29</v>
      </c>
      <c r="M85" s="8"/>
      <c r="N85" s="8"/>
      <c r="O85" s="8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10" t="s">
        <v>69</v>
      </c>
      <c r="B86" s="11" t="str">
        <f>IF(A86="","",VLOOKUP(A86,DB!A:B,2,0))</f>
        <v>Patchera Externa</v>
      </c>
      <c r="C86" s="11"/>
      <c r="D86" s="11"/>
      <c r="E86" s="10" t="s">
        <v>145</v>
      </c>
      <c r="F86" s="11"/>
      <c r="G86" s="11"/>
      <c r="H86" s="10" t="s">
        <v>81</v>
      </c>
      <c r="I86" s="11" t="str">
        <f>IF(H86="","",VLOOKUP(H86,DB!A:B,2,0))</f>
        <v>Yamaha MG166</v>
      </c>
      <c r="J86" s="11"/>
      <c r="K86" s="11"/>
      <c r="L86" s="10" t="s">
        <v>32</v>
      </c>
      <c r="M86" s="11"/>
      <c r="N86" s="11"/>
      <c r="O86" s="11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13" t="s">
        <v>69</v>
      </c>
      <c r="B87" s="8" t="str">
        <f>IF(A87="","",VLOOKUP(A87,DB!A:B,2,0))</f>
        <v>Patchera Externa</v>
      </c>
      <c r="C87" s="8"/>
      <c r="D87" s="8"/>
      <c r="E87" s="10" t="s">
        <v>146</v>
      </c>
      <c r="F87" s="8"/>
      <c r="G87" s="8"/>
      <c r="H87" s="10" t="s">
        <v>81</v>
      </c>
      <c r="I87" s="8" t="str">
        <f>IF(H87="","",VLOOKUP(H87,DB!A:B,2,0))</f>
        <v>Yamaha MG166</v>
      </c>
      <c r="J87" s="8"/>
      <c r="K87" s="8"/>
      <c r="L87" s="10" t="s">
        <v>35</v>
      </c>
      <c r="M87" s="14"/>
      <c r="N87" s="8"/>
      <c r="O87" s="8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69</v>
      </c>
      <c r="B88" s="6" t="str">
        <f>IF(A88="","",VLOOKUP(A88,DB!A:B,2,0))</f>
        <v>Patchera Externa</v>
      </c>
      <c r="C88" s="5"/>
      <c r="D88" s="5"/>
      <c r="E88" s="10" t="s">
        <v>147</v>
      </c>
      <c r="F88" s="5"/>
      <c r="G88" s="5"/>
      <c r="H88" s="10" t="s">
        <v>81</v>
      </c>
      <c r="I88" s="5" t="str">
        <f>IF(H88="","",VLOOKUP(H88,DB!A:B,2,0))</f>
        <v>Yamaha MG166</v>
      </c>
      <c r="J88" s="5"/>
      <c r="K88" s="5"/>
      <c r="L88" s="10" t="s">
        <v>37</v>
      </c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69</v>
      </c>
      <c r="B89" s="6" t="str">
        <f>IF(A89="","",VLOOKUP(A89,DB!A:B,2,0))</f>
        <v>Patchera Externa</v>
      </c>
      <c r="C89" s="5"/>
      <c r="D89" s="5"/>
      <c r="E89" s="10" t="s">
        <v>148</v>
      </c>
      <c r="F89" s="5"/>
      <c r="G89" s="5"/>
      <c r="H89" s="10" t="s">
        <v>81</v>
      </c>
      <c r="I89" s="5" t="str">
        <f>IF(H89="","",VLOOKUP(H89,DB!A:B,2,0))</f>
        <v>Yamaha MG166</v>
      </c>
      <c r="J89" s="5"/>
      <c r="K89" s="5"/>
      <c r="L89" s="10" t="s">
        <v>39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69</v>
      </c>
      <c r="B90" s="6" t="str">
        <f>IF(A90="","",VLOOKUP(A90,DB!A:B,2,0))</f>
        <v>Patchera Externa</v>
      </c>
      <c r="C90" s="5"/>
      <c r="D90" s="5"/>
      <c r="E90" s="6" t="s">
        <v>149</v>
      </c>
      <c r="F90" s="5"/>
      <c r="G90" s="5"/>
      <c r="H90" s="6" t="s">
        <v>81</v>
      </c>
      <c r="I90" s="5" t="str">
        <f>IF(H90="","",VLOOKUP(H90,DB!A:B,2,0))</f>
        <v>Yamaha MG166</v>
      </c>
      <c r="J90" s="5"/>
      <c r="K90" s="5"/>
      <c r="L90" s="10" t="s">
        <v>41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76</v>
      </c>
      <c r="B91" s="6" t="str">
        <f>IF(A91="","",VLOOKUP(A91,DB!A:B,2,0))</f>
        <v>Miranda Densite3</v>
      </c>
      <c r="C91" s="6">
        <v>10.0</v>
      </c>
      <c r="D91" s="6" t="s">
        <v>150</v>
      </c>
      <c r="E91" s="6" t="s">
        <v>40</v>
      </c>
      <c r="F91" s="6" t="s">
        <v>17</v>
      </c>
      <c r="G91" s="6" t="s">
        <v>18</v>
      </c>
      <c r="H91" s="6" t="s">
        <v>69</v>
      </c>
      <c r="I91" s="5" t="str">
        <f>IF(H91="","",VLOOKUP(H91,DB!A:B,2,0))</f>
        <v>Patchera Externa</v>
      </c>
      <c r="J91" s="5"/>
      <c r="K91" s="5"/>
      <c r="L91" s="6" t="s">
        <v>151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76</v>
      </c>
      <c r="B92" s="6" t="str">
        <f>IF(A92="","",VLOOKUP(A92,DB!A:B,2,0))</f>
        <v>Miranda Densite3</v>
      </c>
      <c r="C92" s="6">
        <v>10.0</v>
      </c>
      <c r="D92" s="6" t="s">
        <v>150</v>
      </c>
      <c r="E92" s="6" t="s">
        <v>40</v>
      </c>
      <c r="F92" s="6" t="s">
        <v>17</v>
      </c>
      <c r="G92" s="6" t="s">
        <v>18</v>
      </c>
      <c r="H92" s="6" t="s">
        <v>69</v>
      </c>
      <c r="I92" s="5" t="str">
        <f>IF(H92="","",VLOOKUP(H92,DB!A:B,2,0))</f>
        <v>Patchera Externa</v>
      </c>
      <c r="J92" s="5"/>
      <c r="K92" s="5"/>
      <c r="L92" s="6" t="s">
        <v>152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76</v>
      </c>
      <c r="B93" s="6" t="str">
        <f>IF(A93="","",VLOOKUP(A93,DB!A:B,2,0))</f>
        <v>Miranda Densite3</v>
      </c>
      <c r="C93" s="6">
        <v>10.0</v>
      </c>
      <c r="D93" s="6" t="s">
        <v>150</v>
      </c>
      <c r="E93" s="6" t="s">
        <v>40</v>
      </c>
      <c r="F93" s="6" t="s">
        <v>17</v>
      </c>
      <c r="G93" s="6" t="s">
        <v>18</v>
      </c>
      <c r="H93" s="6" t="s">
        <v>69</v>
      </c>
      <c r="I93" s="5" t="str">
        <f>IF(H93="","",VLOOKUP(H93,DB!A:B,2,0))</f>
        <v>Patchera Externa</v>
      </c>
      <c r="J93" s="5"/>
      <c r="K93" s="5"/>
      <c r="L93" s="6" t="s">
        <v>153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76</v>
      </c>
      <c r="B94" s="6" t="str">
        <f>IF(A94="","",VLOOKUP(A94,DB!A:B,2,0))</f>
        <v>Miranda Densite3</v>
      </c>
      <c r="C94" s="6">
        <v>10.0</v>
      </c>
      <c r="D94" s="6" t="s">
        <v>150</v>
      </c>
      <c r="E94" s="6" t="s">
        <v>40</v>
      </c>
      <c r="F94" s="6" t="s">
        <v>17</v>
      </c>
      <c r="G94" s="6" t="s">
        <v>18</v>
      </c>
      <c r="H94" s="6" t="s">
        <v>69</v>
      </c>
      <c r="I94" s="5" t="str">
        <f>IF(H94="","",VLOOKUP(H94,DB!A:B,2,0))</f>
        <v>Patchera Externa</v>
      </c>
      <c r="J94" s="5"/>
      <c r="K94" s="5"/>
      <c r="L94" s="6" t="s">
        <v>154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76</v>
      </c>
      <c r="B95" s="6" t="str">
        <f>IF(A95="","",VLOOKUP(A95,DB!A:B,2,0))</f>
        <v>Miranda Densite3</v>
      </c>
      <c r="C95" s="6">
        <v>7.0</v>
      </c>
      <c r="D95" s="6" t="s">
        <v>150</v>
      </c>
      <c r="E95" s="6" t="s">
        <v>16</v>
      </c>
      <c r="F95" s="6" t="s">
        <v>17</v>
      </c>
      <c r="G95" s="6" t="s">
        <v>18</v>
      </c>
      <c r="H95" s="6" t="s">
        <v>76</v>
      </c>
      <c r="I95" s="5" t="str">
        <f>IF(H95="","",VLOOKUP(H95,DB!A:B,2,0))</f>
        <v>Miranda Densite3</v>
      </c>
      <c r="J95" s="6">
        <v>1.0</v>
      </c>
      <c r="K95" s="6" t="s">
        <v>155</v>
      </c>
      <c r="L95" s="6" t="s">
        <v>156</v>
      </c>
      <c r="M95" s="5"/>
      <c r="N95" s="6" t="s">
        <v>94</v>
      </c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76</v>
      </c>
      <c r="B96" s="6" t="str">
        <f>IF(A96="","",VLOOKUP(A96,DB!A:B,2,0))</f>
        <v>Miranda Densite3</v>
      </c>
      <c r="C96" s="6">
        <v>7.0</v>
      </c>
      <c r="D96" s="6" t="s">
        <v>150</v>
      </c>
      <c r="E96" s="6" t="s">
        <v>31</v>
      </c>
      <c r="F96" s="6" t="s">
        <v>17</v>
      </c>
      <c r="G96" s="6" t="s">
        <v>23</v>
      </c>
      <c r="H96" s="6" t="s">
        <v>76</v>
      </c>
      <c r="I96" s="5" t="str">
        <f>IF(H96="","",VLOOKUP(H96,DB!A:B,2,0))</f>
        <v>Miranda Densite3</v>
      </c>
      <c r="J96" s="6">
        <v>1.0</v>
      </c>
      <c r="K96" s="6" t="s">
        <v>155</v>
      </c>
      <c r="L96" s="6" t="s">
        <v>157</v>
      </c>
      <c r="M96" s="5"/>
      <c r="N96" s="6" t="s">
        <v>94</v>
      </c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76</v>
      </c>
      <c r="B97" s="6" t="str">
        <f>IF(A97="","",VLOOKUP(A97,DB!A:B,2,0))</f>
        <v>Miranda Densite3</v>
      </c>
      <c r="C97" s="6">
        <v>7.0</v>
      </c>
      <c r="D97" s="6" t="s">
        <v>150</v>
      </c>
      <c r="E97" s="6" t="s">
        <v>22</v>
      </c>
      <c r="F97" s="6" t="s">
        <v>17</v>
      </c>
      <c r="G97" s="6" t="s">
        <v>18</v>
      </c>
      <c r="H97" s="6" t="s">
        <v>69</v>
      </c>
      <c r="I97" s="5" t="str">
        <f>IF(H97="","",VLOOKUP(H97,DB!A:B,2,0))</f>
        <v>Patchera Externa</v>
      </c>
      <c r="J97" s="5"/>
      <c r="K97" s="5"/>
      <c r="L97" s="6" t="s">
        <v>158</v>
      </c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76</v>
      </c>
      <c r="B98" s="6" t="str">
        <f>IF(A98="","",VLOOKUP(A98,DB!A:B,2,0))</f>
        <v>Miranda Densite3</v>
      </c>
      <c r="C98" s="6">
        <v>7.0</v>
      </c>
      <c r="D98" s="6" t="s">
        <v>150</v>
      </c>
      <c r="E98" s="6" t="s">
        <v>34</v>
      </c>
      <c r="F98" s="6" t="s">
        <v>17</v>
      </c>
      <c r="G98" s="6" t="s">
        <v>23</v>
      </c>
      <c r="H98" s="6" t="s">
        <v>69</v>
      </c>
      <c r="I98" s="5" t="str">
        <f>IF(H98="","",VLOOKUP(H98,DB!A:B,2,0))</f>
        <v>Patchera Externa</v>
      </c>
      <c r="J98" s="5"/>
      <c r="K98" s="5"/>
      <c r="L98" s="6" t="s">
        <v>159</v>
      </c>
      <c r="M98" s="5"/>
      <c r="N98" s="5"/>
      <c r="O98" s="5"/>
      <c r="P98" s="1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76</v>
      </c>
      <c r="B99" s="6" t="str">
        <f>IF(A99="","",VLOOKUP(A99,DB!A:B,2,0))</f>
        <v>Miranda Densite3</v>
      </c>
      <c r="C99" s="6">
        <v>8.0</v>
      </c>
      <c r="D99" s="6" t="s">
        <v>150</v>
      </c>
      <c r="E99" s="6" t="s">
        <v>31</v>
      </c>
      <c r="F99" s="6" t="s">
        <v>17</v>
      </c>
      <c r="G99" s="6" t="s">
        <v>23</v>
      </c>
      <c r="H99" s="6" t="s">
        <v>76</v>
      </c>
      <c r="I99" s="5" t="str">
        <f>IF(H99="","",VLOOKUP(H99,DB!A:B,2,0))</f>
        <v>Miranda Densite3</v>
      </c>
      <c r="J99" s="6">
        <v>1.0</v>
      </c>
      <c r="K99" s="6" t="s">
        <v>155</v>
      </c>
      <c r="L99" s="6" t="s">
        <v>160</v>
      </c>
      <c r="M99" s="5"/>
      <c r="N99" s="6" t="s">
        <v>161</v>
      </c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76</v>
      </c>
      <c r="B100" s="6" t="str">
        <f>IF(A100="","",VLOOKUP(A100,DB!A:B,2,0))</f>
        <v>Miranda Densite3</v>
      </c>
      <c r="C100" s="6">
        <v>8.0</v>
      </c>
      <c r="D100" s="6" t="s">
        <v>150</v>
      </c>
      <c r="E100" s="6" t="s">
        <v>31</v>
      </c>
      <c r="F100" s="6" t="s">
        <v>17</v>
      </c>
      <c r="G100" s="6" t="s">
        <v>23</v>
      </c>
      <c r="H100" s="6" t="s">
        <v>76</v>
      </c>
      <c r="I100" s="5" t="str">
        <f>IF(H100="","",VLOOKUP(H100,DB!A:B,2,0))</f>
        <v>Miranda Densite3</v>
      </c>
      <c r="J100" s="6">
        <v>1.0</v>
      </c>
      <c r="K100" s="6" t="s">
        <v>155</v>
      </c>
      <c r="L100" s="6" t="s">
        <v>162</v>
      </c>
      <c r="M100" s="5"/>
      <c r="N100" s="6" t="s">
        <v>161</v>
      </c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76</v>
      </c>
      <c r="B101" s="6" t="str">
        <f>IF(A101="","",VLOOKUP(A101,DB!A:B,2,0))</f>
        <v>Miranda Densite3</v>
      </c>
      <c r="C101" s="6">
        <v>1.0</v>
      </c>
      <c r="D101" s="6" t="s">
        <v>155</v>
      </c>
      <c r="E101" s="6" t="s">
        <v>73</v>
      </c>
      <c r="F101" s="6" t="s">
        <v>17</v>
      </c>
      <c r="G101" s="6" t="s">
        <v>79</v>
      </c>
      <c r="H101" s="6" t="s">
        <v>45</v>
      </c>
      <c r="I101" s="5" t="str">
        <f>IF(H101="","",VLOOKUP(H101,DB!A:B,2,0))</f>
        <v>Miranda Densite3</v>
      </c>
      <c r="J101" s="6">
        <v>1.0</v>
      </c>
      <c r="K101" s="6" t="s">
        <v>163</v>
      </c>
      <c r="L101" s="6" t="s">
        <v>79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76</v>
      </c>
      <c r="B102" s="6" t="str">
        <f>IF(A102="","",VLOOKUP(A102,DB!A:B,2,0))</f>
        <v>Miranda Densite3</v>
      </c>
      <c r="C102" s="6">
        <v>1.0</v>
      </c>
      <c r="D102" s="6" t="s">
        <v>155</v>
      </c>
      <c r="E102" s="6" t="s">
        <v>71</v>
      </c>
      <c r="F102" s="6" t="s">
        <v>17</v>
      </c>
      <c r="G102" s="6" t="s">
        <v>79</v>
      </c>
      <c r="H102" s="6" t="s">
        <v>69</v>
      </c>
      <c r="I102" s="5" t="str">
        <f>IF(H102="","",VLOOKUP(H102,DB!A:B,2,0))</f>
        <v>Patchera Externa</v>
      </c>
      <c r="J102" s="5"/>
      <c r="K102" s="5"/>
      <c r="L102" s="6" t="s">
        <v>164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36</v>
      </c>
      <c r="B103" s="6" t="str">
        <f>IF(A103="","",VLOOKUP(A103,DB!A:B,2,0))</f>
        <v>ATEM 1 Production Studio</v>
      </c>
      <c r="C103" s="5"/>
      <c r="D103" s="5"/>
      <c r="E103" s="6" t="s">
        <v>73</v>
      </c>
      <c r="F103" s="5"/>
      <c r="G103" s="5"/>
      <c r="H103" s="6" t="s">
        <v>76</v>
      </c>
      <c r="I103" s="5" t="str">
        <f>IF(H103="","",VLOOKUP(H103,DB!A:B,2,0))</f>
        <v>Miranda Densite3</v>
      </c>
      <c r="J103" s="6">
        <v>1.0</v>
      </c>
      <c r="K103" s="6" t="s">
        <v>155</v>
      </c>
      <c r="L103" s="6" t="s">
        <v>79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69</v>
      </c>
      <c r="B104" s="6" t="str">
        <f>IF(A104="","",VLOOKUP(A104,DB!A:B,2,0))</f>
        <v>Patchera Externa</v>
      </c>
      <c r="C104" s="5"/>
      <c r="D104" s="5"/>
      <c r="E104" s="6" t="s">
        <v>161</v>
      </c>
      <c r="F104" s="5"/>
      <c r="G104" s="5"/>
      <c r="H104" s="6" t="s">
        <v>76</v>
      </c>
      <c r="I104" s="5" t="str">
        <f>IF(H104="","",VLOOKUP(H104,DB!A:B,2,0))</f>
        <v>Miranda Densite3</v>
      </c>
      <c r="J104" s="6">
        <v>8.0</v>
      </c>
      <c r="K104" s="6" t="s">
        <v>150</v>
      </c>
      <c r="L104" s="6" t="s">
        <v>34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69</v>
      </c>
      <c r="B105" s="6" t="str">
        <f>IF(A105="","",VLOOKUP(A105,DB!A:B,2,0))</f>
        <v>Patchera Externa</v>
      </c>
      <c r="C105" s="5"/>
      <c r="D105" s="5"/>
      <c r="E105" s="6" t="s">
        <v>165</v>
      </c>
      <c r="F105" s="5"/>
      <c r="G105" s="5"/>
      <c r="H105" s="6" t="s">
        <v>76</v>
      </c>
      <c r="I105" s="5" t="str">
        <f>IF(H105="","",VLOOKUP(H105,DB!A:B,2,0))</f>
        <v>Miranda Densite3</v>
      </c>
      <c r="J105" s="6">
        <v>8.0</v>
      </c>
      <c r="K105" s="6" t="s">
        <v>150</v>
      </c>
      <c r="L105" s="6" t="s">
        <v>16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69</v>
      </c>
      <c r="B106" s="6" t="str">
        <f>IF(A106="","",VLOOKUP(A106,DB!A:B,2,0))</f>
        <v>Patchera Externa</v>
      </c>
      <c r="C106" s="5"/>
      <c r="D106" s="5"/>
      <c r="E106" s="6" t="s">
        <v>88</v>
      </c>
      <c r="F106" s="5"/>
      <c r="G106" s="5"/>
      <c r="H106" s="6" t="s">
        <v>76</v>
      </c>
      <c r="I106" s="5" t="str">
        <f>IF(H106="","",VLOOKUP(H106,DB!A:B,2,0))</f>
        <v>Miranda Densite3</v>
      </c>
      <c r="J106" s="6">
        <v>9.0</v>
      </c>
      <c r="K106" s="6" t="s">
        <v>150</v>
      </c>
      <c r="L106" s="6" t="s">
        <v>31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69</v>
      </c>
      <c r="B107" s="6" t="str">
        <f>IF(A107="","",VLOOKUP(A107,DB!A:B,2,0))</f>
        <v>Patchera Externa</v>
      </c>
      <c r="C107" s="5"/>
      <c r="D107" s="5"/>
      <c r="E107" s="6" t="s">
        <v>90</v>
      </c>
      <c r="F107" s="5"/>
      <c r="G107" s="5"/>
      <c r="H107" s="6" t="s">
        <v>76</v>
      </c>
      <c r="I107" s="5" t="str">
        <f>IF(H107="","",VLOOKUP(H107,DB!A:B,2,0))</f>
        <v>Miranda Densite3</v>
      </c>
      <c r="J107" s="6">
        <v>9.0</v>
      </c>
      <c r="K107" s="6" t="s">
        <v>150</v>
      </c>
      <c r="L107" s="6" t="s">
        <v>16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69</v>
      </c>
      <c r="B108" s="6" t="str">
        <f>IF(A108="","",VLOOKUP(A108,DB!A:B,2,0))</f>
        <v>Patchera Externa</v>
      </c>
      <c r="C108" s="5"/>
      <c r="D108" s="5"/>
      <c r="E108" s="6" t="s">
        <v>88</v>
      </c>
      <c r="F108" s="5"/>
      <c r="G108" s="5"/>
      <c r="H108" s="6" t="s">
        <v>76</v>
      </c>
      <c r="I108" s="5" t="str">
        <f>IF(H108="","",VLOOKUP(H108,DB!A:B,2,0))</f>
        <v>Miranda Densite3</v>
      </c>
      <c r="J108" s="6">
        <v>9.0</v>
      </c>
      <c r="K108" s="6" t="s">
        <v>150</v>
      </c>
      <c r="L108" s="6" t="s">
        <v>34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69</v>
      </c>
      <c r="B109" s="6" t="str">
        <f>IF(A109="","",VLOOKUP(A109,DB!A:B,2,0))</f>
        <v>Patchera Externa</v>
      </c>
      <c r="C109" s="5"/>
      <c r="D109" s="5"/>
      <c r="E109" s="6" t="s">
        <v>165</v>
      </c>
      <c r="F109" s="5"/>
      <c r="G109" s="5"/>
      <c r="H109" s="6" t="s">
        <v>76</v>
      </c>
      <c r="I109" s="5" t="str">
        <f>IF(H109="","",VLOOKUP(H109,DB!A:B,2,0))</f>
        <v>Miranda Densite3</v>
      </c>
      <c r="J109" s="6">
        <v>8.0</v>
      </c>
      <c r="K109" s="6" t="s">
        <v>150</v>
      </c>
      <c r="L109" s="6" t="s">
        <v>22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45</v>
      </c>
      <c r="B110" s="6" t="str">
        <f>IF(A110="","",VLOOKUP(A110,DB!A:B,2,0))</f>
        <v>Miranda Densite3</v>
      </c>
      <c r="C110" s="6">
        <v>1.0</v>
      </c>
      <c r="D110" s="6" t="s">
        <v>163</v>
      </c>
      <c r="E110" s="6" t="s">
        <v>78</v>
      </c>
      <c r="F110" s="6" t="s">
        <v>17</v>
      </c>
      <c r="G110" s="6" t="s">
        <v>79</v>
      </c>
      <c r="H110" s="6" t="s">
        <v>45</v>
      </c>
      <c r="I110" s="5" t="str">
        <f>IF(H110="","",VLOOKUP(H110,DB!A:B,2,0))</f>
        <v>Miranda Densite3</v>
      </c>
      <c r="J110" s="6">
        <v>5.0</v>
      </c>
      <c r="K110" s="6" t="s">
        <v>106</v>
      </c>
      <c r="L110" s="6" t="s">
        <v>101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91</v>
      </c>
      <c r="B111" s="6" t="str">
        <f>IF(A111="","",VLOOKUP(A111,DB!A:B,2,0))</f>
        <v>PC CG</v>
      </c>
      <c r="C111" s="6">
        <v>1.0</v>
      </c>
      <c r="D111" s="6" t="s">
        <v>20</v>
      </c>
      <c r="E111" s="6" t="s">
        <v>24</v>
      </c>
      <c r="F111" s="5"/>
      <c r="G111" s="5"/>
      <c r="H111" s="6" t="s">
        <v>107</v>
      </c>
      <c r="I111" s="5" t="str">
        <f>IF(H111="","",VLOOKUP(H111,DB!A:B,2,0))</f>
        <v>Blackmagic SmartView Duo</v>
      </c>
      <c r="J111" s="5"/>
      <c r="K111" s="5"/>
      <c r="L111" s="6" t="s">
        <v>108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107</v>
      </c>
      <c r="B112" s="6" t="str">
        <f>IF(A112="","",VLOOKUP(A112,DB!A:B,2,0))</f>
        <v>Blackmagic SmartView Duo</v>
      </c>
      <c r="C112" s="5"/>
      <c r="D112" s="5"/>
      <c r="E112" s="6" t="s">
        <v>71</v>
      </c>
      <c r="F112" s="6" t="s">
        <v>17</v>
      </c>
      <c r="G112" s="6" t="s">
        <v>108</v>
      </c>
      <c r="H112" s="6" t="s">
        <v>69</v>
      </c>
      <c r="I112" s="5" t="str">
        <f>IF(H112="","",VLOOKUP(H112,DB!A:B,2,0))</f>
        <v>Patchera Externa</v>
      </c>
      <c r="J112" s="5"/>
      <c r="K112" s="5"/>
      <c r="L112" s="6" t="s">
        <v>114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45</v>
      </c>
      <c r="B113" s="6" t="str">
        <f>IF(A113="","",VLOOKUP(A113,DB!A:B,2,0))</f>
        <v>Miranda Densite3</v>
      </c>
      <c r="C113" s="6">
        <v>5.0</v>
      </c>
      <c r="D113" s="6" t="s">
        <v>106</v>
      </c>
      <c r="E113" s="6" t="s">
        <v>104</v>
      </c>
      <c r="F113" s="6" t="s">
        <v>17</v>
      </c>
      <c r="G113" s="6" t="s">
        <v>47</v>
      </c>
      <c r="H113" s="6" t="s">
        <v>91</v>
      </c>
      <c r="I113" s="5" t="str">
        <f>IF(H113="","",VLOOKUP(H113,DB!A:B,2,0))</f>
        <v>PC CG</v>
      </c>
      <c r="J113" s="6">
        <v>1.0</v>
      </c>
      <c r="K113" s="6" t="s">
        <v>20</v>
      </c>
      <c r="L113" s="6" t="s">
        <v>27</v>
      </c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5"/>
      <c r="B114" s="6" t="str">
        <f>IF(A114="","",VLOOKUP(A114,DB!A:B,2,0))</f>
        <v/>
      </c>
      <c r="C114" s="5"/>
      <c r="D114" s="5"/>
      <c r="E114" s="5"/>
      <c r="F114" s="5"/>
      <c r="G114" s="5"/>
      <c r="H114" s="5"/>
      <c r="I114" s="5" t="str">
        <f>IF(H114="","",VLOOKUP(H114,DB!A:B,2,0))</f>
        <v/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5"/>
      <c r="B115" s="6" t="str">
        <f>IF(A115="","",VLOOKUP(A115,DB!A:B,2,0))</f>
        <v/>
      </c>
      <c r="C115" s="5"/>
      <c r="D115" s="5"/>
      <c r="E115" s="5"/>
      <c r="F115" s="5"/>
      <c r="G115" s="5"/>
      <c r="H115" s="5"/>
      <c r="I115" s="5" t="str">
        <f>IF(H115="","",VLOOKUP(H115,DB!A:B,2,0))</f>
        <v/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5"/>
      <c r="B116" s="6" t="str">
        <f>IF(A116="","",VLOOKUP(A116,DB!A:B,2,0))</f>
        <v/>
      </c>
      <c r="C116" s="5"/>
      <c r="D116" s="5"/>
      <c r="E116" s="5"/>
      <c r="F116" s="5"/>
      <c r="G116" s="5"/>
      <c r="H116" s="5"/>
      <c r="I116" s="5" t="str">
        <f>IF(H116="","",VLOOKUP(H116,DB!A:B,2,0))</f>
        <v/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5"/>
      <c r="B117" s="6" t="str">
        <f>IF(A117="","",VLOOKUP(A117,DB!A:B,2,0))</f>
        <v/>
      </c>
      <c r="C117" s="5"/>
      <c r="D117" s="5"/>
      <c r="E117" s="5"/>
      <c r="F117" s="5"/>
      <c r="G117" s="5"/>
      <c r="H117" s="5"/>
      <c r="I117" s="5" t="str">
        <f>IF(H117="","",VLOOKUP(H117,DB!A:B,2,0))</f>
        <v/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5"/>
      <c r="B118" s="6" t="str">
        <f>IF(A118="","",VLOOKUP(A118,DB!A:B,2,0))</f>
        <v/>
      </c>
      <c r="C118" s="5"/>
      <c r="D118" s="5"/>
      <c r="E118" s="5"/>
      <c r="F118" s="5"/>
      <c r="G118" s="5"/>
      <c r="H118" s="5"/>
      <c r="I118" s="5" t="str">
        <f>IF(H118="","",VLOOKUP(H118,DB!A:B,2,0))</f>
        <v/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5"/>
      <c r="B119" s="6" t="str">
        <f>IF(A119="","",VLOOKUP(A119,DB!A:B,2,0))</f>
        <v/>
      </c>
      <c r="C119" s="5"/>
      <c r="D119" s="5"/>
      <c r="E119" s="5"/>
      <c r="F119" s="5"/>
      <c r="G119" s="5"/>
      <c r="H119" s="5"/>
      <c r="I119" s="5" t="str">
        <f>IF(H119="","",VLOOKUP(H119,DB!A:B,2,0))</f>
        <v/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5"/>
      <c r="B120" s="6" t="str">
        <f>IF(A120="","",VLOOKUP(A120,DB!A:B,2,0))</f>
        <v/>
      </c>
      <c r="C120" s="5"/>
      <c r="D120" s="5"/>
      <c r="E120" s="5"/>
      <c r="F120" s="5"/>
      <c r="G120" s="5"/>
      <c r="H120" s="5"/>
      <c r="I120" s="5" t="str">
        <f>IF(H120="","",VLOOKUP(H120,DB!A:B,2,0))</f>
        <v/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5"/>
      <c r="B121" s="6" t="str">
        <f>IF(A121="","",VLOOKUP(A121,DB!A:B,2,0))</f>
        <v/>
      </c>
      <c r="C121" s="5"/>
      <c r="D121" s="5"/>
      <c r="E121" s="5"/>
      <c r="F121" s="5"/>
      <c r="G121" s="5"/>
      <c r="H121" s="5"/>
      <c r="I121" s="5" t="str">
        <f>IF(H121="","",VLOOKUP(H121,DB!A:B,2,0))</f>
        <v/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5"/>
      <c r="B122" s="6" t="str">
        <f>IF(A122="","",VLOOKUP(A122,DB!A:B,2,0))</f>
        <v/>
      </c>
      <c r="C122" s="5"/>
      <c r="D122" s="5"/>
      <c r="E122" s="5"/>
      <c r="F122" s="5"/>
      <c r="G122" s="5"/>
      <c r="H122" s="5"/>
      <c r="I122" s="5" t="str">
        <f>IF(H122="","",VLOOKUP(H122,DB!A:B,2,0))</f>
        <v/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5"/>
      <c r="B123" s="6" t="str">
        <f>IF(A123="","",VLOOKUP(A123,DB!A:B,2,0))</f>
        <v/>
      </c>
      <c r="C123" s="5"/>
      <c r="D123" s="5"/>
      <c r="E123" s="5"/>
      <c r="F123" s="5"/>
      <c r="G123" s="5"/>
      <c r="H123" s="5"/>
      <c r="I123" s="5" t="str">
        <f>IF(H123="","",VLOOKUP(H123,DB!A:B,2,0))</f>
        <v/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5"/>
      <c r="B124" s="6" t="str">
        <f>IF(A124="","",VLOOKUP(A124,DB!A:B,2,0))</f>
        <v/>
      </c>
      <c r="C124" s="5"/>
      <c r="D124" s="5"/>
      <c r="E124" s="5"/>
      <c r="F124" s="5"/>
      <c r="G124" s="5"/>
      <c r="H124" s="5"/>
      <c r="I124" s="5" t="str">
        <f>IF(H124="","",VLOOKUP(H124,DB!A:B,2,0))</f>
        <v/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5"/>
      <c r="B125" s="6" t="str">
        <f>IF(A125="","",VLOOKUP(A125,DB!A:B,2,0))</f>
        <v/>
      </c>
      <c r="C125" s="5"/>
      <c r="D125" s="5"/>
      <c r="E125" s="5"/>
      <c r="F125" s="5"/>
      <c r="G125" s="5"/>
      <c r="H125" s="5"/>
      <c r="I125" s="5" t="str">
        <f>IF(H125="","",VLOOKUP(H125,DB!A:B,2,0))</f>
        <v/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5"/>
      <c r="B126" s="6" t="str">
        <f>IF(A126="","",VLOOKUP(A126,DB!A:B,2,0))</f>
        <v/>
      </c>
      <c r="C126" s="5"/>
      <c r="D126" s="5"/>
      <c r="E126" s="5"/>
      <c r="F126" s="5"/>
      <c r="G126" s="5"/>
      <c r="H126" s="5"/>
      <c r="I126" s="5" t="str">
        <f>IF(H126="","",VLOOKUP(H126,DB!A:B,2,0))</f>
        <v/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5"/>
      <c r="B127" s="6" t="str">
        <f>IF(A127="","",VLOOKUP(A127,DB!A:B,2,0))</f>
        <v/>
      </c>
      <c r="C127" s="5"/>
      <c r="D127" s="5"/>
      <c r="E127" s="5"/>
      <c r="F127" s="5"/>
      <c r="G127" s="5"/>
      <c r="H127" s="5"/>
      <c r="I127" s="5" t="str">
        <f>IF(H127="","",VLOOKUP(H127,DB!A:B,2,0))</f>
        <v/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5"/>
      <c r="B128" s="6" t="str">
        <f>IF(A128="","",VLOOKUP(A128,DB!A:B,2,0))</f>
        <v/>
      </c>
      <c r="C128" s="5"/>
      <c r="D128" s="5"/>
      <c r="E128" s="5"/>
      <c r="F128" s="5"/>
      <c r="G128" s="5"/>
      <c r="H128" s="5"/>
      <c r="I128" s="5" t="str">
        <f>IF(H128="","",VLOOKUP(H128,DB!A:B,2,0))</f>
        <v/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5"/>
      <c r="B129" s="6" t="str">
        <f>IF(A129="","",VLOOKUP(A129,DB!A:B,2,0))</f>
        <v/>
      </c>
      <c r="C129" s="5"/>
      <c r="D129" s="5"/>
      <c r="E129" s="5"/>
      <c r="F129" s="5"/>
      <c r="G129" s="5"/>
      <c r="H129" s="5"/>
      <c r="I129" s="5" t="str">
        <f>IF(H129="","",VLOOKUP(H129,DB!A:B,2,0))</f>
        <v/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5"/>
      <c r="B130" s="6" t="str">
        <f>IF(A130="","",VLOOKUP(A130,DB!A:B,2,0))</f>
        <v/>
      </c>
      <c r="C130" s="5"/>
      <c r="D130" s="5"/>
      <c r="E130" s="5"/>
      <c r="F130" s="5"/>
      <c r="G130" s="5"/>
      <c r="H130" s="5"/>
      <c r="I130" s="5" t="str">
        <f>IF(H130="","",VLOOKUP(H130,DB!A:B,2,0))</f>
        <v/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5"/>
      <c r="B131" s="6" t="str">
        <f>IF(A131="","",VLOOKUP(A131,DB!A:B,2,0))</f>
        <v/>
      </c>
      <c r="C131" s="5"/>
      <c r="D131" s="5"/>
      <c r="E131" s="5"/>
      <c r="F131" s="5"/>
      <c r="G131" s="5"/>
      <c r="H131" s="5"/>
      <c r="I131" s="5" t="str">
        <f>IF(H131="","",VLOOKUP(H131,DB!A:B,2,0))</f>
        <v/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5"/>
      <c r="B132" s="6" t="str">
        <f>IF(A132="","",VLOOKUP(A132,DB!A:B,2,0))</f>
        <v/>
      </c>
      <c r="C132" s="5"/>
      <c r="D132" s="5"/>
      <c r="E132" s="5"/>
      <c r="F132" s="5"/>
      <c r="G132" s="5"/>
      <c r="H132" s="5"/>
      <c r="I132" s="5" t="str">
        <f>IF(H132="","",VLOOKUP(H132,DB!A:B,2,0))</f>
        <v/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5"/>
      <c r="B133" s="6" t="str">
        <f>IF(A133="","",VLOOKUP(A133,DB!A:B,2,0))</f>
        <v/>
      </c>
      <c r="C133" s="5"/>
      <c r="D133" s="5"/>
      <c r="E133" s="5"/>
      <c r="F133" s="5"/>
      <c r="G133" s="5"/>
      <c r="H133" s="5"/>
      <c r="I133" s="5" t="str">
        <f>IF(H133="","",VLOOKUP(H133,DB!A:B,2,0))</f>
        <v/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5"/>
      <c r="B134" s="6" t="str">
        <f>IF(A134="","",VLOOKUP(A134,DB!A:B,2,0))</f>
        <v/>
      </c>
      <c r="C134" s="5"/>
      <c r="D134" s="5"/>
      <c r="E134" s="5"/>
      <c r="F134" s="5"/>
      <c r="G134" s="5"/>
      <c r="H134" s="5"/>
      <c r="I134" s="5" t="str">
        <f>IF(H134="","",VLOOKUP(H134,DB!A:B,2,0))</f>
        <v/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5"/>
      <c r="B135" s="6" t="str">
        <f>IF(A135="","",VLOOKUP(A135,DB!A:B,2,0))</f>
        <v/>
      </c>
      <c r="C135" s="5"/>
      <c r="D135" s="5"/>
      <c r="E135" s="5"/>
      <c r="F135" s="5"/>
      <c r="G135" s="5"/>
      <c r="H135" s="5"/>
      <c r="I135" s="5" t="str">
        <f>IF(H135="","",VLOOKUP(H135,DB!A:B,2,0))</f>
        <v/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5"/>
      <c r="B136" s="6" t="str">
        <f>IF(A136="","",VLOOKUP(A136,DB!A:B,2,0))</f>
        <v/>
      </c>
      <c r="C136" s="5"/>
      <c r="D136" s="5"/>
      <c r="E136" s="5"/>
      <c r="F136" s="5"/>
      <c r="G136" s="5"/>
      <c r="H136" s="5"/>
      <c r="I136" s="5" t="str">
        <f>IF(H136="","",VLOOKUP(H136,DB!A:B,2,0))</f>
        <v/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5"/>
      <c r="B137" s="6" t="str">
        <f>IF(A137="","",VLOOKUP(A137,DB!A:B,2,0))</f>
        <v/>
      </c>
      <c r="C137" s="5"/>
      <c r="D137" s="5"/>
      <c r="E137" s="5"/>
      <c r="F137" s="5"/>
      <c r="G137" s="5"/>
      <c r="H137" s="5"/>
      <c r="I137" s="5" t="str">
        <f>IF(H137="","",VLOOKUP(H137,DB!A:B,2,0))</f>
        <v/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5"/>
      <c r="B138" s="6" t="str">
        <f>IF(A138="","",VLOOKUP(A138,DB!A:B,2,0))</f>
        <v/>
      </c>
      <c r="C138" s="5"/>
      <c r="D138" s="5"/>
      <c r="E138" s="5"/>
      <c r="F138" s="5"/>
      <c r="G138" s="5"/>
      <c r="H138" s="5"/>
      <c r="I138" s="5" t="str">
        <f>IF(H138="","",VLOOKUP(H138,DB!A:B,2,0))</f>
        <v/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5"/>
      <c r="B139" s="6" t="str">
        <f>IF(A139="","",VLOOKUP(A139,DB!A:B,2,0))</f>
        <v/>
      </c>
      <c r="C139" s="5"/>
      <c r="D139" s="5"/>
      <c r="E139" s="5"/>
      <c r="F139" s="5"/>
      <c r="G139" s="5"/>
      <c r="H139" s="5"/>
      <c r="I139" s="5" t="str">
        <f>IF(H139="","",VLOOKUP(H139,DB!A:B,2,0))</f>
        <v/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5"/>
      <c r="B140" s="6" t="str">
        <f>IF(A140="","",VLOOKUP(A140,DB!A:B,2,0))</f>
        <v/>
      </c>
      <c r="C140" s="5"/>
      <c r="D140" s="5"/>
      <c r="E140" s="5"/>
      <c r="F140" s="5"/>
      <c r="G140" s="5"/>
      <c r="H140" s="5"/>
      <c r="I140" s="5" t="str">
        <f>IF(H140="","",VLOOKUP(H140,DB!A:B,2,0))</f>
        <v/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5"/>
      <c r="B141" s="6" t="str">
        <f>IF(A141="","",VLOOKUP(A141,DB!A:B,2,0))</f>
        <v/>
      </c>
      <c r="C141" s="5"/>
      <c r="D141" s="5"/>
      <c r="E141" s="5"/>
      <c r="F141" s="5"/>
      <c r="G141" s="5"/>
      <c r="H141" s="5"/>
      <c r="I141" s="5" t="str">
        <f>IF(H141="","",VLOOKUP(H141,DB!A:B,2,0))</f>
        <v/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5"/>
      <c r="B142" s="6" t="str">
        <f>IF(A142="","",VLOOKUP(A142,DB!A:B,2,0))</f>
        <v/>
      </c>
      <c r="C142" s="5"/>
      <c r="D142" s="5"/>
      <c r="E142" s="5"/>
      <c r="F142" s="5"/>
      <c r="G142" s="5"/>
      <c r="H142" s="5"/>
      <c r="I142" s="5" t="str">
        <f>IF(H142="","",VLOOKUP(H142,DB!A:B,2,0))</f>
        <v/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5"/>
      <c r="B143" s="6" t="str">
        <f>IF(A143="","",VLOOKUP(A143,DB!A:B,2,0))</f>
        <v/>
      </c>
      <c r="C143" s="5"/>
      <c r="D143" s="5"/>
      <c r="E143" s="5"/>
      <c r="F143" s="5"/>
      <c r="G143" s="5"/>
      <c r="H143" s="5"/>
      <c r="I143" s="5" t="str">
        <f>IF(H143="","",VLOOKUP(H143,DB!A:B,2,0))</f>
        <v/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5"/>
      <c r="B144" s="6" t="str">
        <f>IF(A144="","",VLOOKUP(A144,DB!A:B,2,0))</f>
        <v/>
      </c>
      <c r="C144" s="5"/>
      <c r="D144" s="5"/>
      <c r="E144" s="5"/>
      <c r="F144" s="5"/>
      <c r="G144" s="5"/>
      <c r="H144" s="5"/>
      <c r="I144" s="5" t="str">
        <f>IF(H144="","",VLOOKUP(H144,DB!A:B,2,0))</f>
        <v/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5"/>
      <c r="B145" s="6" t="str">
        <f>IF(A145="","",VLOOKUP(A145,DB!A:B,2,0))</f>
        <v/>
      </c>
      <c r="C145" s="5"/>
      <c r="D145" s="5"/>
      <c r="E145" s="5"/>
      <c r="F145" s="5"/>
      <c r="G145" s="5"/>
      <c r="H145" s="5"/>
      <c r="I145" s="5" t="str">
        <f>IF(H145="","",VLOOKUP(H145,DB!A:B,2,0))</f>
        <v/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5"/>
      <c r="B146" s="6" t="str">
        <f>IF(A146="","",VLOOKUP(A146,DB!A:B,2,0))</f>
        <v/>
      </c>
      <c r="C146" s="5"/>
      <c r="D146" s="5"/>
      <c r="E146" s="5"/>
      <c r="F146" s="5"/>
      <c r="G146" s="5"/>
      <c r="H146" s="5"/>
      <c r="I146" s="5" t="str">
        <f>IF(H146="","",VLOOKUP(H146,DB!A:B,2,0))</f>
        <v/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5"/>
      <c r="B147" s="6" t="str">
        <f>IF(A147="","",VLOOKUP(A147,DB!A:B,2,0))</f>
        <v/>
      </c>
      <c r="C147" s="5"/>
      <c r="D147" s="5"/>
      <c r="E147" s="5"/>
      <c r="F147" s="5"/>
      <c r="G147" s="5"/>
      <c r="H147" s="5"/>
      <c r="I147" s="5" t="str">
        <f>IF(H147="","",VLOOKUP(H147,DB!A:B,2,0))</f>
        <v/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5"/>
      <c r="B148" s="6" t="str">
        <f>IF(A148="","",VLOOKUP(A148,DB!A:B,2,0))</f>
        <v/>
      </c>
      <c r="C148" s="5"/>
      <c r="D148" s="5"/>
      <c r="E148" s="5"/>
      <c r="F148" s="5"/>
      <c r="G148" s="5"/>
      <c r="H148" s="5"/>
      <c r="I148" s="5" t="str">
        <f>IF(H148="","",VLOOKUP(H148,DB!A:B,2,0))</f>
        <v/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5"/>
      <c r="B149" s="6" t="str">
        <f>IF(A149="","",VLOOKUP(A149,DB!A:B,2,0))</f>
        <v/>
      </c>
      <c r="C149" s="5"/>
      <c r="D149" s="5"/>
      <c r="E149" s="5"/>
      <c r="F149" s="5"/>
      <c r="G149" s="5"/>
      <c r="H149" s="5"/>
      <c r="I149" s="5" t="str">
        <f>IF(H149="","",VLOOKUP(H149,DB!A:B,2,0))</f>
        <v/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5"/>
      <c r="B150" s="6" t="str">
        <f>IF(A150="","",VLOOKUP(A150,DB!A:B,2,0))</f>
        <v/>
      </c>
      <c r="C150" s="5"/>
      <c r="D150" s="5"/>
      <c r="E150" s="5"/>
      <c r="F150" s="5"/>
      <c r="G150" s="5"/>
      <c r="H150" s="5"/>
      <c r="I150" s="5" t="str">
        <f>IF(H150="","",VLOOKUP(H150,DB!A:B,2,0))</f>
        <v/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5"/>
      <c r="B151" s="6" t="str">
        <f>IF(A151="","",VLOOKUP(A151,DB!A:B,2,0))</f>
        <v/>
      </c>
      <c r="C151" s="5"/>
      <c r="D151" s="5"/>
      <c r="E151" s="5"/>
      <c r="F151" s="5"/>
      <c r="G151" s="5"/>
      <c r="H151" s="5"/>
      <c r="I151" s="5" t="str">
        <f>IF(H151="","",VLOOKUP(H151,DB!A:B,2,0))</f>
        <v/>
      </c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5"/>
      <c r="B152" s="6" t="str">
        <f>IF(A152="","",VLOOKUP(A152,DB!A:B,2,0))</f>
        <v/>
      </c>
      <c r="C152" s="5"/>
      <c r="D152" s="5"/>
      <c r="E152" s="5"/>
      <c r="F152" s="5"/>
      <c r="G152" s="5"/>
      <c r="H152" s="5"/>
      <c r="I152" s="5" t="str">
        <f>IF(H152="","",VLOOKUP(H152,DB!A:B,2,0))</f>
        <v/>
      </c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5"/>
      <c r="B153" s="6" t="str">
        <f>IF(A153="","",VLOOKUP(A153,DB!A:B,2,0))</f>
        <v/>
      </c>
      <c r="C153" s="5"/>
      <c r="D153" s="5"/>
      <c r="E153" s="5"/>
      <c r="F153" s="5"/>
      <c r="G153" s="5"/>
      <c r="H153" s="5"/>
      <c r="I153" s="5" t="str">
        <f>IF(H153="","",VLOOKUP(H153,DB!A:B,2,0))</f>
        <v/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5"/>
      <c r="B154" s="6" t="str">
        <f>IF(A154="","",VLOOKUP(A154,DB!A:B,2,0))</f>
        <v/>
      </c>
      <c r="C154" s="5"/>
      <c r="D154" s="5"/>
      <c r="E154" s="5"/>
      <c r="F154" s="5"/>
      <c r="G154" s="5"/>
      <c r="H154" s="5"/>
      <c r="I154" s="5" t="str">
        <f>IF(H154="","",VLOOKUP(H154,DB!A:B,2,0))</f>
        <v/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5"/>
      <c r="B155" s="6" t="str">
        <f>IF(A155="","",VLOOKUP(A155,DB!A:B,2,0))</f>
        <v/>
      </c>
      <c r="C155" s="5"/>
      <c r="D155" s="5"/>
      <c r="E155" s="5"/>
      <c r="F155" s="5"/>
      <c r="G155" s="5"/>
      <c r="H155" s="5"/>
      <c r="I155" s="5" t="str">
        <f>IF(H155="","",VLOOKUP(H155,DB!A:B,2,0))</f>
        <v/>
      </c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5"/>
      <c r="B156" s="6" t="str">
        <f>IF(A156="","",VLOOKUP(A156,DB!A:B,2,0))</f>
        <v/>
      </c>
      <c r="C156" s="5"/>
      <c r="D156" s="5"/>
      <c r="E156" s="5"/>
      <c r="F156" s="5"/>
      <c r="G156" s="5"/>
      <c r="H156" s="5"/>
      <c r="I156" s="5" t="str">
        <f>IF(H156="","",VLOOKUP(H156,DB!A:B,2,0))</f>
        <v/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5"/>
      <c r="B157" s="6" t="str">
        <f>IF(A157="","",VLOOKUP(A157,DB!A:B,2,0))</f>
        <v/>
      </c>
      <c r="C157" s="5"/>
      <c r="D157" s="5"/>
      <c r="E157" s="5"/>
      <c r="F157" s="5"/>
      <c r="G157" s="5"/>
      <c r="H157" s="5"/>
      <c r="I157" s="5" t="str">
        <f>IF(H157="","",VLOOKUP(H157,DB!A:B,2,0))</f>
        <v/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5"/>
      <c r="B158" s="6" t="str">
        <f>IF(A158="","",VLOOKUP(A158,DB!A:B,2,0))</f>
        <v/>
      </c>
      <c r="C158" s="5"/>
      <c r="D158" s="5"/>
      <c r="E158" s="5"/>
      <c r="F158" s="5"/>
      <c r="G158" s="5"/>
      <c r="H158" s="5"/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5"/>
      <c r="B159" s="6" t="str">
        <f>IF(A159="","",VLOOKUP(A159,DB!A:B,2,0))</f>
        <v/>
      </c>
      <c r="C159" s="5"/>
      <c r="D159" s="5"/>
      <c r="E159" s="5"/>
      <c r="F159" s="5"/>
      <c r="G159" s="5"/>
      <c r="H159" s="5"/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5"/>
      <c r="B160" s="6" t="str">
        <f>IF(A160="","",VLOOKUP(A160,DB!A:B,2,0))</f>
        <v/>
      </c>
      <c r="C160" s="5"/>
      <c r="D160" s="5"/>
      <c r="E160" s="5"/>
      <c r="F160" s="5"/>
      <c r="G160" s="5"/>
      <c r="H160" s="5"/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5"/>
      <c r="B161" s="6" t="str">
        <f>IF(A161="","",VLOOKUP(A161,DB!A:B,2,0))</f>
        <v/>
      </c>
      <c r="C161" s="5"/>
      <c r="D161" s="5"/>
      <c r="E161" s="5"/>
      <c r="F161" s="5"/>
      <c r="G161" s="5"/>
      <c r="H161" s="5"/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5"/>
      <c r="B162" s="6" t="str">
        <f>IF(A162="","",VLOOKUP(A162,DB!A:B,2,0))</f>
        <v/>
      </c>
      <c r="C162" s="5"/>
      <c r="D162" s="5"/>
      <c r="E162" s="5"/>
      <c r="F162" s="5"/>
      <c r="G162" s="5"/>
      <c r="H162" s="5"/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5"/>
      <c r="B163" s="6" t="str">
        <f>IF(A163="","",VLOOKUP(A163,DB!A:B,2,0))</f>
        <v/>
      </c>
      <c r="C163" s="5"/>
      <c r="D163" s="5"/>
      <c r="E163" s="5"/>
      <c r="F163" s="5"/>
      <c r="G163" s="5"/>
      <c r="H163" s="5"/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5"/>
      <c r="B164" s="6" t="str">
        <f>IF(A164="","",VLOOKUP(A164,DB!A:B,2,0))</f>
        <v/>
      </c>
      <c r="C164" s="5"/>
      <c r="D164" s="5"/>
      <c r="E164" s="5"/>
      <c r="F164" s="5"/>
      <c r="G164" s="5"/>
      <c r="H164" s="5"/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5"/>
      <c r="B165" s="6" t="str">
        <f>IF(A165="","",VLOOKUP(A165,DB!A:B,2,0))</f>
        <v/>
      </c>
      <c r="C165" s="5"/>
      <c r="D165" s="5"/>
      <c r="E165" s="5"/>
      <c r="F165" s="5"/>
      <c r="G165" s="5"/>
      <c r="H165" s="5"/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5"/>
      <c r="B166" s="6" t="str">
        <f>IF(A166="","",VLOOKUP(A166,DB!A:B,2,0))</f>
        <v/>
      </c>
      <c r="C166" s="5"/>
      <c r="D166" s="5"/>
      <c r="E166" s="5"/>
      <c r="F166" s="5"/>
      <c r="G166" s="5"/>
      <c r="H166" s="5"/>
      <c r="I166" s="5" t="str">
        <f>IF(H166="","",VLOOKUP(H166,DB!A:B,2,0))</f>
        <v/>
      </c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5"/>
      <c r="B167" s="6" t="str">
        <f>IF(A167="","",VLOOKUP(A167,DB!A:B,2,0))</f>
        <v/>
      </c>
      <c r="C167" s="5"/>
      <c r="D167" s="5"/>
      <c r="E167" s="5"/>
      <c r="F167" s="5"/>
      <c r="G167" s="5"/>
      <c r="H167" s="5"/>
      <c r="I167" s="5" t="str">
        <f>IF(H167="","",VLOOKUP(H167,DB!A:B,2,0))</f>
        <v/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5"/>
      <c r="B168" s="6" t="str">
        <f>IF(A168="","",VLOOKUP(A168,DB!A:B,2,0))</f>
        <v/>
      </c>
      <c r="C168" s="5"/>
      <c r="D168" s="5"/>
      <c r="E168" s="5"/>
      <c r="F168" s="5"/>
      <c r="G168" s="5"/>
      <c r="H168" s="5"/>
      <c r="I168" s="5" t="str">
        <f>IF(H168="","",VLOOKUP(H168,DB!A:B,2,0))</f>
        <v/>
      </c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5"/>
      <c r="B169" s="6" t="str">
        <f>IF(A169="","",VLOOKUP(A169,DB!A:B,2,0))</f>
        <v/>
      </c>
      <c r="C169" s="5"/>
      <c r="D169" s="5"/>
      <c r="E169" s="5"/>
      <c r="F169" s="5"/>
      <c r="G169" s="5"/>
      <c r="H169" s="5"/>
      <c r="I169" s="5" t="str">
        <f>IF(H169="","",VLOOKUP(H169,DB!A:B,2,0))</f>
        <v/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5"/>
      <c r="B170" s="6" t="str">
        <f>IF(A170="","",VLOOKUP(A170,DB!A:B,2,0))</f>
        <v/>
      </c>
      <c r="C170" s="5"/>
      <c r="D170" s="5"/>
      <c r="E170" s="5"/>
      <c r="F170" s="5"/>
      <c r="G170" s="5"/>
      <c r="H170" s="5"/>
      <c r="I170" s="5" t="str">
        <f>IF(H170="","",VLOOKUP(H170,DB!A:B,2,0))</f>
        <v/>
      </c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5"/>
      <c r="B171" s="6" t="str">
        <f>IF(A171="","",VLOOKUP(A171,DB!A:B,2,0))</f>
        <v/>
      </c>
      <c r="C171" s="5"/>
      <c r="D171" s="5"/>
      <c r="E171" s="5"/>
      <c r="F171" s="5"/>
      <c r="G171" s="5"/>
      <c r="H171" s="5"/>
      <c r="I171" s="5" t="str">
        <f>IF(H171="","",VLOOKUP(H171,DB!A:B,2,0))</f>
        <v/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5"/>
      <c r="B172" s="6" t="str">
        <f>IF(A172="","",VLOOKUP(A172,DB!A:B,2,0))</f>
        <v/>
      </c>
      <c r="C172" s="5"/>
      <c r="D172" s="5"/>
      <c r="E172" s="5"/>
      <c r="F172" s="5"/>
      <c r="G172" s="5"/>
      <c r="H172" s="5"/>
      <c r="I172" s="5" t="str">
        <f>IF(H172="","",VLOOKUP(H172,DB!A:B,2,0))</f>
        <v/>
      </c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5"/>
      <c r="B173" s="6" t="str">
        <f>IF(A173="","",VLOOKUP(A173,DB!A:B,2,0))</f>
        <v/>
      </c>
      <c r="C173" s="5"/>
      <c r="D173" s="5"/>
      <c r="E173" s="5"/>
      <c r="F173" s="5"/>
      <c r="G173" s="5"/>
      <c r="H173" s="5"/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5"/>
      <c r="B174" s="6" t="str">
        <f>IF(A174="","",VLOOKUP(A174,DB!A:B,2,0))</f>
        <v/>
      </c>
      <c r="C174" s="5"/>
      <c r="D174" s="5"/>
      <c r="E174" s="5"/>
      <c r="F174" s="5"/>
      <c r="G174" s="5"/>
      <c r="H174" s="5"/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5"/>
      <c r="B175" s="6" t="str">
        <f>IF(A175="","",VLOOKUP(A175,DB!A:B,2,0))</f>
        <v/>
      </c>
      <c r="C175" s="5"/>
      <c r="D175" s="5"/>
      <c r="E175" s="5"/>
      <c r="F175" s="5"/>
      <c r="G175" s="5"/>
      <c r="H175" s="5"/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5"/>
      <c r="B176" s="6" t="str">
        <f>IF(A176="","",VLOOKUP(A176,DB!A:B,2,0))</f>
        <v/>
      </c>
      <c r="C176" s="5"/>
      <c r="D176" s="5"/>
      <c r="E176" s="5"/>
      <c r="F176" s="5"/>
      <c r="G176" s="5"/>
      <c r="H176" s="5"/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5"/>
      <c r="B177" s="6" t="str">
        <f>IF(A177="","",VLOOKUP(A177,DB!A:B,2,0))</f>
        <v/>
      </c>
      <c r="C177" s="5"/>
      <c r="D177" s="5"/>
      <c r="E177" s="5"/>
      <c r="F177" s="5"/>
      <c r="G177" s="5"/>
      <c r="H177" s="5"/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5"/>
      <c r="B178" s="6" t="str">
        <f>IF(A178="","",VLOOKUP(A178,DB!A:B,2,0))</f>
        <v/>
      </c>
      <c r="C178" s="5"/>
      <c r="D178" s="5"/>
      <c r="E178" s="5"/>
      <c r="F178" s="5"/>
      <c r="G178" s="5"/>
      <c r="H178" s="5"/>
      <c r="I178" s="5" t="str">
        <f>IF(H178="","",VLOOKUP(H178,DB!A:B,2,0))</f>
        <v/>
      </c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5"/>
      <c r="B179" s="6" t="str">
        <f>IF(A179="","",VLOOKUP(A179,DB!A:B,2,0))</f>
        <v/>
      </c>
      <c r="C179" s="5"/>
      <c r="D179" s="5"/>
      <c r="E179" s="5"/>
      <c r="F179" s="5"/>
      <c r="G179" s="5"/>
      <c r="H179" s="5"/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5"/>
      <c r="B180" s="6" t="str">
        <f>IF(A180="","",VLOOKUP(A180,DB!A:B,2,0))</f>
        <v/>
      </c>
      <c r="C180" s="5"/>
      <c r="D180" s="5"/>
      <c r="E180" s="5"/>
      <c r="F180" s="5"/>
      <c r="G180" s="5"/>
      <c r="H180" s="5"/>
      <c r="I180" s="5" t="str">
        <f>IF(H180="","",VLOOKUP(H180,DB!A:B,2,0))</f>
        <v/>
      </c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5"/>
      <c r="B181" s="6" t="str">
        <f>IF(A181="","",VLOOKUP(A181,DB!A:B,2,0))</f>
        <v/>
      </c>
      <c r="C181" s="5"/>
      <c r="D181" s="5"/>
      <c r="E181" s="5"/>
      <c r="F181" s="5"/>
      <c r="G181" s="5"/>
      <c r="H181" s="5"/>
      <c r="I181" s="5" t="str">
        <f>IF(H181="","",VLOOKUP(H181,DB!A:B,2,0))</f>
        <v/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5"/>
      <c r="B182" s="6" t="str">
        <f>IF(A182="","",VLOOKUP(A182,DB!A:B,2,0))</f>
        <v/>
      </c>
      <c r="C182" s="5"/>
      <c r="D182" s="5"/>
      <c r="E182" s="5"/>
      <c r="F182" s="5"/>
      <c r="G182" s="5"/>
      <c r="H182" s="5"/>
      <c r="I182" s="5" t="str">
        <f>IF(H182="","",VLOOKUP(H182,DB!A:B,2,0))</f>
        <v/>
      </c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5"/>
      <c r="B183" s="6" t="str">
        <f>IF(A183="","",VLOOKUP(A183,DB!A:B,2,0))</f>
        <v/>
      </c>
      <c r="C183" s="5"/>
      <c r="D183" s="5"/>
      <c r="E183" s="5"/>
      <c r="F183" s="5"/>
      <c r="G183" s="5"/>
      <c r="H183" s="5"/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5"/>
      <c r="B184" s="6" t="str">
        <f>IF(A184="","",VLOOKUP(A184,DB!A:B,2,0))</f>
        <v/>
      </c>
      <c r="C184" s="5"/>
      <c r="D184" s="5"/>
      <c r="E184" s="5"/>
      <c r="F184" s="5"/>
      <c r="G184" s="5"/>
      <c r="H184" s="5"/>
      <c r="I184" s="5" t="str">
        <f>IF(H184="","",VLOOKUP(H184,DB!A:B,2,0))</f>
        <v/>
      </c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5"/>
      <c r="B185" s="6" t="str">
        <f>IF(A185="","",VLOOKUP(A185,DB!A:B,2,0))</f>
        <v/>
      </c>
      <c r="C185" s="5"/>
      <c r="D185" s="5"/>
      <c r="E185" s="5"/>
      <c r="F185" s="5"/>
      <c r="G185" s="5"/>
      <c r="H185" s="5"/>
      <c r="I185" s="5" t="str">
        <f>IF(H185="","",VLOOKUP(H185,DB!A:B,2,0))</f>
        <v/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5"/>
      <c r="B186" s="6" t="str">
        <f>IF(A186="","",VLOOKUP(A186,DB!A:B,2,0))</f>
        <v/>
      </c>
      <c r="C186" s="5"/>
      <c r="D186" s="5"/>
      <c r="E186" s="5"/>
      <c r="F186" s="5"/>
      <c r="G186" s="5"/>
      <c r="H186" s="5"/>
      <c r="I186" s="5" t="str">
        <f>IF(H186="","",VLOOKUP(H186,DB!A:B,2,0))</f>
        <v/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5"/>
      <c r="B187" s="6" t="str">
        <f>IF(A187="","",VLOOKUP(A187,DB!A:B,2,0))</f>
        <v/>
      </c>
      <c r="C187" s="5"/>
      <c r="D187" s="5"/>
      <c r="E187" s="5"/>
      <c r="F187" s="5"/>
      <c r="G187" s="5"/>
      <c r="H187" s="5"/>
      <c r="I187" s="5" t="str">
        <f>IF(H187="","",VLOOKUP(H187,DB!A:B,2,0))</f>
        <v/>
      </c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5"/>
      <c r="B188" s="6" t="str">
        <f>IF(A188="","",VLOOKUP(A188,DB!A:B,2,0))</f>
        <v/>
      </c>
      <c r="C188" s="5"/>
      <c r="D188" s="5"/>
      <c r="E188" s="5"/>
      <c r="F188" s="5"/>
      <c r="G188" s="5"/>
      <c r="H188" s="5"/>
      <c r="I188" s="5" t="str">
        <f>IF(H188="","",VLOOKUP(H188,DB!A:B,2,0))</f>
        <v/>
      </c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5"/>
      <c r="B189" s="6" t="str">
        <f>IF(A189="","",VLOOKUP(A189,DB!A:B,2,0))</f>
        <v/>
      </c>
      <c r="C189" s="5"/>
      <c r="D189" s="5"/>
      <c r="E189" s="5"/>
      <c r="F189" s="5"/>
      <c r="G189" s="5"/>
      <c r="H189" s="5"/>
      <c r="I189" s="5" t="str">
        <f>IF(H189="","",VLOOKUP(H189,DB!A:B,2,0))</f>
        <v/>
      </c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5"/>
      <c r="B190" s="6" t="str">
        <f>IF(A190="","",VLOOKUP(A190,DB!A:B,2,0))</f>
        <v/>
      </c>
      <c r="C190" s="5"/>
      <c r="D190" s="5"/>
      <c r="E190" s="5"/>
      <c r="F190" s="5"/>
      <c r="G190" s="5"/>
      <c r="H190" s="5"/>
      <c r="I190" s="5" t="str">
        <f>IF(H190="","",VLOOKUP(H190,DB!A:B,2,0))</f>
        <v/>
      </c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5"/>
      <c r="B191" s="6" t="str">
        <f>IF(A191="","",VLOOKUP(A191,DB!A:B,2,0))</f>
        <v/>
      </c>
      <c r="C191" s="5"/>
      <c r="D191" s="5"/>
      <c r="E191" s="5"/>
      <c r="F191" s="5"/>
      <c r="G191" s="5"/>
      <c r="H191" s="5"/>
      <c r="I191" s="5" t="str">
        <f>IF(H191="","",VLOOKUP(H191,DB!A:B,2,0))</f>
        <v/>
      </c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5"/>
      <c r="B192" s="6" t="str">
        <f>IF(A192="","",VLOOKUP(A192,DB!A:B,2,0))</f>
        <v/>
      </c>
      <c r="C192" s="5"/>
      <c r="D192" s="5"/>
      <c r="E192" s="5"/>
      <c r="F192" s="5"/>
      <c r="G192" s="5"/>
      <c r="H192" s="5"/>
      <c r="I192" s="5" t="str">
        <f>IF(H192="","",VLOOKUP(H192,DB!A:B,2,0))</f>
        <v/>
      </c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5"/>
      <c r="B193" s="6" t="str">
        <f>IF(A193="","",VLOOKUP(A193,DB!A:B,2,0))</f>
        <v/>
      </c>
      <c r="C193" s="5"/>
      <c r="D193" s="5"/>
      <c r="E193" s="5"/>
      <c r="F193" s="5"/>
      <c r="G193" s="5"/>
      <c r="H193" s="5"/>
      <c r="I193" s="5" t="str">
        <f>IF(H193="","",VLOOKUP(H193,DB!A:B,2,0))</f>
        <v/>
      </c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5"/>
      <c r="B194" s="6" t="str">
        <f>IF(A194="","",VLOOKUP(A194,DB!A:B,2,0))</f>
        <v/>
      </c>
      <c r="C194" s="5"/>
      <c r="D194" s="5"/>
      <c r="E194" s="5"/>
      <c r="F194" s="5"/>
      <c r="G194" s="5"/>
      <c r="H194" s="5"/>
      <c r="I194" s="5" t="str">
        <f>IF(H194="","",VLOOKUP(H194,DB!A:B,2,0))</f>
        <v/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5"/>
      <c r="B195" s="6" t="str">
        <f>IF(A195="","",VLOOKUP(A195,DB!A:B,2,0))</f>
        <v/>
      </c>
      <c r="C195" s="5"/>
      <c r="D195" s="5"/>
      <c r="E195" s="5"/>
      <c r="F195" s="5"/>
      <c r="G195" s="5"/>
      <c r="H195" s="5"/>
      <c r="I195" s="5" t="str">
        <f>IF(H195="","",VLOOKUP(H195,DB!A:B,2,0))</f>
        <v/>
      </c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5"/>
      <c r="B196" s="6" t="str">
        <f>IF(A196="","",VLOOKUP(A196,DB!A:B,2,0))</f>
        <v/>
      </c>
      <c r="C196" s="5"/>
      <c r="D196" s="5"/>
      <c r="E196" s="5"/>
      <c r="F196" s="5"/>
      <c r="G196" s="5"/>
      <c r="H196" s="5"/>
      <c r="I196" s="5" t="str">
        <f>IF(H196="","",VLOOKUP(H196,DB!A:B,2,0))</f>
        <v/>
      </c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5"/>
      <c r="B197" s="6" t="str">
        <f>IF(A197="","",VLOOKUP(A197,DB!A:B,2,0))</f>
        <v/>
      </c>
      <c r="C197" s="5"/>
      <c r="D197" s="5"/>
      <c r="E197" s="5"/>
      <c r="F197" s="5"/>
      <c r="G197" s="5"/>
      <c r="H197" s="5"/>
      <c r="I197" s="5" t="str">
        <f>IF(H197="","",VLOOKUP(H197,DB!A:B,2,0))</f>
        <v/>
      </c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5"/>
      <c r="B198" s="6" t="str">
        <f>IF(A198="","",VLOOKUP(A198,DB!A:B,2,0))</f>
        <v/>
      </c>
      <c r="C198" s="5"/>
      <c r="D198" s="5"/>
      <c r="E198" s="5"/>
      <c r="F198" s="5"/>
      <c r="G198" s="5"/>
      <c r="H198" s="5"/>
      <c r="I198" s="5" t="str">
        <f>IF(H198="","",VLOOKUP(H198,DB!A:B,2,0))</f>
        <v/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5"/>
      <c r="B199" s="6" t="str">
        <f>IF(A199="","",VLOOKUP(A199,DB!A:B,2,0))</f>
        <v/>
      </c>
      <c r="C199" s="5"/>
      <c r="D199" s="5"/>
      <c r="E199" s="5"/>
      <c r="F199" s="5"/>
      <c r="G199" s="5"/>
      <c r="H199" s="5"/>
      <c r="I199" s="5" t="str">
        <f>IF(H199="","",VLOOKUP(H199,DB!A:B,2,0))</f>
        <v/>
      </c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5"/>
      <c r="B200" s="6" t="str">
        <f>IF(A200="","",VLOOKUP(A200,DB!A:B,2,0))</f>
        <v/>
      </c>
      <c r="C200" s="5"/>
      <c r="D200" s="5"/>
      <c r="E200" s="5"/>
      <c r="F200" s="5"/>
      <c r="G200" s="5"/>
      <c r="H200" s="5"/>
      <c r="I200" s="5" t="str">
        <f>IF(H200="","",VLOOKUP(H200,DB!A:B,2,0))</f>
        <v/>
      </c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5"/>
      <c r="B201" s="6" t="str">
        <f>IF(A201="","",VLOOKUP(A201,DB!A:B,2,0))</f>
        <v/>
      </c>
      <c r="C201" s="5"/>
      <c r="D201" s="5"/>
      <c r="E201" s="5"/>
      <c r="F201" s="5"/>
      <c r="G201" s="5"/>
      <c r="H201" s="5"/>
      <c r="I201" s="5" t="str">
        <f>IF(H201="","",VLOOKUP(H201,DB!A:B,2,0))</f>
        <v/>
      </c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5"/>
      <c r="B202" s="6" t="str">
        <f>IF(A202="","",VLOOKUP(A202,DB!A:B,2,0))</f>
        <v/>
      </c>
      <c r="C202" s="5"/>
      <c r="D202" s="5"/>
      <c r="E202" s="5"/>
      <c r="F202" s="5"/>
      <c r="G202" s="5"/>
      <c r="H202" s="5"/>
      <c r="I202" s="5" t="str">
        <f>IF(H202="","",VLOOKUP(H202,DB!A:B,2,0))</f>
        <v/>
      </c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5"/>
      <c r="B203" s="6" t="str">
        <f>IF(A203="","",VLOOKUP(A203,DB!A:B,2,0))</f>
        <v/>
      </c>
      <c r="C203" s="5"/>
      <c r="D203" s="5"/>
      <c r="E203" s="5"/>
      <c r="F203" s="5"/>
      <c r="G203" s="5"/>
      <c r="H203" s="5"/>
      <c r="I203" s="5" t="str">
        <f>IF(H203="","",VLOOKUP(H203,DB!A:B,2,0))</f>
        <v/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5"/>
      <c r="B204" s="6" t="str">
        <f>IF(A204="","",VLOOKUP(A204,DB!A:B,2,0))</f>
        <v/>
      </c>
      <c r="C204" s="5"/>
      <c r="D204" s="5"/>
      <c r="E204" s="5"/>
      <c r="F204" s="5"/>
      <c r="G204" s="5"/>
      <c r="H204" s="5"/>
      <c r="I204" s="5" t="str">
        <f>IF(H204="","",VLOOKUP(H204,DB!A:B,2,0))</f>
        <v/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5"/>
      <c r="B205" s="6" t="str">
        <f>IF(A205="","",VLOOKUP(A205,DB!A:B,2,0))</f>
        <v/>
      </c>
      <c r="C205" s="5"/>
      <c r="D205" s="5"/>
      <c r="E205" s="5"/>
      <c r="F205" s="5"/>
      <c r="G205" s="5"/>
      <c r="H205" s="5"/>
      <c r="I205" s="5" t="str">
        <f>IF(H205="","",VLOOKUP(H205,DB!A:B,2,0))</f>
        <v/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5"/>
      <c r="B206" s="6" t="str">
        <f>IF(A206="","",VLOOKUP(A206,DB!A:B,2,0))</f>
        <v/>
      </c>
      <c r="C206" s="5"/>
      <c r="D206" s="5"/>
      <c r="E206" s="5"/>
      <c r="F206" s="5"/>
      <c r="G206" s="5"/>
      <c r="H206" s="5"/>
      <c r="I206" s="5" t="str">
        <f>IF(H206="","",VLOOKUP(H206,DB!A:B,2,0))</f>
        <v/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5"/>
      <c r="B207" s="6" t="str">
        <f>IF(A207="","",VLOOKUP(A207,DB!A:B,2,0))</f>
        <v/>
      </c>
      <c r="C207" s="5"/>
      <c r="D207" s="5"/>
      <c r="E207" s="5"/>
      <c r="F207" s="5"/>
      <c r="G207" s="5"/>
      <c r="H207" s="5"/>
      <c r="I207" s="5" t="str">
        <f>IF(H207="","",VLOOKUP(H207,DB!A:B,2,0))</f>
        <v/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5"/>
      <c r="B208" s="6" t="str">
        <f>IF(A208="","",VLOOKUP(A208,DB!A:B,2,0))</f>
        <v/>
      </c>
      <c r="C208" s="5"/>
      <c r="D208" s="5"/>
      <c r="E208" s="5"/>
      <c r="F208" s="5"/>
      <c r="G208" s="5"/>
      <c r="H208" s="5"/>
      <c r="I208" s="5" t="str">
        <f>IF(H208="","",VLOOKUP(H208,DB!A:B,2,0))</f>
        <v/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5"/>
      <c r="B209" s="6" t="str">
        <f>IF(A209="","",VLOOKUP(A209,DB!A:B,2,0))</f>
        <v/>
      </c>
      <c r="C209" s="5"/>
      <c r="D209" s="5"/>
      <c r="E209" s="5"/>
      <c r="F209" s="5"/>
      <c r="G209" s="5"/>
      <c r="H209" s="5"/>
      <c r="I209" s="5" t="str">
        <f>IF(H209="","",VLOOKUP(H209,DB!A:B,2,0))</f>
        <v/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5"/>
      <c r="B210" s="6" t="str">
        <f>IF(A210="","",VLOOKUP(A210,DB!A:B,2,0))</f>
        <v/>
      </c>
      <c r="C210" s="5"/>
      <c r="D210" s="5"/>
      <c r="E210" s="5"/>
      <c r="F210" s="5"/>
      <c r="G210" s="5"/>
      <c r="H210" s="5"/>
      <c r="I210" s="5" t="str">
        <f>IF(H210="","",VLOOKUP(H210,DB!A:B,2,0))</f>
        <v/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5"/>
      <c r="B211" s="6" t="str">
        <f>IF(A211="","",VLOOKUP(A211,DB!A:B,2,0))</f>
        <v/>
      </c>
      <c r="C211" s="5"/>
      <c r="D211" s="5"/>
      <c r="E211" s="5"/>
      <c r="F211" s="5"/>
      <c r="G211" s="5"/>
      <c r="H211" s="5"/>
      <c r="I211" s="5" t="str">
        <f>IF(H211="","",VLOOKUP(H211,DB!A:B,2,0))</f>
        <v/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5"/>
      <c r="B212" s="6" t="str">
        <f>IF(A212="","",VLOOKUP(A212,DB!A:B,2,0))</f>
        <v/>
      </c>
      <c r="C212" s="5"/>
      <c r="D212" s="5"/>
      <c r="E212" s="5"/>
      <c r="F212" s="5"/>
      <c r="G212" s="5"/>
      <c r="H212" s="5"/>
      <c r="I212" s="5" t="str">
        <f>IF(H212="","",VLOOKUP(H212,DB!A:B,2,0))</f>
        <v/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5"/>
      <c r="B213" s="6" t="str">
        <f>IF(A213="","",VLOOKUP(A213,DB!A:B,2,0))</f>
        <v/>
      </c>
      <c r="C213" s="5"/>
      <c r="D213" s="5"/>
      <c r="E213" s="5"/>
      <c r="F213" s="5"/>
      <c r="G213" s="5"/>
      <c r="H213" s="5"/>
      <c r="I213" s="5" t="str">
        <f>IF(H213="","",VLOOKUP(H213,DB!A:B,2,0))</f>
        <v/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5"/>
      <c r="B214" s="6" t="str">
        <f>IF(A214="","",VLOOKUP(A214,DB!A:B,2,0))</f>
        <v/>
      </c>
      <c r="C214" s="5"/>
      <c r="D214" s="5"/>
      <c r="E214" s="5"/>
      <c r="F214" s="5"/>
      <c r="G214" s="5"/>
      <c r="H214" s="5"/>
      <c r="I214" s="5" t="str">
        <f>IF(H214="","",VLOOKUP(H214,DB!A:B,2,0))</f>
        <v/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5"/>
      <c r="B215" s="6" t="str">
        <f>IF(A215="","",VLOOKUP(A215,DB!A:B,2,0))</f>
        <v/>
      </c>
      <c r="C215" s="5"/>
      <c r="D215" s="5"/>
      <c r="E215" s="5"/>
      <c r="F215" s="5"/>
      <c r="G215" s="5"/>
      <c r="H215" s="5"/>
      <c r="I215" s="5" t="str">
        <f>IF(H215="","",VLOOKUP(H215,DB!A:B,2,0))</f>
        <v/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5"/>
      <c r="B216" s="6" t="str">
        <f>IF(A216="","",VLOOKUP(A216,DB!A:B,2,0))</f>
        <v/>
      </c>
      <c r="C216" s="5"/>
      <c r="D216" s="5"/>
      <c r="E216" s="5"/>
      <c r="F216" s="5"/>
      <c r="G216" s="5"/>
      <c r="H216" s="5"/>
      <c r="I216" s="5" t="str">
        <f>IF(H216="","",VLOOKUP(H216,DB!A:B,2,0))</f>
        <v/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5"/>
      <c r="B217" s="6" t="str">
        <f>IF(A217="","",VLOOKUP(A217,DB!A:B,2,0))</f>
        <v/>
      </c>
      <c r="C217" s="5"/>
      <c r="D217" s="5"/>
      <c r="E217" s="5"/>
      <c r="F217" s="5"/>
      <c r="G217" s="5"/>
      <c r="H217" s="5"/>
      <c r="I217" s="5" t="str">
        <f>IF(H217="","",VLOOKUP(H217,DB!A:B,2,0))</f>
        <v/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5"/>
      <c r="B218" s="6" t="str">
        <f>IF(A218="","",VLOOKUP(A218,DB!A:B,2,0))</f>
        <v/>
      </c>
      <c r="C218" s="5"/>
      <c r="D218" s="5"/>
      <c r="E218" s="5"/>
      <c r="F218" s="5"/>
      <c r="G218" s="5"/>
      <c r="H218" s="5"/>
      <c r="I218" s="5" t="str">
        <f>IF(H218="","",VLOOKUP(H218,DB!A:B,2,0))</f>
        <v/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5"/>
      <c r="B219" s="6" t="str">
        <f>IF(A219="","",VLOOKUP(A219,DB!A:B,2,0))</f>
        <v/>
      </c>
      <c r="C219" s="5"/>
      <c r="D219" s="5"/>
      <c r="E219" s="5"/>
      <c r="F219" s="5"/>
      <c r="G219" s="5"/>
      <c r="H219" s="5"/>
      <c r="I219" s="5" t="str">
        <f>IF(H219="","",VLOOKUP(H219,DB!A:B,2,0))</f>
        <v/>
      </c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5"/>
      <c r="B220" s="6" t="str">
        <f>IF(A220="","",VLOOKUP(A220,DB!A:B,2,0))</f>
        <v/>
      </c>
      <c r="C220" s="5"/>
      <c r="D220" s="5"/>
      <c r="E220" s="5"/>
      <c r="F220" s="5"/>
      <c r="G220" s="5"/>
      <c r="H220" s="5"/>
      <c r="I220" s="5" t="str">
        <f>IF(H220="","",VLOOKUP(H220,DB!A:B,2,0))</f>
        <v/>
      </c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5"/>
      <c r="B221" s="6" t="str">
        <f>IF(A221="","",VLOOKUP(A221,DB!A:B,2,0))</f>
        <v/>
      </c>
      <c r="C221" s="5"/>
      <c r="D221" s="5"/>
      <c r="E221" s="5"/>
      <c r="F221" s="5"/>
      <c r="G221" s="5"/>
      <c r="H221" s="5"/>
      <c r="I221" s="5" t="str">
        <f>IF(H221="","",VLOOKUP(H221,DB!A:B,2,0))</f>
        <v/>
      </c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5"/>
      <c r="B222" s="6" t="str">
        <f>IF(A222="","",VLOOKUP(A222,DB!A:B,2,0))</f>
        <v/>
      </c>
      <c r="C222" s="5"/>
      <c r="D222" s="5"/>
      <c r="E222" s="5"/>
      <c r="F222" s="5"/>
      <c r="G222" s="5"/>
      <c r="H222" s="5"/>
      <c r="I222" s="5" t="str">
        <f>IF(H222="","",VLOOKUP(H222,DB!A:B,2,0))</f>
        <v/>
      </c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5"/>
      <c r="B223" s="6" t="str">
        <f>IF(A223="","",VLOOKUP(A223,DB!A:B,2,0))</f>
        <v/>
      </c>
      <c r="C223" s="5"/>
      <c r="D223" s="5"/>
      <c r="E223" s="5"/>
      <c r="F223" s="5"/>
      <c r="G223" s="5"/>
      <c r="H223" s="5"/>
      <c r="I223" s="5" t="str">
        <f>IF(H223="","",VLOOKUP(H223,DB!A:B,2,0))</f>
        <v/>
      </c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5"/>
      <c r="B224" s="6" t="str">
        <f>IF(A224="","",VLOOKUP(A224,DB!A:B,2,0))</f>
        <v/>
      </c>
      <c r="C224" s="5"/>
      <c r="D224" s="5"/>
      <c r="E224" s="5"/>
      <c r="F224" s="5"/>
      <c r="G224" s="5"/>
      <c r="H224" s="5"/>
      <c r="I224" s="5" t="str">
        <f>IF(H224="","",VLOOKUP(H224,DB!A:B,2,0))</f>
        <v/>
      </c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5"/>
      <c r="B225" s="6" t="str">
        <f>IF(A225="","",VLOOKUP(A225,DB!A:B,2,0))</f>
        <v/>
      </c>
      <c r="C225" s="5"/>
      <c r="D225" s="5"/>
      <c r="E225" s="5"/>
      <c r="F225" s="5"/>
      <c r="G225" s="5"/>
      <c r="H225" s="5"/>
      <c r="I225" s="5" t="str">
        <f>IF(H225="","",VLOOKUP(H225,DB!A:B,2,0))</f>
        <v/>
      </c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5"/>
      <c r="B226" s="6" t="str">
        <f>IF(A226="","",VLOOKUP(A226,DB!A:B,2,0))</f>
        <v/>
      </c>
      <c r="C226" s="5"/>
      <c r="D226" s="5"/>
      <c r="E226" s="5"/>
      <c r="F226" s="5"/>
      <c r="G226" s="5"/>
      <c r="H226" s="5"/>
      <c r="I226" s="5" t="str">
        <f>IF(H226="","",VLOOKUP(H226,DB!A:B,2,0))</f>
        <v/>
      </c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5"/>
      <c r="B227" s="6" t="str">
        <f>IF(A227="","",VLOOKUP(A227,DB!A:B,2,0))</f>
        <v/>
      </c>
      <c r="C227" s="5"/>
      <c r="D227" s="5"/>
      <c r="E227" s="5"/>
      <c r="F227" s="5"/>
      <c r="G227" s="5"/>
      <c r="H227" s="5"/>
      <c r="I227" s="5" t="str">
        <f>IF(H227="","",VLOOKUP(H227,DB!A:B,2,0))</f>
        <v/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5"/>
      <c r="B228" s="6" t="str">
        <f>IF(A228="","",VLOOKUP(A228,DB!A:B,2,0))</f>
        <v/>
      </c>
      <c r="C228" s="5"/>
      <c r="D228" s="5"/>
      <c r="E228" s="5"/>
      <c r="F228" s="5"/>
      <c r="G228" s="5"/>
      <c r="H228" s="5"/>
      <c r="I228" s="5" t="str">
        <f>IF(H228="","",VLOOKUP(H228,DB!A:B,2,0))</f>
        <v/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5"/>
      <c r="B229" s="6" t="str">
        <f>IF(A229="","",VLOOKUP(A229,DB!A:B,2,0))</f>
        <v/>
      </c>
      <c r="C229" s="5"/>
      <c r="D229" s="5"/>
      <c r="E229" s="5"/>
      <c r="F229" s="5"/>
      <c r="G229" s="5"/>
      <c r="H229" s="5"/>
      <c r="I229" s="5" t="str">
        <f>IF(H229="","",VLOOKUP(H229,DB!A:B,2,0))</f>
        <v/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5"/>
      <c r="B230" s="6" t="str">
        <f>IF(A230="","",VLOOKUP(A230,DB!A:B,2,0))</f>
        <v/>
      </c>
      <c r="C230" s="5"/>
      <c r="D230" s="5"/>
      <c r="E230" s="5"/>
      <c r="F230" s="5"/>
      <c r="G230" s="5"/>
      <c r="H230" s="5"/>
      <c r="I230" s="5" t="str">
        <f>IF(H230="","",VLOOKUP(H230,DB!A:B,2,0))</f>
        <v/>
      </c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5"/>
      <c r="B231" s="6" t="str">
        <f>IF(A231="","",VLOOKUP(A231,DB!A:B,2,0))</f>
        <v/>
      </c>
      <c r="C231" s="5"/>
      <c r="D231" s="5"/>
      <c r="E231" s="5"/>
      <c r="F231" s="5"/>
      <c r="G231" s="5"/>
      <c r="H231" s="5"/>
      <c r="I231" s="5" t="str">
        <f>IF(H231="","",VLOOKUP(H231,DB!A:B,2,0))</f>
        <v/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5"/>
      <c r="B232" s="6" t="str">
        <f>IF(A232="","",VLOOKUP(A232,DB!A:B,2,0))</f>
        <v/>
      </c>
      <c r="C232" s="5"/>
      <c r="D232" s="5"/>
      <c r="E232" s="5"/>
      <c r="F232" s="5"/>
      <c r="G232" s="5"/>
      <c r="H232" s="5"/>
      <c r="I232" s="5" t="str">
        <f>IF(H232="","",VLOOKUP(H232,DB!A:B,2,0))</f>
        <v/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5"/>
      <c r="B233" s="6" t="str">
        <f>IF(A233="","",VLOOKUP(A233,DB!A:B,2,0))</f>
        <v/>
      </c>
      <c r="C233" s="5"/>
      <c r="D233" s="5"/>
      <c r="E233" s="5"/>
      <c r="F233" s="5"/>
      <c r="G233" s="5"/>
      <c r="H233" s="5"/>
      <c r="I233" s="5" t="str">
        <f>IF(H233="","",VLOOKUP(H233,DB!A:B,2,0))</f>
        <v/>
      </c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5"/>
      <c r="B234" s="6" t="str">
        <f>IF(A234="","",VLOOKUP(A234,DB!A:B,2,0))</f>
        <v/>
      </c>
      <c r="C234" s="5"/>
      <c r="D234" s="5"/>
      <c r="E234" s="5"/>
      <c r="F234" s="5"/>
      <c r="G234" s="5"/>
      <c r="H234" s="5"/>
      <c r="I234" s="5" t="str">
        <f>IF(H234="","",VLOOKUP(H234,DB!A:B,2,0))</f>
        <v/>
      </c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5"/>
      <c r="B235" s="6" t="str">
        <f>IF(A235="","",VLOOKUP(A235,DB!A:B,2,0))</f>
        <v/>
      </c>
      <c r="C235" s="5"/>
      <c r="D235" s="5"/>
      <c r="E235" s="5"/>
      <c r="F235" s="5"/>
      <c r="G235" s="5"/>
      <c r="H235" s="5"/>
      <c r="I235" s="5" t="str">
        <f>IF(H235="","",VLOOKUP(H235,DB!A:B,2,0))</f>
        <v/>
      </c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5"/>
      <c r="B236" s="6" t="str">
        <f>IF(A236="","",VLOOKUP(A236,DB!A:B,2,0))</f>
        <v/>
      </c>
      <c r="C236" s="5"/>
      <c r="D236" s="5"/>
      <c r="E236" s="5"/>
      <c r="F236" s="5"/>
      <c r="G236" s="5"/>
      <c r="H236" s="5"/>
      <c r="I236" s="5" t="str">
        <f>IF(H236="","",VLOOKUP(H236,DB!A:B,2,0))</f>
        <v/>
      </c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5"/>
      <c r="B237" s="6" t="str">
        <f>IF(A237="","",VLOOKUP(A237,DB!A:B,2,0))</f>
        <v/>
      </c>
      <c r="C237" s="5"/>
      <c r="D237" s="5"/>
      <c r="E237" s="5"/>
      <c r="F237" s="5"/>
      <c r="G237" s="5"/>
      <c r="H237" s="5"/>
      <c r="I237" s="5" t="str">
        <f>IF(H237="","",VLOOKUP(H237,DB!A:B,2,0))</f>
        <v/>
      </c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5"/>
      <c r="B238" s="6" t="str">
        <f>IF(A238="","",VLOOKUP(A238,DB!A:B,2,0))</f>
        <v/>
      </c>
      <c r="C238" s="5"/>
      <c r="D238" s="5"/>
      <c r="E238" s="5"/>
      <c r="F238" s="5"/>
      <c r="G238" s="5"/>
      <c r="H238" s="5"/>
      <c r="I238" s="5" t="str">
        <f>IF(H238="","",VLOOKUP(H238,DB!A:B,2,0))</f>
        <v/>
      </c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5"/>
      <c r="B239" s="6" t="str">
        <f>IF(A239="","",VLOOKUP(A239,DB!A:B,2,0))</f>
        <v/>
      </c>
      <c r="C239" s="5"/>
      <c r="D239" s="5"/>
      <c r="E239" s="5"/>
      <c r="F239" s="5"/>
      <c r="G239" s="5"/>
      <c r="H239" s="5"/>
      <c r="I239" s="5" t="str">
        <f>IF(H239="","",VLOOKUP(H239,DB!A:B,2,0))</f>
        <v/>
      </c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5"/>
      <c r="B240" s="6" t="str">
        <f>IF(A240="","",VLOOKUP(A240,DB!A:B,2,0))</f>
        <v/>
      </c>
      <c r="C240" s="5"/>
      <c r="D240" s="5"/>
      <c r="E240" s="5"/>
      <c r="F240" s="5"/>
      <c r="G240" s="5"/>
      <c r="H240" s="5"/>
      <c r="I240" s="5" t="str">
        <f>IF(H240="","",VLOOKUP(H240,DB!A:B,2,0))</f>
        <v/>
      </c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5"/>
      <c r="B241" s="6" t="str">
        <f>IF(A241="","",VLOOKUP(A241,DB!A:B,2,0))</f>
        <v/>
      </c>
      <c r="C241" s="5"/>
      <c r="D241" s="5"/>
      <c r="E241" s="5"/>
      <c r="F241" s="5"/>
      <c r="G241" s="5"/>
      <c r="H241" s="5"/>
      <c r="I241" s="5" t="str">
        <f>IF(H241="","",VLOOKUP(H241,DB!A:B,2,0))</f>
        <v/>
      </c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5"/>
      <c r="B242" s="6" t="str">
        <f>IF(A242="","",VLOOKUP(A242,DB!A:B,2,0))</f>
        <v/>
      </c>
      <c r="C242" s="5"/>
      <c r="D242" s="5"/>
      <c r="E242" s="5"/>
      <c r="F242" s="5"/>
      <c r="G242" s="5"/>
      <c r="H242" s="5"/>
      <c r="I242" s="5" t="str">
        <f>IF(H242="","",VLOOKUP(H242,DB!A:B,2,0))</f>
        <v/>
      </c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5"/>
      <c r="B243" s="6" t="str">
        <f>IF(A243="","",VLOOKUP(A243,DB!A:B,2,0))</f>
        <v/>
      </c>
      <c r="C243" s="5"/>
      <c r="D243" s="5"/>
      <c r="E243" s="5"/>
      <c r="F243" s="5"/>
      <c r="G243" s="5"/>
      <c r="H243" s="5"/>
      <c r="I243" s="5" t="str">
        <f>IF(H243="","",VLOOKUP(H243,DB!A:B,2,0))</f>
        <v/>
      </c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5"/>
      <c r="B244" s="6" t="str">
        <f>IF(A244="","",VLOOKUP(A244,DB!A:B,2,0))</f>
        <v/>
      </c>
      <c r="C244" s="5"/>
      <c r="D244" s="5"/>
      <c r="E244" s="5"/>
      <c r="F244" s="5"/>
      <c r="G244" s="5"/>
      <c r="H244" s="5"/>
      <c r="I244" s="5" t="str">
        <f>IF(H244="","",VLOOKUP(H244,DB!A:B,2,0))</f>
        <v/>
      </c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5"/>
      <c r="B245" s="6" t="str">
        <f>IF(A245="","",VLOOKUP(A245,DB!A:B,2,0))</f>
        <v/>
      </c>
      <c r="C245" s="5"/>
      <c r="D245" s="5"/>
      <c r="E245" s="5"/>
      <c r="F245" s="5"/>
      <c r="G245" s="5"/>
      <c r="H245" s="5"/>
      <c r="I245" s="5" t="str">
        <f>IF(H245="","",VLOOKUP(H245,DB!A:B,2,0))</f>
        <v/>
      </c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5"/>
      <c r="B246" s="6" t="str">
        <f>IF(A246="","",VLOOKUP(A246,DB!A:B,2,0))</f>
        <v/>
      </c>
      <c r="C246" s="5"/>
      <c r="D246" s="5"/>
      <c r="E246" s="5"/>
      <c r="F246" s="5"/>
      <c r="G246" s="5"/>
      <c r="H246" s="5"/>
      <c r="I246" s="5" t="str">
        <f>IF(H246="","",VLOOKUP(H246,DB!A:B,2,0))</f>
        <v/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5"/>
      <c r="B247" s="6" t="str">
        <f>IF(A247="","",VLOOKUP(A247,DB!A:B,2,0))</f>
        <v/>
      </c>
      <c r="C247" s="5"/>
      <c r="D247" s="5"/>
      <c r="E247" s="5"/>
      <c r="F247" s="5"/>
      <c r="G247" s="5"/>
      <c r="H247" s="5"/>
      <c r="I247" s="5" t="str">
        <f>IF(H247="","",VLOOKUP(H247,DB!A:B,2,0))</f>
        <v/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5"/>
      <c r="B248" s="6" t="str">
        <f>IF(A248="","",VLOOKUP(A248,DB!A:B,2,0))</f>
        <v/>
      </c>
      <c r="C248" s="5"/>
      <c r="D248" s="5"/>
      <c r="E248" s="5"/>
      <c r="F248" s="5"/>
      <c r="G248" s="5"/>
      <c r="H248" s="5"/>
      <c r="I248" s="5" t="str">
        <f>IF(H248="","",VLOOKUP(H248,DB!A:B,2,0))</f>
        <v/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5"/>
      <c r="B249" s="6" t="str">
        <f>IF(A249="","",VLOOKUP(A249,DB!A:B,2,0))</f>
        <v/>
      </c>
      <c r="C249" s="5"/>
      <c r="D249" s="5"/>
      <c r="E249" s="5"/>
      <c r="F249" s="5"/>
      <c r="G249" s="5"/>
      <c r="H249" s="5"/>
      <c r="I249" s="5" t="str">
        <f>IF(H249="","",VLOOKUP(H249,DB!A:B,2,0))</f>
        <v/>
      </c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5"/>
      <c r="B250" s="6" t="str">
        <f>IF(A250="","",VLOOKUP(A250,DB!A:B,2,0))</f>
        <v/>
      </c>
      <c r="C250" s="5"/>
      <c r="D250" s="5"/>
      <c r="E250" s="5"/>
      <c r="F250" s="5"/>
      <c r="G250" s="5"/>
      <c r="H250" s="5"/>
      <c r="I250" s="5" t="str">
        <f>IF(H250="","",VLOOKUP(H250,DB!A:B,2,0))</f>
        <v/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5"/>
      <c r="B251" s="6" t="str">
        <f>IF(A251="","",VLOOKUP(A251,DB!A:B,2,0))</f>
        <v/>
      </c>
      <c r="C251" s="5"/>
      <c r="D251" s="5"/>
      <c r="E251" s="5"/>
      <c r="F251" s="5"/>
      <c r="G251" s="5"/>
      <c r="H251" s="5"/>
      <c r="I251" s="5" t="str">
        <f>IF(H251="","",VLOOKUP(H251,DB!A:B,2,0))</f>
        <v/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5"/>
      <c r="B252" s="6" t="str">
        <f>IF(A252="","",VLOOKUP(A252,DB!A:B,2,0))</f>
        <v/>
      </c>
      <c r="C252" s="5"/>
      <c r="D252" s="5"/>
      <c r="E252" s="5"/>
      <c r="F252" s="5"/>
      <c r="G252" s="5"/>
      <c r="H252" s="5"/>
      <c r="I252" s="5" t="str">
        <f>IF(H252="","",VLOOKUP(H252,DB!A:B,2,0))</f>
        <v/>
      </c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5"/>
      <c r="B253" s="6" t="str">
        <f>IF(A253="","",VLOOKUP(A253,DB!A:B,2,0))</f>
        <v/>
      </c>
      <c r="C253" s="5"/>
      <c r="D253" s="5"/>
      <c r="E253" s="5"/>
      <c r="F253" s="5"/>
      <c r="G253" s="5"/>
      <c r="H253" s="5"/>
      <c r="I253" s="5" t="str">
        <f>IF(H253="","",VLOOKUP(H253,DB!A:B,2,0))</f>
        <v/>
      </c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5"/>
      <c r="B254" s="6" t="str">
        <f>IF(A254="","",VLOOKUP(A254,DB!A:B,2,0))</f>
        <v/>
      </c>
      <c r="C254" s="5"/>
      <c r="D254" s="5"/>
      <c r="E254" s="5"/>
      <c r="F254" s="5"/>
      <c r="G254" s="5"/>
      <c r="H254" s="5"/>
      <c r="I254" s="5" t="str">
        <f>IF(H254="","",VLOOKUP(H254,DB!A:B,2,0))</f>
        <v/>
      </c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5"/>
      <c r="B255" s="6" t="str">
        <f>IF(A255="","",VLOOKUP(A255,DB!A:B,2,0))</f>
        <v/>
      </c>
      <c r="C255" s="5"/>
      <c r="D255" s="5"/>
      <c r="E255" s="5"/>
      <c r="F255" s="5"/>
      <c r="G255" s="5"/>
      <c r="H255" s="5"/>
      <c r="I255" s="5" t="str">
        <f>IF(H255="","",VLOOKUP(H255,DB!A:B,2,0))</f>
        <v/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5"/>
      <c r="B256" s="6" t="str">
        <f>IF(A256="","",VLOOKUP(A256,DB!A:B,2,0))</f>
        <v/>
      </c>
      <c r="C256" s="5"/>
      <c r="D256" s="5"/>
      <c r="E256" s="5"/>
      <c r="F256" s="5"/>
      <c r="G256" s="5"/>
      <c r="H256" s="5"/>
      <c r="I256" s="5" t="str">
        <f>IF(H256="","",VLOOKUP(H256,DB!A:B,2,0))</f>
        <v/>
      </c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5"/>
      <c r="B257" s="6" t="str">
        <f>IF(A257="","",VLOOKUP(A257,DB!A:B,2,0))</f>
        <v/>
      </c>
      <c r="C257" s="5"/>
      <c r="D257" s="5"/>
      <c r="E257" s="5"/>
      <c r="F257" s="5"/>
      <c r="G257" s="5"/>
      <c r="H257" s="5"/>
      <c r="I257" s="5" t="str">
        <f>IF(H257="","",VLOOKUP(H257,DB!A:B,2,0))</f>
        <v/>
      </c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5"/>
      <c r="B258" s="6" t="str">
        <f>IF(A258="","",VLOOKUP(A258,DB!A:B,2,0))</f>
        <v/>
      </c>
      <c r="C258" s="5"/>
      <c r="D258" s="5"/>
      <c r="E258" s="5"/>
      <c r="F258" s="5"/>
      <c r="G258" s="5"/>
      <c r="H258" s="5"/>
      <c r="I258" s="5" t="str">
        <f>IF(H258="","",VLOOKUP(H258,DB!A:B,2,0))</f>
        <v/>
      </c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5"/>
      <c r="B259" s="6" t="str">
        <f>IF(A259="","",VLOOKUP(A259,DB!A:B,2,0))</f>
        <v/>
      </c>
      <c r="C259" s="5"/>
      <c r="D259" s="5"/>
      <c r="E259" s="5"/>
      <c r="F259" s="5"/>
      <c r="G259" s="5"/>
      <c r="H259" s="5"/>
      <c r="I259" s="5" t="str">
        <f>IF(H259="","",VLOOKUP(H259,DB!A:B,2,0))</f>
        <v/>
      </c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5"/>
      <c r="B260" s="6" t="str">
        <f>IF(A260="","",VLOOKUP(A260,DB!A:B,2,0))</f>
        <v/>
      </c>
      <c r="C260" s="5"/>
      <c r="D260" s="5"/>
      <c r="E260" s="5"/>
      <c r="F260" s="5"/>
      <c r="G260" s="5"/>
      <c r="H260" s="5"/>
      <c r="I260" s="5" t="str">
        <f>IF(H260="","",VLOOKUP(H260,DB!A:B,2,0))</f>
        <v/>
      </c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5"/>
      <c r="B261" s="6" t="str">
        <f>IF(A261="","",VLOOKUP(A261,DB!A:B,2,0))</f>
        <v/>
      </c>
      <c r="C261" s="5"/>
      <c r="D261" s="5"/>
      <c r="E261" s="5"/>
      <c r="F261" s="5"/>
      <c r="G261" s="5"/>
      <c r="H261" s="5"/>
      <c r="I261" s="5" t="str">
        <f>IF(H261="","",VLOOKUP(H261,DB!A:B,2,0))</f>
        <v/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5"/>
      <c r="B262" s="6" t="str">
        <f>IF(A262="","",VLOOKUP(A262,DB!A:B,2,0))</f>
        <v/>
      </c>
      <c r="C262" s="5"/>
      <c r="D262" s="5"/>
      <c r="E262" s="5"/>
      <c r="F262" s="5"/>
      <c r="G262" s="5"/>
      <c r="H262" s="5"/>
      <c r="I262" s="5" t="str">
        <f>IF(H262="","",VLOOKUP(H262,DB!A:B,2,0))</f>
        <v/>
      </c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5"/>
      <c r="B263" s="6" t="str">
        <f>IF(A263="","",VLOOKUP(A263,DB!A:B,2,0))</f>
        <v/>
      </c>
      <c r="C263" s="5"/>
      <c r="D263" s="5"/>
      <c r="E263" s="5"/>
      <c r="F263" s="5"/>
      <c r="G263" s="5"/>
      <c r="H263" s="5"/>
      <c r="I263" s="5" t="str">
        <f>IF(H263="","",VLOOKUP(H263,DB!A:B,2,0))</f>
        <v/>
      </c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5"/>
      <c r="B264" s="6" t="str">
        <f>IF(A264="","",VLOOKUP(A264,DB!A:B,2,0))</f>
        <v/>
      </c>
      <c r="C264" s="5"/>
      <c r="D264" s="5"/>
      <c r="E264" s="5"/>
      <c r="F264" s="5"/>
      <c r="G264" s="5"/>
      <c r="H264" s="5"/>
      <c r="I264" s="5" t="str">
        <f>IF(H264="","",VLOOKUP(H264,DB!A:B,2,0))</f>
        <v/>
      </c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5"/>
      <c r="B265" s="6" t="str">
        <f>IF(A265="","",VLOOKUP(A265,DB!A:B,2,0))</f>
        <v/>
      </c>
      <c r="C265" s="5"/>
      <c r="D265" s="5"/>
      <c r="E265" s="5"/>
      <c r="F265" s="5"/>
      <c r="G265" s="5"/>
      <c r="H265" s="5"/>
      <c r="I265" s="5" t="str">
        <f>IF(H265="","",VLOOKUP(H265,DB!A:B,2,0))</f>
        <v/>
      </c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5"/>
      <c r="B266" s="6" t="str">
        <f>IF(A266="","",VLOOKUP(A266,DB!A:B,2,0))</f>
        <v/>
      </c>
      <c r="C266" s="5"/>
      <c r="D266" s="5"/>
      <c r="E266" s="5"/>
      <c r="F266" s="5"/>
      <c r="G266" s="5"/>
      <c r="H266" s="5"/>
      <c r="I266" s="5" t="str">
        <f>IF(H266="","",VLOOKUP(H266,DB!A:B,2,0))</f>
        <v/>
      </c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5"/>
      <c r="B267" s="6" t="str">
        <f>IF(A267="","",VLOOKUP(A267,DB!A:B,2,0))</f>
        <v/>
      </c>
      <c r="C267" s="5"/>
      <c r="D267" s="5"/>
      <c r="E267" s="5"/>
      <c r="F267" s="5"/>
      <c r="G267" s="5"/>
      <c r="H267" s="5"/>
      <c r="I267" s="5" t="str">
        <f>IF(H267="","",VLOOKUP(H267,DB!A:B,2,0))</f>
        <v/>
      </c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5"/>
      <c r="B268" s="6" t="str">
        <f>IF(A268="","",VLOOKUP(A268,DB!A:B,2,0))</f>
        <v/>
      </c>
      <c r="C268" s="5"/>
      <c r="D268" s="5"/>
      <c r="E268" s="5"/>
      <c r="F268" s="5"/>
      <c r="G268" s="5"/>
      <c r="H268" s="5"/>
      <c r="I268" s="5" t="str">
        <f>IF(H268="","",VLOOKUP(H268,DB!A:B,2,0))</f>
        <v/>
      </c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5"/>
      <c r="B269" s="6" t="str">
        <f>IF(A269="","",VLOOKUP(A269,DB!A:B,2,0))</f>
        <v/>
      </c>
      <c r="C269" s="5"/>
      <c r="D269" s="5"/>
      <c r="E269" s="5"/>
      <c r="F269" s="5"/>
      <c r="G269" s="5"/>
      <c r="H269" s="5"/>
      <c r="I269" s="5" t="str">
        <f>IF(H269="","",VLOOKUP(H269,DB!A:B,2,0))</f>
        <v/>
      </c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5"/>
      <c r="B270" s="6" t="str">
        <f>IF(A270="","",VLOOKUP(A270,DB!A:B,2,0))</f>
        <v/>
      </c>
      <c r="C270" s="5"/>
      <c r="D270" s="5"/>
      <c r="E270" s="5"/>
      <c r="F270" s="5"/>
      <c r="G270" s="5"/>
      <c r="H270" s="5"/>
      <c r="I270" s="5" t="str">
        <f>IF(H270="","",VLOOKUP(H270,DB!A:B,2,0))</f>
        <v/>
      </c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5"/>
      <c r="B271" s="6" t="str">
        <f>IF(A271="","",VLOOKUP(A271,DB!A:B,2,0))</f>
        <v/>
      </c>
      <c r="C271" s="5"/>
      <c r="D271" s="5"/>
      <c r="E271" s="5"/>
      <c r="F271" s="5"/>
      <c r="G271" s="5"/>
      <c r="H271" s="5"/>
      <c r="I271" s="5" t="str">
        <f>IF(H271="","",VLOOKUP(H271,DB!A:B,2,0))</f>
        <v/>
      </c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5"/>
      <c r="B272" s="6" t="str">
        <f>IF(A272="","",VLOOKUP(A272,DB!A:B,2,0))</f>
        <v/>
      </c>
      <c r="C272" s="5"/>
      <c r="D272" s="5"/>
      <c r="E272" s="5"/>
      <c r="F272" s="5"/>
      <c r="G272" s="5"/>
      <c r="H272" s="5"/>
      <c r="I272" s="5" t="str">
        <f>IF(H272="","",VLOOKUP(H272,DB!A:B,2,0))</f>
        <v/>
      </c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5"/>
      <c r="B273" s="6" t="str">
        <f>IF(A273="","",VLOOKUP(A273,DB!A:B,2,0))</f>
        <v/>
      </c>
      <c r="C273" s="5"/>
      <c r="D273" s="5"/>
      <c r="E273" s="5"/>
      <c r="F273" s="5"/>
      <c r="G273" s="5"/>
      <c r="H273" s="5"/>
      <c r="I273" s="5" t="str">
        <f>IF(H273="","",VLOOKUP(H273,DB!A:B,2,0))</f>
        <v/>
      </c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5"/>
      <c r="B274" s="6" t="str">
        <f>IF(A274="","",VLOOKUP(A274,DB!A:B,2,0))</f>
        <v/>
      </c>
      <c r="C274" s="5"/>
      <c r="D274" s="5"/>
      <c r="E274" s="5"/>
      <c r="F274" s="5"/>
      <c r="G274" s="5"/>
      <c r="H274" s="5"/>
      <c r="I274" s="5" t="str">
        <f>IF(H274="","",VLOOKUP(H274,DB!A:B,2,0))</f>
        <v/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5"/>
      <c r="B275" s="6" t="str">
        <f>IF(A275="","",VLOOKUP(A275,DB!A:B,2,0))</f>
        <v/>
      </c>
      <c r="C275" s="5"/>
      <c r="D275" s="5"/>
      <c r="E275" s="5"/>
      <c r="F275" s="5"/>
      <c r="G275" s="5"/>
      <c r="H275" s="5"/>
      <c r="I275" s="5" t="str">
        <f>IF(H275="","",VLOOKUP(H275,DB!A:B,2,0))</f>
        <v/>
      </c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5"/>
      <c r="B276" s="6" t="str">
        <f>IF(A276="","",VLOOKUP(A276,DB!A:B,2,0))</f>
        <v/>
      </c>
      <c r="C276" s="5"/>
      <c r="D276" s="5"/>
      <c r="E276" s="5"/>
      <c r="F276" s="5"/>
      <c r="G276" s="5"/>
      <c r="H276" s="5"/>
      <c r="I276" s="5" t="str">
        <f>IF(H276="","",VLOOKUP(H276,DB!A:B,2,0))</f>
        <v/>
      </c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5"/>
      <c r="B277" s="6" t="str">
        <f>IF(A277="","",VLOOKUP(A277,DB!A:B,2,0))</f>
        <v/>
      </c>
      <c r="C277" s="5"/>
      <c r="D277" s="5"/>
      <c r="E277" s="5"/>
      <c r="F277" s="5"/>
      <c r="G277" s="5"/>
      <c r="H277" s="5"/>
      <c r="I277" s="5" t="str">
        <f>IF(H277="","",VLOOKUP(H277,DB!A:B,2,0))</f>
        <v/>
      </c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5"/>
      <c r="B278" s="6" t="str">
        <f>IF(A278="","",VLOOKUP(A278,DB!A:B,2,0))</f>
        <v/>
      </c>
      <c r="C278" s="5"/>
      <c r="D278" s="5"/>
      <c r="E278" s="5"/>
      <c r="F278" s="5"/>
      <c r="G278" s="5"/>
      <c r="H278" s="5"/>
      <c r="I278" s="5" t="str">
        <f>IF(H278="","",VLOOKUP(H278,DB!A:B,2,0))</f>
        <v/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5"/>
      <c r="B279" s="6" t="str">
        <f>IF(A279="","",VLOOKUP(A279,DB!A:B,2,0))</f>
        <v/>
      </c>
      <c r="C279" s="5"/>
      <c r="D279" s="5"/>
      <c r="E279" s="5"/>
      <c r="F279" s="5"/>
      <c r="G279" s="5"/>
      <c r="H279" s="5"/>
      <c r="I279" s="5" t="str">
        <f>IF(H279="","",VLOOKUP(H279,DB!A:B,2,0))</f>
        <v/>
      </c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5"/>
      <c r="B280" s="6" t="str">
        <f>IF(A280="","",VLOOKUP(A280,DB!A:B,2,0))</f>
        <v/>
      </c>
      <c r="C280" s="5"/>
      <c r="D280" s="5"/>
      <c r="E280" s="5"/>
      <c r="F280" s="5"/>
      <c r="G280" s="5"/>
      <c r="H280" s="5"/>
      <c r="I280" s="5" t="str">
        <f>IF(H280="","",VLOOKUP(H280,DB!A:B,2,0))</f>
        <v/>
      </c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5"/>
      <c r="B281" s="6" t="str">
        <f>IF(A281="","",VLOOKUP(A281,DB!A:B,2,0))</f>
        <v/>
      </c>
      <c r="C281" s="5"/>
      <c r="D281" s="5"/>
      <c r="E281" s="5"/>
      <c r="F281" s="5"/>
      <c r="G281" s="5"/>
      <c r="H281" s="5"/>
      <c r="I281" s="5" t="str">
        <f>IF(H281="","",VLOOKUP(H281,DB!A:B,2,0))</f>
        <v/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5"/>
      <c r="B282" s="6" t="str">
        <f>IF(A282="","",VLOOKUP(A282,DB!A:B,2,0))</f>
        <v/>
      </c>
      <c r="C282" s="5"/>
      <c r="D282" s="5"/>
      <c r="E282" s="5"/>
      <c r="F282" s="5"/>
      <c r="G282" s="5"/>
      <c r="H282" s="5"/>
      <c r="I282" s="5" t="str">
        <f>IF(H282="","",VLOOKUP(H282,DB!A:B,2,0))</f>
        <v/>
      </c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5"/>
      <c r="B283" s="6" t="str">
        <f>IF(A283="","",VLOOKUP(A283,DB!A:B,2,0))</f>
        <v/>
      </c>
      <c r="C283" s="5"/>
      <c r="D283" s="5"/>
      <c r="E283" s="5"/>
      <c r="F283" s="5"/>
      <c r="G283" s="5"/>
      <c r="H283" s="5"/>
      <c r="I283" s="5" t="str">
        <f>IF(H283="","",VLOOKUP(H283,DB!A:B,2,0))</f>
        <v/>
      </c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5"/>
      <c r="B284" s="6" t="str">
        <f>IF(A284="","",VLOOKUP(A284,DB!A:B,2,0))</f>
        <v/>
      </c>
      <c r="C284" s="5"/>
      <c r="D284" s="5"/>
      <c r="E284" s="5"/>
      <c r="F284" s="5"/>
      <c r="G284" s="5"/>
      <c r="H284" s="5"/>
      <c r="I284" s="5" t="str">
        <f>IF(H284="","",VLOOKUP(H284,DB!A:B,2,0))</f>
        <v/>
      </c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5"/>
      <c r="B285" s="6" t="str">
        <f>IF(A285="","",VLOOKUP(A285,DB!A:B,2,0))</f>
        <v/>
      </c>
      <c r="C285" s="5"/>
      <c r="D285" s="5"/>
      <c r="E285" s="5"/>
      <c r="F285" s="5"/>
      <c r="G285" s="5"/>
      <c r="H285" s="5"/>
      <c r="I285" s="5" t="str">
        <f>IF(H285="","",VLOOKUP(H285,DB!A:B,2,0))</f>
        <v/>
      </c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5"/>
      <c r="B286" s="6" t="str">
        <f>IF(A286="","",VLOOKUP(A286,DB!A:B,2,0))</f>
        <v/>
      </c>
      <c r="C286" s="5"/>
      <c r="D286" s="5"/>
      <c r="E286" s="5"/>
      <c r="F286" s="5"/>
      <c r="G286" s="5"/>
      <c r="H286" s="5"/>
      <c r="I286" s="5" t="str">
        <f>IF(H286="","",VLOOKUP(H286,DB!A:B,2,0))</f>
        <v/>
      </c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5"/>
      <c r="B287" s="6" t="str">
        <f>IF(A287="","",VLOOKUP(A287,DB!A:B,2,0))</f>
        <v/>
      </c>
      <c r="C287" s="5"/>
      <c r="D287" s="5"/>
      <c r="E287" s="5"/>
      <c r="F287" s="5"/>
      <c r="G287" s="5"/>
      <c r="H287" s="5"/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5"/>
      <c r="B288" s="6" t="str">
        <f>IF(A288="","",VLOOKUP(A288,DB!A:B,2,0))</f>
        <v/>
      </c>
      <c r="C288" s="5"/>
      <c r="D288" s="5"/>
      <c r="E288" s="5"/>
      <c r="F288" s="5"/>
      <c r="G288" s="5"/>
      <c r="H288" s="5"/>
      <c r="I288" s="5" t="str">
        <f>IF(H288="","",VLOOKUP(H288,DB!A:B,2,0))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5"/>
      <c r="B289" s="6" t="str">
        <f>IF(A289="","",VLOOKUP(A289,DB!A:B,2,0))</f>
        <v/>
      </c>
      <c r="C289" s="5"/>
      <c r="D289" s="5"/>
      <c r="E289" s="5"/>
      <c r="F289" s="5"/>
      <c r="G289" s="5"/>
      <c r="H289" s="5"/>
      <c r="I289" s="5" t="str">
        <f>IF(H289="","",VLOOKUP(H289,DB!A:B,2,0))</f>
        <v/>
      </c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5"/>
      <c r="B290" s="6" t="str">
        <f>IF(A290="","",VLOOKUP(A290,DB!A:B,2,0))</f>
        <v/>
      </c>
      <c r="C290" s="5"/>
      <c r="D290" s="5"/>
      <c r="E290" s="5"/>
      <c r="F290" s="5"/>
      <c r="G290" s="5"/>
      <c r="H290" s="5"/>
      <c r="I290" s="5" t="str">
        <f>IF(H290="","",VLOOKUP(H290,DB!A:B,2,0))</f>
        <v/>
      </c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5"/>
      <c r="B291" s="6" t="str">
        <f>IF(A291="","",VLOOKUP(A291,DB!A:B,2,0))</f>
        <v/>
      </c>
      <c r="C291" s="5"/>
      <c r="D291" s="5"/>
      <c r="E291" s="5"/>
      <c r="F291" s="5"/>
      <c r="G291" s="5"/>
      <c r="H291" s="5"/>
      <c r="I291" s="5" t="str">
        <f>IF(H291="","",VLOOKUP(H291,DB!A:B,2,0))</f>
        <v/>
      </c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5"/>
      <c r="B292" s="6" t="str">
        <f>IF(A292="","",VLOOKUP(A292,DB!A:B,2,0))</f>
        <v/>
      </c>
      <c r="C292" s="5"/>
      <c r="D292" s="5"/>
      <c r="E292" s="5"/>
      <c r="F292" s="5"/>
      <c r="G292" s="5"/>
      <c r="H292" s="5"/>
      <c r="I292" s="5" t="str">
        <f>IF(H292="","",VLOOKUP(H292,DB!A:B,2,0))</f>
        <v/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5"/>
      <c r="B293" s="6" t="str">
        <f>IF(A293="","",VLOOKUP(A293,DB!A:B,2,0))</f>
        <v/>
      </c>
      <c r="C293" s="5"/>
      <c r="D293" s="5"/>
      <c r="E293" s="5"/>
      <c r="F293" s="5"/>
      <c r="G293" s="5"/>
      <c r="H293" s="5"/>
      <c r="I293" s="5" t="str">
        <f>IF(H293="","",VLOOKUP(H293,DB!A:B,2,0))</f>
        <v/>
      </c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5"/>
      <c r="B294" s="6" t="str">
        <f>IF(A294="","",VLOOKUP(A294,DB!A:B,2,0))</f>
        <v/>
      </c>
      <c r="C294" s="5"/>
      <c r="D294" s="5"/>
      <c r="E294" s="5"/>
      <c r="F294" s="5"/>
      <c r="G294" s="5"/>
      <c r="H294" s="5"/>
      <c r="I294" s="5" t="str">
        <f>IF(H294="","",VLOOKUP(H294,DB!A:B,2,0))</f>
        <v/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5"/>
      <c r="B295" s="6" t="str">
        <f>IF(A295="","",VLOOKUP(A295,DB!A:B,2,0))</f>
        <v/>
      </c>
      <c r="C295" s="5"/>
      <c r="D295" s="5"/>
      <c r="E295" s="5"/>
      <c r="F295" s="5"/>
      <c r="G295" s="5"/>
      <c r="H295" s="5"/>
      <c r="I295" s="5" t="str">
        <f>IF(H295="","",VLOOKUP(H295,DB!A:B,2,0))</f>
        <v/>
      </c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5"/>
      <c r="B296" s="6" t="str">
        <f>IF(A296="","",VLOOKUP(A296,DB!A:B,2,0))</f>
        <v/>
      </c>
      <c r="C296" s="5"/>
      <c r="D296" s="5"/>
      <c r="E296" s="5"/>
      <c r="F296" s="5"/>
      <c r="G296" s="5"/>
      <c r="H296" s="5"/>
      <c r="I296" s="5" t="str">
        <f>IF(H296="","",VLOOKUP(H296,DB!A:B,2,0))</f>
        <v/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5"/>
      <c r="B297" s="6" t="str">
        <f>IF(A297="","",VLOOKUP(A297,DB!A:B,2,0))</f>
        <v/>
      </c>
      <c r="C297" s="5"/>
      <c r="D297" s="5"/>
      <c r="E297" s="5"/>
      <c r="F297" s="5"/>
      <c r="G297" s="5"/>
      <c r="H297" s="5"/>
      <c r="I297" s="5" t="str">
        <f>IF(H297="","",VLOOKUP(H297,DB!A:B,2,0))</f>
        <v/>
      </c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5"/>
      <c r="B298" s="6" t="str">
        <f>IF(A298="","",VLOOKUP(A298,DB!A:B,2,0))</f>
        <v/>
      </c>
      <c r="C298" s="5"/>
      <c r="D298" s="5"/>
      <c r="E298" s="5"/>
      <c r="F298" s="5"/>
      <c r="G298" s="5"/>
      <c r="H298" s="5"/>
      <c r="I298" s="5" t="str">
        <f>IF(H298="","",VLOOKUP(H298,DB!A:B,2,0))</f>
        <v/>
      </c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5"/>
      <c r="B299" s="6" t="str">
        <f>IF(A299="","",VLOOKUP(A299,DB!A:B,2,0))</f>
        <v/>
      </c>
      <c r="C299" s="5"/>
      <c r="D299" s="5"/>
      <c r="E299" s="5"/>
      <c r="F299" s="5"/>
      <c r="G299" s="5"/>
      <c r="H299" s="5"/>
      <c r="I299" s="5" t="str">
        <f>IF(H299="","",VLOOKUP(H299,DB!A:B,2,0))</f>
        <v/>
      </c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5"/>
      <c r="B300" s="6" t="str">
        <f>IF(A300="","",VLOOKUP(A300,DB!A:B,2,0))</f>
        <v/>
      </c>
      <c r="C300" s="5"/>
      <c r="D300" s="5"/>
      <c r="E300" s="5"/>
      <c r="F300" s="5"/>
      <c r="G300" s="5"/>
      <c r="H300" s="5"/>
      <c r="I300" s="5" t="str">
        <f>IF(H300="","",VLOOKUP(H300,DB!A:B,2,0))</f>
        <v/>
      </c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5"/>
      <c r="B301" s="6" t="str">
        <f>IF(A301="","",VLOOKUP(A301,DB!A:B,2,0))</f>
        <v/>
      </c>
      <c r="C301" s="5"/>
      <c r="D301" s="5"/>
      <c r="E301" s="5"/>
      <c r="F301" s="5"/>
      <c r="G301" s="5"/>
      <c r="H301" s="5"/>
      <c r="I301" s="5" t="str">
        <f>IF(H301="","",VLOOKUP(H301,DB!A:B,2,0))</f>
        <v/>
      </c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5"/>
      <c r="B302" s="6" t="str">
        <f>IF(A302="","",VLOOKUP(A302,DB!A:B,2,0))</f>
        <v/>
      </c>
      <c r="C302" s="5"/>
      <c r="D302" s="5"/>
      <c r="E302" s="5"/>
      <c r="F302" s="5"/>
      <c r="G302" s="5"/>
      <c r="H302" s="5"/>
      <c r="I302" s="5" t="str">
        <f>IF(H302="","",VLOOKUP(H302,DB!A:B,2,0))</f>
        <v/>
      </c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5"/>
      <c r="B303" s="6" t="str">
        <f>IF(A303="","",VLOOKUP(A303,DB!A:B,2,0))</f>
        <v/>
      </c>
      <c r="C303" s="5"/>
      <c r="D303" s="5"/>
      <c r="E303" s="5"/>
      <c r="F303" s="5"/>
      <c r="G303" s="5"/>
      <c r="H303" s="5"/>
      <c r="I303" s="5" t="str">
        <f>IF(H303="","",VLOOKUP(H303,DB!A:B,2,0))</f>
        <v/>
      </c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5"/>
      <c r="B304" s="6" t="str">
        <f>IF(A304="","",VLOOKUP(A304,DB!A:B,2,0))</f>
        <v/>
      </c>
      <c r="C304" s="5"/>
      <c r="D304" s="5"/>
      <c r="E304" s="5"/>
      <c r="F304" s="5"/>
      <c r="G304" s="5"/>
      <c r="H304" s="5"/>
      <c r="I304" s="5" t="str">
        <f>IF(H304="","",VLOOKUP(H304,DB!A:B,2,0))</f>
        <v/>
      </c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5"/>
      <c r="B305" s="6" t="str">
        <f>IF(A305="","",VLOOKUP(A305,DB!A:B,2,0))</f>
        <v/>
      </c>
      <c r="C305" s="5"/>
      <c r="D305" s="5"/>
      <c r="E305" s="5"/>
      <c r="F305" s="5"/>
      <c r="G305" s="5"/>
      <c r="H305" s="5"/>
      <c r="I305" s="5" t="str">
        <f>IF(H305="","",VLOOKUP(H305,DB!A:B,2,0))</f>
        <v/>
      </c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5"/>
      <c r="B306" s="6" t="str">
        <f>IF(A306="","",VLOOKUP(A306,DB!A:B,2,0))</f>
        <v/>
      </c>
      <c r="C306" s="5"/>
      <c r="D306" s="5"/>
      <c r="E306" s="5"/>
      <c r="F306" s="5"/>
      <c r="G306" s="5"/>
      <c r="H306" s="5"/>
      <c r="I306" s="5" t="str">
        <f>IF(H306="","",VLOOKUP(H306,DB!A:B,2,0))</f>
        <v/>
      </c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5"/>
      <c r="B307" s="6" t="str">
        <f>IF(A307="","",VLOOKUP(A307,DB!A:B,2,0))</f>
        <v/>
      </c>
      <c r="C307" s="5"/>
      <c r="D307" s="5"/>
      <c r="E307" s="5"/>
      <c r="F307" s="5"/>
      <c r="G307" s="5"/>
      <c r="H307" s="5"/>
      <c r="I307" s="5" t="str">
        <f>IF(H307="","",VLOOKUP(H307,DB!A:B,2,0))</f>
        <v/>
      </c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5"/>
      <c r="B308" s="6" t="str">
        <f>IF(A308="","",VLOOKUP(A308,DB!A:B,2,0))</f>
        <v/>
      </c>
      <c r="C308" s="5"/>
      <c r="D308" s="5"/>
      <c r="E308" s="5"/>
      <c r="F308" s="5"/>
      <c r="G308" s="5"/>
      <c r="H308" s="5"/>
      <c r="I308" s="5" t="str">
        <f>IF(H308="","",VLOOKUP(H308,DB!A:B,2,0))</f>
        <v/>
      </c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5"/>
      <c r="B309" s="6" t="str">
        <f>IF(A309="","",VLOOKUP(A309,DB!A:B,2,0))</f>
        <v/>
      </c>
      <c r="C309" s="5"/>
      <c r="D309" s="5"/>
      <c r="E309" s="5"/>
      <c r="F309" s="5"/>
      <c r="G309" s="5"/>
      <c r="H309" s="5"/>
      <c r="I309" s="5" t="str">
        <f>IF(H309="","",VLOOKUP(H309,DB!A:B,2,0))</f>
        <v/>
      </c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5"/>
      <c r="B310" s="6" t="str">
        <f>IF(A310="","",VLOOKUP(A310,DB!A:B,2,0))</f>
        <v/>
      </c>
      <c r="C310" s="5"/>
      <c r="D310" s="5"/>
      <c r="E310" s="5"/>
      <c r="F310" s="5"/>
      <c r="G310" s="5"/>
      <c r="H310" s="5"/>
      <c r="I310" s="5" t="str">
        <f>IF(H310="","",VLOOKUP(H310,DB!A:B,2,0))</f>
        <v/>
      </c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5"/>
      <c r="B311" s="6" t="str">
        <f>IF(A311="","",VLOOKUP(A311,DB!A:B,2,0))</f>
        <v/>
      </c>
      <c r="C311" s="5"/>
      <c r="D311" s="5"/>
      <c r="E311" s="5"/>
      <c r="F311" s="5"/>
      <c r="G311" s="5"/>
      <c r="H311" s="5"/>
      <c r="I311" s="5" t="str">
        <f>IF(H311="","",VLOOKUP(H311,DB!A:B,2,0))</f>
        <v/>
      </c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5"/>
      <c r="B312" s="6" t="str">
        <f>IF(A312="","",VLOOKUP(A312,DB!A:B,2,0))</f>
        <v/>
      </c>
      <c r="C312" s="5"/>
      <c r="D312" s="5"/>
      <c r="E312" s="5"/>
      <c r="F312" s="5"/>
      <c r="G312" s="5"/>
      <c r="H312" s="5"/>
      <c r="I312" s="5" t="str">
        <f>IF(H312="","",VLOOKUP(H312,DB!A:B,2,0))</f>
        <v/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5"/>
      <c r="B313" s="6" t="str">
        <f>IF(A313="","",VLOOKUP(A313,DB!A:B,2,0))</f>
        <v/>
      </c>
      <c r="C313" s="5"/>
      <c r="D313" s="5"/>
      <c r="E313" s="5"/>
      <c r="F313" s="5"/>
      <c r="G313" s="5"/>
      <c r="H313" s="5"/>
      <c r="I313" s="5" t="str">
        <f>IF(H313="","",VLOOKUP(H313,DB!A:B,2,0))</f>
        <v/>
      </c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5"/>
      <c r="B314" s="6" t="str">
        <f>IF(A314="","",VLOOKUP(A314,DB!A:B,2,0))</f>
        <v/>
      </c>
      <c r="C314" s="5"/>
      <c r="D314" s="5"/>
      <c r="E314" s="5"/>
      <c r="F314" s="5"/>
      <c r="G314" s="5"/>
      <c r="H314" s="5"/>
      <c r="I314" s="5" t="str">
        <f>IF(H314="","",VLOOKUP(H314,DB!A:B,2,0))</f>
        <v/>
      </c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5"/>
      <c r="B315" s="6" t="str">
        <f>IF(A315="","",VLOOKUP(A315,DB!A:B,2,0))</f>
        <v/>
      </c>
      <c r="C315" s="5"/>
      <c r="D315" s="5"/>
      <c r="E315" s="5"/>
      <c r="F315" s="5"/>
      <c r="G315" s="5"/>
      <c r="H315" s="5"/>
      <c r="I315" s="5" t="str">
        <f>IF(H315="","",VLOOKUP(H315,DB!A:B,2,0))</f>
        <v/>
      </c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5"/>
      <c r="B316" s="6" t="str">
        <f>IF(A316="","",VLOOKUP(A316,DB!A:B,2,0))</f>
        <v/>
      </c>
      <c r="C316" s="5"/>
      <c r="D316" s="5"/>
      <c r="E316" s="5"/>
      <c r="F316" s="5"/>
      <c r="G316" s="5"/>
      <c r="H316" s="5"/>
      <c r="I316" s="5" t="str">
        <f>IF(H316="","",VLOOKUP(H316,DB!A:B,2,0))</f>
        <v/>
      </c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5"/>
      <c r="B317" s="6" t="str">
        <f>IF(A317="","",VLOOKUP(A317,DB!A:B,2,0))</f>
        <v/>
      </c>
      <c r="C317" s="5"/>
      <c r="D317" s="5"/>
      <c r="E317" s="5"/>
      <c r="F317" s="5"/>
      <c r="G317" s="5"/>
      <c r="H317" s="5"/>
      <c r="I317" s="5" t="str">
        <f>IF(H317="","",VLOOKUP(H317,DB!A:B,2,0))</f>
        <v/>
      </c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5"/>
      <c r="B318" s="6" t="str">
        <f>IF(A318="","",VLOOKUP(A318,DB!A:B,2,0))</f>
        <v/>
      </c>
      <c r="C318" s="5"/>
      <c r="D318" s="5"/>
      <c r="E318" s="5"/>
      <c r="F318" s="5"/>
      <c r="G318" s="5"/>
      <c r="H318" s="5"/>
      <c r="I318" s="5" t="str">
        <f>IF(H318="","",VLOOKUP(H318,DB!A:B,2,0))</f>
        <v/>
      </c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5"/>
      <c r="B319" s="6" t="str">
        <f>IF(A319="","",VLOOKUP(A319,DB!A:B,2,0))</f>
        <v/>
      </c>
      <c r="C319" s="5"/>
      <c r="D319" s="5"/>
      <c r="E319" s="5"/>
      <c r="F319" s="5"/>
      <c r="G319" s="5"/>
      <c r="H319" s="5"/>
      <c r="I319" s="5" t="str">
        <f>IF(H319="","",VLOOKUP(H319,DB!A:B,2,0))</f>
        <v/>
      </c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5"/>
      <c r="B320" s="6" t="str">
        <f>IF(A320="","",VLOOKUP(A320,DB!A:B,2,0))</f>
        <v/>
      </c>
      <c r="C320" s="5"/>
      <c r="D320" s="5"/>
      <c r="E320" s="5"/>
      <c r="F320" s="5"/>
      <c r="G320" s="5"/>
      <c r="H320" s="5"/>
      <c r="I320" s="5" t="str">
        <f>IF(H320="","",VLOOKUP(H320,DB!A:B,2,0))</f>
        <v/>
      </c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5"/>
      <c r="B321" s="6" t="str">
        <f>IF(A321="","",VLOOKUP(A321,DB!A:B,2,0))</f>
        <v/>
      </c>
      <c r="C321" s="5"/>
      <c r="D321" s="5"/>
      <c r="E321" s="5"/>
      <c r="F321" s="5"/>
      <c r="G321" s="5"/>
      <c r="H321" s="5"/>
      <c r="I321" s="5" t="str">
        <f>IF(H321="","",VLOOKUP(H321,DB!A:B,2,0))</f>
        <v/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5"/>
      <c r="B322" s="6" t="str">
        <f>IF(A322="","",VLOOKUP(A322,DB!A:B,2,0))</f>
        <v/>
      </c>
      <c r="C322" s="5"/>
      <c r="D322" s="5"/>
      <c r="E322" s="5"/>
      <c r="F322" s="5"/>
      <c r="G322" s="5"/>
      <c r="H322" s="5"/>
      <c r="I322" s="5" t="str">
        <f>IF(H322="","",VLOOKUP(H322,DB!A:B,2,0))</f>
        <v/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5"/>
      <c r="B323" s="6" t="str">
        <f>IF(A323="","",VLOOKUP(A323,DB!A:B,2,0))</f>
        <v/>
      </c>
      <c r="C323" s="5"/>
      <c r="D323" s="5"/>
      <c r="E323" s="5"/>
      <c r="F323" s="5"/>
      <c r="G323" s="5"/>
      <c r="H323" s="5"/>
      <c r="I323" s="5" t="str">
        <f>IF(H323="","",VLOOKUP(H323,DB!A:B,2,0))</f>
        <v/>
      </c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5"/>
      <c r="B324" s="6" t="str">
        <f>IF(A324="","",VLOOKUP(A324,DB!A:B,2,0))</f>
        <v/>
      </c>
      <c r="C324" s="5"/>
      <c r="D324" s="5"/>
      <c r="E324" s="5"/>
      <c r="F324" s="5"/>
      <c r="G324" s="5"/>
      <c r="H324" s="5"/>
      <c r="I324" s="5" t="str">
        <f>IF(H324="","",VLOOKUP(H324,DB!A:B,2,0))</f>
        <v/>
      </c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5"/>
      <c r="B325" s="6" t="str">
        <f>IF(A325="","",VLOOKUP(A325,DB!A:B,2,0))</f>
        <v/>
      </c>
      <c r="C325" s="5"/>
      <c r="D325" s="5"/>
      <c r="E325" s="5"/>
      <c r="F325" s="5"/>
      <c r="G325" s="5"/>
      <c r="H325" s="5"/>
      <c r="I325" s="5" t="str">
        <f>IF(H325="","",VLOOKUP(H325,DB!A:B,2,0))</f>
        <v/>
      </c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5"/>
      <c r="B326" s="6" t="str">
        <f>IF(A326="","",VLOOKUP(A326,DB!A:B,2,0))</f>
        <v/>
      </c>
      <c r="C326" s="5"/>
      <c r="D326" s="5"/>
      <c r="E326" s="5"/>
      <c r="F326" s="5"/>
      <c r="G326" s="5"/>
      <c r="H326" s="5"/>
      <c r="I326" s="5" t="str">
        <f>IF(H326="","",VLOOKUP(H326,DB!A:B,2,0))</f>
        <v/>
      </c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5"/>
      <c r="E327" s="5"/>
      <c r="F327" s="5"/>
      <c r="G327" s="5"/>
      <c r="H327" s="5"/>
      <c r="I327" s="5" t="str">
        <f>IF(H327="","",VLOOKUP(H327,DB!A:B,2,0))</f>
        <v/>
      </c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5"/>
      <c r="E328" s="5"/>
      <c r="F328" s="5"/>
      <c r="G328" s="5"/>
      <c r="H328" s="5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5"/>
      <c r="E329" s="5"/>
      <c r="F329" s="5"/>
      <c r="G329" s="5"/>
      <c r="H329" s="5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5"/>
      <c r="E330" s="5"/>
      <c r="F330" s="5"/>
      <c r="G330" s="5"/>
      <c r="H330" s="5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5"/>
      <c r="E331" s="5"/>
      <c r="F331" s="5"/>
      <c r="G331" s="5"/>
      <c r="H331" s="5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5"/>
      <c r="E332" s="5"/>
      <c r="F332" s="5"/>
      <c r="G332" s="5"/>
      <c r="H332" s="5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5"/>
      <c r="E333" s="5"/>
      <c r="F333" s="5"/>
      <c r="G333" s="5"/>
      <c r="H333" s="5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6"/>
      <c r="B505" s="6" t="str">
        <f>IF(A505="","",VLOOKUP(A505,DB!A:B,2,0))</f>
        <v/>
      </c>
      <c r="C505" s="5"/>
      <c r="D505" s="6"/>
      <c r="E505" s="6"/>
      <c r="F505" s="5"/>
      <c r="G505" s="5"/>
      <c r="H505" s="6"/>
      <c r="I505" s="5" t="str">
        <f>IF(H505="","",VLOOKUP(H505,DB!A:B,2,0))</f>
        <v/>
      </c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6"/>
      <c r="B506" s="6" t="str">
        <f>IF(A506="","",VLOOKUP(A506,DB!A:B,2,0))</f>
        <v/>
      </c>
      <c r="C506" s="5"/>
      <c r="D506" s="6"/>
      <c r="E506" s="6"/>
      <c r="F506" s="5"/>
      <c r="G506" s="5"/>
      <c r="H506" s="6"/>
      <c r="I506" s="5" t="str">
        <f>IF(H506="","",VLOOKUP(H506,DB!A:B,2,0))</f>
        <v/>
      </c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6"/>
      <c r="B507" s="6" t="str">
        <f>IF(A507="","",VLOOKUP(A507,DB!A:B,2,0))</f>
        <v/>
      </c>
      <c r="C507" s="5"/>
      <c r="D507" s="6"/>
      <c r="E507" s="6"/>
      <c r="F507" s="5"/>
      <c r="G507" s="5"/>
      <c r="H507" s="6"/>
      <c r="I507" s="5" t="str">
        <f>IF(H507="","",VLOOKUP(H507,DB!A:B,2,0))</f>
        <v/>
      </c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6"/>
      <c r="B508" s="6" t="str">
        <f>IF(A508="","",VLOOKUP(A508,DB!A:B,2,0))</f>
        <v/>
      </c>
      <c r="C508" s="5"/>
      <c r="D508" s="6"/>
      <c r="E508" s="6"/>
      <c r="F508" s="5"/>
      <c r="G508" s="5"/>
      <c r="H508" s="6"/>
      <c r="I508" s="5" t="str">
        <f>IF(H508="","",VLOOKUP(H508,DB!A:B,2,0))</f>
        <v/>
      </c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6"/>
      <c r="B509" s="6" t="str">
        <f>IF(A509="","",VLOOKUP(A509,DB!A:B,2,0))</f>
        <v/>
      </c>
      <c r="C509" s="5"/>
      <c r="D509" s="6"/>
      <c r="E509" s="6"/>
      <c r="F509" s="5"/>
      <c r="G509" s="5"/>
      <c r="H509" s="6"/>
      <c r="I509" s="5" t="str">
        <f>IF(H509="","",VLOOKUP(H509,DB!A:B,2,0))</f>
        <v/>
      </c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6"/>
      <c r="B510" s="6" t="str">
        <f>IF(A510="","",VLOOKUP(A510,DB!A:B,2,0))</f>
        <v/>
      </c>
      <c r="C510" s="5"/>
      <c r="D510" s="6"/>
      <c r="E510" s="6"/>
      <c r="F510" s="5"/>
      <c r="G510" s="5"/>
      <c r="H510" s="6"/>
      <c r="I510" s="5" t="str">
        <f>IF(H510="","",VLOOKUP(H510,DB!A:B,2,0))</f>
        <v/>
      </c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6"/>
      <c r="B511" s="6" t="str">
        <f>IF(A511="","",VLOOKUP(A511,DB!A:B,2,0))</f>
        <v/>
      </c>
      <c r="C511" s="5"/>
      <c r="D511" s="6"/>
      <c r="E511" s="6"/>
      <c r="F511" s="5"/>
      <c r="G511" s="5"/>
      <c r="H511" s="6"/>
      <c r="I511" s="5" t="str">
        <f>IF(H511="","",VLOOKUP(H511,DB!A:B,2,0))</f>
        <v/>
      </c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>
      <c r="A512" s="6"/>
      <c r="B512" s="6" t="str">
        <f>IF(A512="","",VLOOKUP(A512,DB!A:B,2,0))</f>
        <v/>
      </c>
      <c r="C512" s="5"/>
      <c r="D512" s="6"/>
      <c r="E512" s="6"/>
      <c r="F512" s="5"/>
      <c r="G512" s="5"/>
      <c r="H512" s="6"/>
      <c r="I512" s="5" t="str">
        <f>IF(H512="","",VLOOKUP(H512,DB!A:B,2,0))</f>
        <v/>
      </c>
      <c r="J512" s="6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  <row r="513">
      <c r="A513" s="6"/>
      <c r="B513" s="6" t="str">
        <f>IF(A513="","",VLOOKUP(A513,DB!A:B,2,0))</f>
        <v/>
      </c>
      <c r="C513" s="5"/>
      <c r="D513" s="6"/>
      <c r="E513" s="6"/>
      <c r="F513" s="5"/>
      <c r="G513" s="5"/>
      <c r="H513" s="6"/>
      <c r="I513" s="5" t="str">
        <f>IF(H513="","",VLOOKUP(H513,DB!A:B,2,0))</f>
        <v/>
      </c>
      <c r="J513" s="6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</row>
    <row r="514">
      <c r="A514" s="6"/>
      <c r="B514" s="6" t="str">
        <f>IF(A514="","",VLOOKUP(A514,DB!A:B,2,0))</f>
        <v/>
      </c>
      <c r="C514" s="5"/>
      <c r="D514" s="6"/>
      <c r="E514" s="6"/>
      <c r="F514" s="5"/>
      <c r="G514" s="5"/>
      <c r="H514" s="6"/>
      <c r="I514" s="5" t="str">
        <f>IF(H514="","",VLOOKUP(H514,DB!A:B,2,0))</f>
        <v/>
      </c>
      <c r="J514" s="6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</row>
    <row r="515">
      <c r="A515" s="6"/>
      <c r="B515" s="6" t="str">
        <f>IF(A515="","",VLOOKUP(A515,DB!A:B,2,0))</f>
        <v/>
      </c>
      <c r="C515" s="5"/>
      <c r="D515" s="6"/>
      <c r="E515" s="6"/>
      <c r="F515" s="5"/>
      <c r="G515" s="5"/>
      <c r="H515" s="6"/>
      <c r="I515" s="5" t="str">
        <f>IF(H515="","",VLOOKUP(H515,DB!A:B,2,0))</f>
        <v/>
      </c>
      <c r="J515" s="6"/>
      <c r="K515" s="6"/>
      <c r="L515" s="6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</row>
    <row r="516">
      <c r="A516" s="6"/>
      <c r="B516" s="6" t="str">
        <f>IF(A516="","",VLOOKUP(A516,DB!A:B,2,0))</f>
        <v/>
      </c>
      <c r="C516" s="5"/>
      <c r="D516" s="6"/>
      <c r="E516" s="6"/>
      <c r="F516" s="5"/>
      <c r="G516" s="5"/>
      <c r="H516" s="6"/>
      <c r="I516" s="5" t="str">
        <f>IF(H516="","",VLOOKUP(H516,DB!A:B,2,0))</f>
        <v/>
      </c>
      <c r="J516" s="6"/>
      <c r="K516" s="6"/>
      <c r="L516" s="6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</row>
    <row r="517">
      <c r="A517" s="6"/>
      <c r="B517" s="6" t="str">
        <f>IF(A517="","",VLOOKUP(A517,DB!A:B,2,0))</f>
        <v/>
      </c>
      <c r="C517" s="5"/>
      <c r="D517" s="6"/>
      <c r="E517" s="6"/>
      <c r="F517" s="5"/>
      <c r="G517" s="5"/>
      <c r="H517" s="6"/>
      <c r="I517" s="5" t="str">
        <f>IF(H517="","",VLOOKUP(H517,DB!A:B,2,0))</f>
        <v/>
      </c>
      <c r="J517" s="6"/>
      <c r="K517" s="6"/>
      <c r="L517" s="6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</row>
    <row r="518">
      <c r="A518" s="6"/>
      <c r="B518" s="6" t="str">
        <f>IF(A518="","",VLOOKUP(A518,DB!A:B,2,0))</f>
        <v/>
      </c>
      <c r="C518" s="5"/>
      <c r="D518" s="6"/>
      <c r="E518" s="6"/>
      <c r="F518" s="5"/>
      <c r="G518" s="5"/>
      <c r="H518" s="6"/>
      <c r="I518" s="5" t="str">
        <f>IF(H518="","",VLOOKUP(H518,DB!A:B,2,0))</f>
        <v/>
      </c>
      <c r="J518" s="6"/>
      <c r="K518" s="6"/>
      <c r="L518" s="6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</row>
    <row r="519">
      <c r="A519" s="6"/>
      <c r="B519" s="6" t="str">
        <f>IF(A519="","",VLOOKUP(A519,DB!A:B,2,0))</f>
        <v/>
      </c>
      <c r="C519" s="5"/>
      <c r="D519" s="6"/>
      <c r="E519" s="6"/>
      <c r="F519" s="5"/>
      <c r="G519" s="5"/>
      <c r="H519" s="6"/>
      <c r="I519" s="5" t="str">
        <f>IF(H519="","",VLOOKUP(H519,DB!A:B,2,0))</f>
        <v/>
      </c>
      <c r="J519" s="6"/>
      <c r="K519" s="6"/>
      <c r="L519" s="6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</row>
    <row r="520">
      <c r="A520" s="6"/>
      <c r="B520" s="6" t="str">
        <f>IF(A520="","",VLOOKUP(A520,DB!A:B,2,0))</f>
        <v/>
      </c>
      <c r="C520" s="5"/>
      <c r="D520" s="6"/>
      <c r="E520" s="6"/>
      <c r="F520" s="5"/>
      <c r="G520" s="5"/>
      <c r="H520" s="6"/>
      <c r="I520" s="5" t="str">
        <f>IF(H520="","",VLOOKUP(H520,DB!A:B,2,0))</f>
        <v/>
      </c>
      <c r="J520" s="6"/>
      <c r="K520" s="6"/>
      <c r="L520" s="6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</row>
    <row r="521">
      <c r="A521" s="6"/>
      <c r="B521" s="6" t="str">
        <f>IF(A521="","",VLOOKUP(A521,DB!A:B,2,0))</f>
        <v/>
      </c>
      <c r="C521" s="5"/>
      <c r="D521" s="6"/>
      <c r="E521" s="6"/>
      <c r="F521" s="5"/>
      <c r="G521" s="5"/>
      <c r="H521" s="6"/>
      <c r="I521" s="5" t="str">
        <f>IF(H521="","",VLOOKUP(H521,DB!A:B,2,0))</f>
        <v/>
      </c>
      <c r="J521" s="6"/>
      <c r="K521" s="6"/>
      <c r="L521" s="6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</row>
    <row r="522">
      <c r="A522" s="6"/>
      <c r="B522" s="6" t="str">
        <f>IF(A522="","",VLOOKUP(A522,DB!A:B,2,0))</f>
        <v/>
      </c>
      <c r="C522" s="5"/>
      <c r="D522" s="6"/>
      <c r="E522" s="6"/>
      <c r="F522" s="5"/>
      <c r="G522" s="5"/>
      <c r="H522" s="6"/>
      <c r="I522" s="5" t="str">
        <f>IF(H522="","",VLOOKUP(H522,DB!A:B,2,0))</f>
        <v/>
      </c>
      <c r="J522" s="6"/>
      <c r="K522" s="6"/>
      <c r="L522" s="6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</row>
    <row r="523">
      <c r="A523" s="6"/>
      <c r="B523" s="6" t="str">
        <f>IF(A523="","",VLOOKUP(A523,DB!A:B,2,0))</f>
        <v/>
      </c>
      <c r="C523" s="5"/>
      <c r="D523" s="6"/>
      <c r="E523" s="6"/>
      <c r="F523" s="5"/>
      <c r="G523" s="5"/>
      <c r="H523" s="6"/>
      <c r="I523" s="5" t="str">
        <f>IF(H523="","",VLOOKUP(H523,DB!A:B,2,0))</f>
        <v/>
      </c>
      <c r="J523" s="6"/>
      <c r="K523" s="6"/>
      <c r="L523" s="6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</row>
    <row r="524">
      <c r="A524" s="6"/>
      <c r="B524" s="6" t="str">
        <f>IF(A524="","",VLOOKUP(A524,DB!A:B,2,0))</f>
        <v/>
      </c>
      <c r="C524" s="5"/>
      <c r="D524" s="6"/>
      <c r="E524" s="6"/>
      <c r="F524" s="5"/>
      <c r="G524" s="5"/>
      <c r="H524" s="6"/>
      <c r="I524" s="5" t="str">
        <f>IF(H524="","",VLOOKUP(H524,DB!A:B,2,0))</f>
        <v/>
      </c>
      <c r="J524" s="6"/>
      <c r="K524" s="6"/>
      <c r="L524" s="6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</row>
  </sheetData>
  <conditionalFormatting sqref="A1:AC524">
    <cfRule type="cellIs" dxfId="0" priority="1" operator="equal">
      <formula>"N/D"</formula>
    </cfRule>
  </conditionalFormatting>
  <conditionalFormatting sqref="A1:AC524">
    <cfRule type="cellIs" dxfId="1" priority="2" operator="equal">
      <formula>"N/C"</formula>
    </cfRule>
  </conditionalFormatting>
  <conditionalFormatting sqref="A1:AC524">
    <cfRule type="expression" dxfId="2" priority="3">
      <formula>ISEVEN(ROW())</formula>
    </cfRule>
  </conditionalFormatting>
  <dataValidations>
    <dataValidation type="list" allowBlank="1" showErrorMessage="1" sqref="A2:A524 H2:H524">
      <formula1>DB!$A$2:$A$1017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6" t="s">
        <v>166</v>
      </c>
      <c r="B1" s="17" t="s">
        <v>167</v>
      </c>
      <c r="C1" s="18" t="s">
        <v>168</v>
      </c>
      <c r="D1" s="19" t="s">
        <v>169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1" t="s">
        <v>170</v>
      </c>
      <c r="B2" s="11" t="s">
        <v>171</v>
      </c>
      <c r="C2" s="20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/>
      <c r="B3" s="8"/>
      <c r="C3" s="20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1" t="s">
        <v>15</v>
      </c>
      <c r="B4" s="11" t="s">
        <v>172</v>
      </c>
      <c r="C4" s="20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36</v>
      </c>
      <c r="B5" s="8" t="s">
        <v>173</v>
      </c>
      <c r="C5" s="20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1" t="s">
        <v>72</v>
      </c>
      <c r="B6" s="11" t="s">
        <v>174</v>
      </c>
      <c r="C6" s="21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22" t="s">
        <v>74</v>
      </c>
      <c r="B7" s="22" t="s">
        <v>175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1" t="s">
        <v>75</v>
      </c>
      <c r="B8" s="11" t="s">
        <v>176</v>
      </c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64</v>
      </c>
      <c r="B9" s="8" t="s">
        <v>177</v>
      </c>
      <c r="C9" s="20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1" t="s">
        <v>107</v>
      </c>
      <c r="B10" s="11" t="s">
        <v>178</v>
      </c>
      <c r="C10" s="20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19</v>
      </c>
      <c r="B11" s="7" t="s">
        <v>179</v>
      </c>
      <c r="C11" s="20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1" t="s">
        <v>91</v>
      </c>
      <c r="B12" s="10" t="s">
        <v>180</v>
      </c>
      <c r="C12" s="20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/>
      <c r="B13" s="8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1" t="s">
        <v>181</v>
      </c>
      <c r="B14" s="10" t="s">
        <v>182</v>
      </c>
      <c r="C14" s="21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45</v>
      </c>
      <c r="B15" s="23" t="s">
        <v>183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1" t="s">
        <v>55</v>
      </c>
      <c r="B16" s="8" t="s">
        <v>184</v>
      </c>
      <c r="C16" s="20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59</v>
      </c>
      <c r="B17" s="11" t="s">
        <v>185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1" t="s">
        <v>76</v>
      </c>
      <c r="B18" s="8" t="s">
        <v>183</v>
      </c>
      <c r="C18" s="21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92</v>
      </c>
      <c r="B19" s="8" t="s">
        <v>186</v>
      </c>
      <c r="C19" s="20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187</v>
      </c>
      <c r="B20" s="6" t="s">
        <v>188</v>
      </c>
      <c r="C20" s="20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1"/>
      <c r="B21" s="8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81</v>
      </c>
      <c r="B22" s="8" t="s">
        <v>189</v>
      </c>
      <c r="C22" s="20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1" t="s">
        <v>190</v>
      </c>
      <c r="B23" s="23" t="s">
        <v>191</v>
      </c>
      <c r="C23" s="21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192</v>
      </c>
      <c r="B24" s="22" t="s">
        <v>193</v>
      </c>
      <c r="C24" s="21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1" t="s">
        <v>194</v>
      </c>
      <c r="B25" s="11" t="s">
        <v>195</v>
      </c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196</v>
      </c>
      <c r="B26" s="8" t="s">
        <v>197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1" t="s">
        <v>198</v>
      </c>
      <c r="B27" s="11" t="s">
        <v>199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200</v>
      </c>
      <c r="B28" s="8" t="s">
        <v>186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1" t="s">
        <v>123</v>
      </c>
      <c r="B29" s="11" t="s">
        <v>201</v>
      </c>
      <c r="C29" s="20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202</v>
      </c>
      <c r="B30" s="8" t="s">
        <v>203</v>
      </c>
      <c r="C30" s="21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1" t="s">
        <v>204</v>
      </c>
      <c r="B31" s="11" t="s">
        <v>205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206</v>
      </c>
      <c r="B32" s="8" t="s">
        <v>207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1" t="s">
        <v>208</v>
      </c>
      <c r="B33" s="11" t="s">
        <v>209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210</v>
      </c>
      <c r="B34" s="8" t="s">
        <v>211</v>
      </c>
      <c r="C34" s="20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1" t="s">
        <v>212</v>
      </c>
      <c r="B35" s="11" t="s">
        <v>213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214</v>
      </c>
      <c r="B36" s="8" t="s">
        <v>215</v>
      </c>
      <c r="C36" s="20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1" t="s">
        <v>216</v>
      </c>
      <c r="B37" s="11" t="s">
        <v>217</v>
      </c>
      <c r="C37" s="20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1"/>
      <c r="B38" s="11"/>
      <c r="C38" s="20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0" t="s">
        <v>69</v>
      </c>
      <c r="B39" s="10" t="s">
        <v>218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/>
      <c r="B40" s="8"/>
      <c r="C40" s="21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1" t="s">
        <v>219</v>
      </c>
      <c r="B41" s="11"/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220</v>
      </c>
      <c r="B42" s="8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1" t="s">
        <v>221</v>
      </c>
      <c r="B43" s="11"/>
      <c r="C43" s="20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222</v>
      </c>
      <c r="B44" s="8"/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1" t="s">
        <v>223</v>
      </c>
      <c r="B45" s="11"/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224</v>
      </c>
      <c r="B46" s="8"/>
      <c r="C46" s="8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1" t="s">
        <v>225</v>
      </c>
      <c r="B47" s="11"/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226</v>
      </c>
      <c r="B48" s="8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11" t="s">
        <v>227</v>
      </c>
      <c r="B49" s="11"/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8" t="s">
        <v>228</v>
      </c>
      <c r="B50" s="8"/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11" t="s">
        <v>229</v>
      </c>
      <c r="B51" s="11"/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8" t="s">
        <v>230</v>
      </c>
      <c r="B52" s="8"/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11" t="s">
        <v>231</v>
      </c>
      <c r="B53" s="23"/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8" t="s">
        <v>232</v>
      </c>
      <c r="B54" s="22"/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11" t="s">
        <v>233</v>
      </c>
      <c r="B55" s="23"/>
      <c r="C55" s="20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8" t="s">
        <v>234</v>
      </c>
      <c r="B56" s="22"/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11"/>
      <c r="B57" s="11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8" t="s">
        <v>235</v>
      </c>
      <c r="B58" s="8"/>
      <c r="C58" s="21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/>
      <c r="B59" s="11"/>
      <c r="C59" s="20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4" t="s">
        <v>236</v>
      </c>
      <c r="B60" s="8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3"/>
      <c r="B61" s="23"/>
      <c r="C61" s="21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2" t="s">
        <v>33</v>
      </c>
      <c r="B62" s="22"/>
      <c r="C62" s="21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8"/>
      <c r="B63" s="8"/>
      <c r="C63" s="20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7"/>
      <c r="B64" s="7"/>
      <c r="C64" s="20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8"/>
      <c r="B65" s="8"/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7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7"/>
      <c r="B67" s="7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7"/>
      <c r="B68" s="7"/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7"/>
      <c r="B69" s="7"/>
      <c r="C69" s="20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8"/>
      <c r="C70" s="20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/>
      <c r="B71" s="8"/>
      <c r="C71" s="20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/>
      <c r="B72" s="8"/>
      <c r="C72" s="20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/>
      <c r="B73" s="5"/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8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/>
      <c r="B75" s="8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8"/>
      <c r="B76" s="8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8"/>
      <c r="B77" s="8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8"/>
      <c r="B78" s="8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8"/>
      <c r="B79" s="8"/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8"/>
      <c r="B80" s="8"/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8"/>
      <c r="B81" s="8"/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8"/>
      <c r="B82" s="8"/>
      <c r="C82" s="20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8"/>
      <c r="B83" s="8"/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8"/>
      <c r="B84" s="8"/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8"/>
      <c r="B85" s="8"/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8"/>
      <c r="B86" s="8"/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8"/>
      <c r="B87" s="8"/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8"/>
      <c r="B88" s="8"/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8"/>
      <c r="B89" s="8"/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8"/>
      <c r="B90" s="8"/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/>
      <c r="B91" s="7"/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8"/>
      <c r="B92" s="8"/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8"/>
      <c r="B93" s="8"/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8"/>
      <c r="B94" s="8"/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7"/>
      <c r="B95" s="7"/>
      <c r="C95" s="20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8"/>
      <c r="B96" s="8"/>
      <c r="C96" s="20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8"/>
      <c r="B97" s="8"/>
      <c r="C97" s="20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</sheetData>
  <conditionalFormatting sqref="B99:B102">
    <cfRule type="cellIs" dxfId="1" priority="1" operator="equal">
      <formula>"N/C"</formula>
    </cfRule>
  </conditionalFormatting>
  <conditionalFormatting sqref="A1:Y1017">
    <cfRule type="cellIs" dxfId="0" priority="2" operator="equal">
      <formula>"N/D"</formula>
    </cfRule>
  </conditionalFormatting>
  <conditionalFormatting sqref="A1:Y1017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237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6" t="s">
        <v>238</v>
      </c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Conexiones!A2:O524,
    IF(A2="""", ROW(Conexiones!A2:A524)^0, ISNUMBER(SEARCH(A2, Conexiones!A2:A524))),
    IF(B2="""", ROW(Conexiones!B2:B524)^0, ISNUMBER(SEARCH(B2, Conexiones!B2:B524))),
    IF(C2="""", ROW(Conexiones!C2:C524)^0, "&amp;"ISNUMBER(SEARCH(C2, Conexiones!C2:C524))),
    IF(D2="""", ROW(Conexiones!D2:D524)^0, ISNUMBER(SEARCH(D2, Conexiones!D2:D524))),
    IF(E2="""", ROW(Conexiones!E2:E524)^0, ISNUMBER(SEARCH(E2, Conexiones!E2:E524))),
    IF(F2="""", ROW(Conexiones!F2:F524)^"&amp;"0, ISNUMBER(SEARCH(F2, Conexiones!F2:F524))),
    IF(G2="""", ROW(Conexiones!G2:G524)^0, ISNUMBER(SEARCH(G2, Conexiones!G2:G524))),
    IF(H2="""", ROW(Conexiones!H2:H524)^0, ISNUMBER(SEARCH(H2, Conexiones!H2:H524))),
    IF(B2="""", ROW(Conexiones!H2:H52"&amp;"4)^0, ISNUMBER(SEARCH(B2, Conexiones!H2:H524))),
    IF(I2="""", ROW(Conexiones!I2:I524)^0, ISNUMBER(SEARCH(I2, Conexiones!I2:I524))),
    IF(J2="""", ROW(Conexiones!J2:J524)^0, ISNUMBER(SEARCH(J2, Conexiones!J2:J524))),
    IF(L2="""", ROW(Conexiones!L2:"&amp;"L524)^0, ISNUMBER(SEARCH(L2, Conexiones!L2:L524))),
    IF(M2="""", ROW(Conexiones!M2:M524)^0, ISNUMBER(SEARCH(M2, Conexiones!M2:M524))),
    IF(N2="""", ROW(Conexiones!N2:N524)^0, ISNUMBER(SEARCH(N2, Conexiones!N2:N524))),
    IF(O2="""", ROW(Conexiones!"&amp;"O2:O524)^0, ISNUMBER(SEARCH(O2, Conexiones!O2:O524)))
  ),
  Q2,
  TRUE
)"),"B.7")</f>
        <v>B.7</v>
      </c>
      <c r="B3" s="5" t="str">
        <f>IFERROR(__xludf.DUMMYFUNCTION("""COMPUTED_VALUE"""),"Blackmagic SmartView Duo")</f>
        <v>Blackmagic SmartView Duo</v>
      </c>
      <c r="C3" s="5"/>
      <c r="D3" s="5"/>
      <c r="E3" s="5" t="str">
        <f>IFERROR(__xludf.DUMMYFUNCTION("""COMPUTED_VALUE"""),"SDI Out 2")</f>
        <v>SDI Out 2</v>
      </c>
      <c r="F3" s="5" t="str">
        <f>IFERROR(__xludf.DUMMYFUNCTION("""COMPUTED_VALUE"""),"T")</f>
        <v>T</v>
      </c>
      <c r="G3" s="5" t="str">
        <f>IFERROR(__xludf.DUMMYFUNCTION("""COMPUTED_VALUE"""),"Mon 1")</f>
        <v>Mon 1</v>
      </c>
      <c r="H3" s="5" t="str">
        <f>IFERROR(__xludf.DUMMYFUNCTION("""COMPUTED_VALUE"""),"Ext.Patch")</f>
        <v>Ext.Patch</v>
      </c>
      <c r="I3" s="5" t="str">
        <f>IFERROR(__xludf.DUMMYFUNCTION("""COMPUTED_VALUE"""),"Patchera Externa")</f>
        <v>Patchera Externa</v>
      </c>
      <c r="J3" s="5"/>
      <c r="K3" s="5"/>
      <c r="L3" s="5" t="str">
        <f>IFERROR(__xludf.DUMMYFUNCTION("""COMPUTED_VALUE"""),"AIRE In")</f>
        <v>AIRE In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5"/>
      <c r="AG6" s="25"/>
      <c r="AH6" s="25"/>
      <c r="AI6" s="25"/>
      <c r="AJ6" s="25"/>
      <c r="AK6" s="25"/>
      <c r="AL6" s="25"/>
      <c r="AM6" s="2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5"/>
      <c r="AG14" s="25"/>
      <c r="AH14" s="25"/>
      <c r="AI14" s="25"/>
      <c r="AJ14" s="25"/>
      <c r="AK14" s="25"/>
      <c r="AL14" s="25"/>
      <c r="AM14" s="2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DB!$B$2:$B$416</formula1>
    </dataValidation>
  </dataValidations>
  <drawing r:id="rId1"/>
</worksheet>
</file>