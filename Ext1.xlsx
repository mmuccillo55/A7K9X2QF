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<sst xmlns="http://schemas.openxmlformats.org/spreadsheetml/2006/main" count="1177" uniqueCount="292">
  <si>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</si>
  <si>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</si>
  <si>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</si>
  <si>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</si>
  <si>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</si>
  <si>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</si>
  <si>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</si>
  <si>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</si>
  <si>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</si>
  <si>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</si>
  <si>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</si>
  <si>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</si>
  <si>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</si>
  <si>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</si>
  <si>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</si>
  <si>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</si>
  <si>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</si>
  <si>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</si>
  <si>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</si>
  <si>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</si>
  <si>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</si>
  <si>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</si>
  <si>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</si>
  <si>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</si>
  <si>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</si>
  <si>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</si>
  <si>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</si>
  <si>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</si>
  <si>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</si>
  <si>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</si>
  <si>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</si>
  <si>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</si>
  <si>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</si>
  <si>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</si>
  <si>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</si>
  <si>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</si>
  <si>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</si>
  <si>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</si>
  <si>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</si>
  <si>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</si>
  <si>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</si>
  <si>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</si>
  <si>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</si>
  <si>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</si>
  <si>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</si>
  <si>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</si>
  <si>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</si>
  <si>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</si>
  <si>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</si>
  <si>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</si>
  <si>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</si>
  <si>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</si>
  <si>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</si>
  <si>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</si>
  <si>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</si>
  <si>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</si>
  <si>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</si>
  <si>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</si>
  <si>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</si>
  <si>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</si>
  <si>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</si>
  <si>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</si>
  <si>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</si>
  <si>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</si>
  <si>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</si>
  <si>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</si>
  <si>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</si>
  <si>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</si>
  <si>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</si>
  <si>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</si>
  <si>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</si>
  <si>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</si>
  <si>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</si>
  <si>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</si>
  <si>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</si>
  <si>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</si>
  <si>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</si>
  <si>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</si>
  <si>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</si>
  <si>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</si>
  <si>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</si>
  <si>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</si>
  <si>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</si>
  <si>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</si>
  <si>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</si>
  <si>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</si>
  <si>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</si>
  <si>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</si>
  <si>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</si>
  <si>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</si>
  <si>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</si>
  <si>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</si>
  <si>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</si>
  <si>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</si>
  <si>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</si>
  <si>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</si>
  <si>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</si>
  <si>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</si>
  <si>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</si>
  <si>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</si>
  <si>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</si>
  <si>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</si>
  <si>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</si>
  <si>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</si>
  <si>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</si>
  <si>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</si>
  <si>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</si>
  <si>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</si>
  <si>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</si>
  <si>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</si>
  <si>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</si>
  <si>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</si>
  <si>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</si>
  <si>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</si>
  <si>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</si>
  <si>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</si>
  <si>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</si>
  <si>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</si>
  <si>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</si>
  <si>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</si>
  <si>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</si>
  <si>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</si>
  <si>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</si>
  <si>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</si>
  <si>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</si>
  <si>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</si>
  <si>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</si>
  <si>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</si>
  <si>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</si>
  <si>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</si>
  <si>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</si>
  <si>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</si>
  <si>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</si>
  <si>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</si>
  <si>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</si>
  <si>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</si>
  <si>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</si>
  <si>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</si>
  <si>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</si>
  <si>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</si>
  <si>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</si>
  <si>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</si>
  <si>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</si>
  <si>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</si>
  <si>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</si>
  <si>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</si>
  <si>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</si>
  <si>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</si>
  <si>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</si>
  <si>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</si>
  <si>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</si>
  <si>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</si>
  <si>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</si>
  <si>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</si>
  <si>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</si>
  <si>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</si>
  <si>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</si>
  <si>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</si>
  <si>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</si>
  <si>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</si>
  <si>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</si>
  <si>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</si>
  <si>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</si>
  <si>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</si>
  <si>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</si>
  <si>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</si>
  <si>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</si>
  <si>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</si>
  <si>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</si>
  <si>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</si>
  <si>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</si>
  <si>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</si>
  <si>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</si>
  <si>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</si>
  <si>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</si>
  <si>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</si>
  <si>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</si>
  <si>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</si>
  <si>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</si>
  <si>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</si>
  <si>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</si>
  <si>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</si>
  <si>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</si>
  <si>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</si>
  <si>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</si>
  <si>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</si>
  <si>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</si>
  <si>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</si>
  <si>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</si>
  <si>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</si>
  <si>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</si>
  <si>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</si>
  <si>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</si>
  <si>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</si>
  <si>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</si>
  <si>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</si>
  <si>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</si>
  <si>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</si>
  <si>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</si>
  <si>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</si>
  <si>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</si>
  <si>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</si>
  <si>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</si>
  <si>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</si>
  <si>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</si>
  <si>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</si>
  <si>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</si>
  <si>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</si>
  <si>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</si>
  <si>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</si>
  <si>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</si>
  <si>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</si>
  <si>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</si>
  <si>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</si>
  <si>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</si>
  <si>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</si>
  <si>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</si>
  <si>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</si>
  <si>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</si>
  <si>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</si>
  <si>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</si>
  <si>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</si>
  <si>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</si>
  <si>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</si>
  <si>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</si>
  <si>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</si>
  <si>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</si>
  <si>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</si>
  <si>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</si>
  <si>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</si>
  <si>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</si>
  <si>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</si>
  <si>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</si>
  <si>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</si>
  <si>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</si>
  <si>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</si>
  <si>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</si>
  <si>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</si>
  <si>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</si>
  <si>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</si>
  <si>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</si>
  <si>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</si>
  <si>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</si>
  <si>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</si>
  <si>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</si>
  <si>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</si>
  <si>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</si>
  <si>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</si>
  <si>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</si>
  <si>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</si>
  <si>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</si>
  <si>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</si>
  <si>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</si>
  <si>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</si>
  <si>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</si>
  <si>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</si>
  <si>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</si>
  <si>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</si>
  <si>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</si>
  <si>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</si>
  <si>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</si>
  <si>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</si>
  <si>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</si>
  <si>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</si>
  <si>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</si>
  <si>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</si>
  <si>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</si>
  <si>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</si>
  <si>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</si>
  <si>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</si>
  <si>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D3 (Video)</t>
  </si>
  <si>
    <t>Ikegami BS-80 4</t>
  </si>
  <si>
    <t>Ikegami BS-80 5</t>
  </si>
  <si>
    <t>Miranda D3 (Audio)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</si>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</sst>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D3 (Audio)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D3 (Audio)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D3 (Audio)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D3 (Video)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D3 (Video)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D3 (Audio)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D3 (Audio)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D3 (Audio)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D3 (Audio)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D3 (Audio)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D3 (Audio)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D3 (Audio)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D3 (Audio)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D3 (Audio)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D3 (Audio)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D3 (Audio)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D3 (Audio)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258</v>
      </c>
      <c r="B1" s="18" t="s">
        <v>259</v>
      </c>
      <c r="C1" s="19" t="s">
        <v>260</v>
      </c>
      <c r="D1" s="20" t="s">
        <v>261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262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263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264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265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266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267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268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269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256</v>
      </c>
      <c r="B13" s="12" t="s">
        <v>257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12" t="s">
        <v>270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271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272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6" t="s">
        <v>273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274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275</v>
      </c>
      <c r="B19" s="7" t="s">
        <v>276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277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239</v>
      </c>
      <c r="B22" s="23" t="s">
        <v>278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279</v>
      </c>
      <c r="B23" s="10" t="s">
        <v>280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281</v>
      </c>
      <c r="B24" s="16" t="s">
        <v>282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229</v>
      </c>
      <c r="B25" s="12" t="s">
        <v>283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231</v>
      </c>
      <c r="B26" s="16" t="s">
        <v>274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284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235</v>
      </c>
      <c r="B28" s="14" t="s">
        <v>285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243</v>
      </c>
      <c r="B29" s="10" t="s">
        <v>286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287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288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289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4" t="s">
        <v>290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5"/>
      <c r="B38" s="25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291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6"/>
      <c r="D2" s="6"/>
      <c r="E2" s="7">
        <v>8.0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D3 (Audio)")</f>
        <v>Miranda D3 (Audio)</v>
      </c>
      <c r="C3" s="6">
        <f>IFERROR(__xludf.DUMMYFUNCTION("""COMPUTED_VALUE"""),10.0)</f>
        <v>10</v>
      </c>
      <c r="D3" s="6" t="str">
        <f>IFERROR(__xludf.DUMMYFUNCTION("""COMPUTED_VALUE"""),"Audio Dist.")</f>
        <v>Audio Dist.</v>
      </c>
      <c r="E3" s="6" t="str">
        <f>IFERROR(__xludf.DUMMYFUNCTION("""COMPUTED_VALUE"""),"Out 8a")</f>
        <v>Out 8a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IFERROR(__xludf.DUMMYFUNCTION("""COMPUTED_VALUE"""),"Ext.2")</f>
        <v>Ext.2</v>
      </c>
      <c r="I3" s="6" t="str">
        <f>IFERROR(__xludf.DUMMYFUNCTION("""COMPUTED_VALUE"""),"Patch Ext. Audio")</f>
        <v>Patch Ext. Audio</v>
      </c>
      <c r="J3" s="6"/>
      <c r="K3" s="6"/>
      <c r="L3" s="6" t="str">
        <f>IFERROR(__xludf.DUMMYFUNCTION("""COMPUTED_VALUE"""),"A13")</f>
        <v>A13</v>
      </c>
      <c r="M3" s="9" t="str">
        <f>IFERROR(__xludf.DUMMYFUNCTION("""COMPUTED_VALUE"""),"ORDEN")</f>
        <v>ORDEN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D3 (Audio)")</f>
        <v>Miranda D3 (Audio)</v>
      </c>
      <c r="C4" s="6">
        <f>IFERROR(__xludf.DUMMYFUNCTION("""COMPUTED_VALUE"""),10.0)</f>
        <v>10</v>
      </c>
      <c r="D4" s="6" t="str">
        <f>IFERROR(__xludf.DUMMYFUNCTION("""COMPUTED_VALUE"""),"Audio Dist.")</f>
        <v>Audio Dist.</v>
      </c>
      <c r="E4" s="6" t="str">
        <f>IFERROR(__xludf.DUMMYFUNCTION("""COMPUTED_VALUE"""),"Out 8b")</f>
        <v>Out 8b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IFERROR(__xludf.DUMMYFUNCTION("""COMPUTED_VALUE"""),"Ext.2")</f>
        <v>Ext.2</v>
      </c>
      <c r="I4" s="6" t="str">
        <f>IFERROR(__xludf.DUMMYFUNCTION("""COMPUTED_VALUE"""),"Patch Ext. Audio")</f>
        <v>Patch Ext. Audio</v>
      </c>
      <c r="J4" s="6"/>
      <c r="K4" s="6"/>
      <c r="L4" s="6" t="str">
        <f>IFERROR(__xludf.DUMMYFUNCTION("""COMPUTED_VALUE"""),"A14")</f>
        <v>A14</v>
      </c>
      <c r="M4" s="9" t="str">
        <f>IFERROR(__xludf.DUMMYFUNCTION("""COMPUTED_VALUE"""),"ORDEN")</f>
        <v>ORDEN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D3 (Audio)")</f>
        <v>Miranda D3 (Audio)</v>
      </c>
      <c r="C5" s="6">
        <f>IFERROR(__xludf.DUMMYFUNCTION("""COMPUTED_VALUE"""),10.0)</f>
        <v>10</v>
      </c>
      <c r="D5" s="6" t="str">
        <f>IFERROR(__xludf.DUMMYFUNCTION("""COMPUTED_VALUE"""),"Audio Dist.")</f>
        <v>Audio Dist.</v>
      </c>
      <c r="E5" s="6" t="str">
        <f>IFERROR(__xludf.DUMMYFUNCTION("""COMPUTED_VALUE"""),"Out 8c")</f>
        <v>Out 8c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IFERROR(__xludf.DUMMYFUNCTION("""COMPUTED_VALUE"""),"A15")</f>
        <v>A15</v>
      </c>
      <c r="M5" s="9" t="str">
        <f>IFERROR(__xludf.DUMMYFUNCTION("""COMPUTED_VALUE"""),"ORDEN")</f>
        <v>ORDEN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D3 (Audio)")</f>
        <v>Miranda D3 (Audio)</v>
      </c>
      <c r="C6" s="6">
        <f>IFERROR(__xludf.DUMMYFUNCTION("""COMPUTED_VALUE"""),10.0)</f>
        <v>10</v>
      </c>
      <c r="D6" s="6" t="str">
        <f>IFERROR(__xludf.DUMMYFUNCTION("""COMPUTED_VALUE"""),"Audio Dist.")</f>
        <v>Audio Dist.</v>
      </c>
      <c r="E6" s="6" t="str">
        <f>IFERROR(__xludf.DUMMYFUNCTION("""COMPUTED_VALUE"""),"Out 8d")</f>
        <v>Out 8d</v>
      </c>
      <c r="F6" s="6" t="str">
        <f>IFERROR(__xludf.DUMMYFUNCTION("""COMPUTED_VALUE"""),"T")</f>
        <v>T</v>
      </c>
      <c r="G6" s="6" t="str">
        <f>IFERROR(__xludf.DUMMYFUNCTION("""COMPUTED_VALUE"""),"In 2")</f>
        <v>In 2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IFERROR(__xludf.DUMMYFUNCTION("""COMPUTED_VALUE"""),"A16")</f>
        <v>A16</v>
      </c>
      <c r="M6" s="9" t="str">
        <f>IFERROR(__xludf.DUMMYFUNCTION("""COMPUTED_VALUE"""),"ORDEN")</f>
        <v>ORDEN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