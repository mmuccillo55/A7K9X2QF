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<sst xmlns="http://schemas.openxmlformats.org/spreadsheetml/2006/main" count="1177" uniqueCount="287">
  <si>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</si>
  <si>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</si>
  <si>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</si>
  <si>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</si>
  <si>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</si>
  <si>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</si>
  <si>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</si>
  <si>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</si>
  <si>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</si>
  <si>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</si>
  <si>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</si>
  <si>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</si>
  <si>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</si>
  <si>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</si>
  <si>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</si>
  <si>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</si>
  <si>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</si>
  <si>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</si>
  <si>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</si>
  <si>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</si>
  <si>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</si>
  <si>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</si>
  <si>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</si>
  <si>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</si>
  <si>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</si>
  <si>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</si>
  <si>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</si>
  <si>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</si>
  <si>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</si>
  <si>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</si>
  <si>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</si>
  <si>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</si>
  <si>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</si>
  <si>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</si>
  <si>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</si>
  <si>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</si>
  <si>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</si>
  <si>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</si>
  <si>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</si>
  <si>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</si>
  <si>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</si>
  <si>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</si>
  <si>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</si>
  <si>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</si>
  <si>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</si>
  <si>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</si>
  <si>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</si>
  <si>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</si>
  <si>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</si>
  <si>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</si>
  <si>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</si>
  <si>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</si>
  <si>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</si>
  <si>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</si>
  <si>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</si>
  <si>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</si>
  <si>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</si>
  <si>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</si>
  <si>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</si>
  <si>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</si>
  <si>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</si>
  <si>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</si>
  <si>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</si>
  <si>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</si>
  <si>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</si>
  <si>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</si>
  <si>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</si>
  <si>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</si>
  <si>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</si>
  <si>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</si>
  <si>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</si>
  <si>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</si>
  <si>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</si>
  <si>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</si>
  <si>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</si>
  <si>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</si>
  <si>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</si>
  <si>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</si>
  <si>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</si>
  <si>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</si>
  <si>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</si>
  <si>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</si>
  <si>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</si>
  <si>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</si>
  <si>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</si>
  <si>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</si>
  <si>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</si>
  <si>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</si>
  <si>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</si>
  <si>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</si>
  <si>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</si>
  <si>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</si>
  <si>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</si>
  <si>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</si>
  <si>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</si>
  <si>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</si>
  <si>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</si>
  <si>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</si>
  <si>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</si>
  <si>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</si>
  <si>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</si>
  <si>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</si>
  <si>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</si>
  <si>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</si>
  <si>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</si>
  <si>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</si>
  <si>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</si>
  <si>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</si>
  <si>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</si>
  <si>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</si>
  <si>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</si>
  <si>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</si>
  <si>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</si>
  <si>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</si>
  <si>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</si>
  <si>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</si>
  <si>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</si>
  <si>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</si>
  <si>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</si>
  <si>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</si>
  <si>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</si>
  <si>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</si>
  <si>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</si>
  <si>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</si>
  <si>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</si>
  <si>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</si>
  <si>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</si>
  <si>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</si>
  <si>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</si>
  <si>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</si>
  <si>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</si>
  <si>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</si>
  <si>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</si>
  <si>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</si>
  <si>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</si>
  <si>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</si>
  <si>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</si>
  <si>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</si>
  <si>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</si>
  <si>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</si>
  <si>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</si>
  <si>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</si>
  <si>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</si>
  <si>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</si>
  <si>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</si>
  <si>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</si>
  <si>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</si>
  <si>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</si>
  <si>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</si>
  <si>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</si>
  <si>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</si>
  <si>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</si>
  <si>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</si>
  <si>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</si>
  <si>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</si>
  <si>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</si>
  <si>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</si>
  <si>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</si>
  <si>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</si>
  <si>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Out 5a</t>
  </si>
  <si>
    <t>Audio In 3</t>
  </si>
  <si>
    <t>SUB 1</t>
  </si>
  <si>
    <t>Out 5b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</si>
  <si>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</si>
  <si>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</si>
  <si>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</si>
  <si>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</si>
  <si>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</si>
  <si>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</si>
  <si>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</si>
  <si>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</si>
  <si>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</si>
  <si>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</si>
  <si>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</si>
  <si>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</si>
  <si>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</si>
  <si>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</si>
  <si>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</si>
  <si>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</si>
  <si>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</si>
  <si>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</si>
  <si>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</si>
  <si>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</si>
  <si>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</si>
  <si>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</si>
  <si>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</si>
  <si>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</si>
  <si>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</si>
  <si>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</si>
  <si>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</si>
  <si>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</si>
  <si>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</si>
  <si>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</si>
  <si>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</si>
  <si>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</si>
  <si>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</si>
  <si>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</si>
  <si>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</si>
  <si>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</si>
  <si>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</si>
  <si>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</si>
  <si>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</si>
  <si>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</si>
  <si>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</si>
  <si>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</si>
  <si>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</si>
  <si>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</si>
  <si>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</si>
  <si>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</si>
  <si>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</si>
  <si>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</si>
  <si>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</si>
  <si>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</si>
  <si>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</si>
  <si>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</si>
  <si>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</si>
  <si>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</si>
  <si>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</si>
  <si>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</si>
  <si>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</si>
  <si>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</si>
  <si>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</si>
  <si>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</si>
  <si>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</si>
  <si>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</si>
  <si>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</si>
  <si>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</si>
  <si>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</si>
  <si>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</si>
  <si>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</si>
  <si>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</si>
  <si>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</si>
  <si>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</si>
  <si>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</si>
  <si>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</si>
  <si>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</si>
  <si>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</si>
  <si>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</si>
  <si>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</si>
  <si>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</si>
  <si>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</si>
  <si>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</si>
  <si>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</si>
  <si>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</si>
  <si>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</si>
  <si>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</si>
  <si>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</si>
  <si>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</si>
  <si>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2a</t>
  </si>
  <si>
    <t>Aux Out 2b</t>
  </si>
  <si>
    <t>Aux Out 3</t>
  </si>
  <si>
    <t>Aux Out 4</t>
  </si>
  <si>
    <t>C.1</t>
  </si>
  <si>
    <t>RF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</si>
  <si>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</si>
  <si>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</si>
  <si>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</si>
  <si>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</si>
  <si>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</si>
  <si>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</si>
  <si>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</si>
  <si>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</si>
  <si>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</si>
  <si>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</si>
  <si>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Duo</t>
  </si>
  <si>
    <t>PC Video</t>
  </si>
  <si>
    <t>Miranda Densite3</t>
  </si>
  <si>
    <t>Ikegami BS-80 4</t>
  </si>
  <si>
    <t>Ikegami BS-80 5</t>
  </si>
  <si>
    <t>SmartScope Duo</t>
  </si>
  <si>
    <t>C.7</t>
  </si>
  <si>
    <t>PC Audio</t>
  </si>
  <si>
    <t>Yamaha MG166</t>
  </si>
  <si>
    <t>Monitor Audio L</t>
  </si>
  <si>
    <t>D.3</t>
  </si>
  <si>
    <t>Mixer Intercom</t>
  </si>
  <si>
    <t>D.4</t>
  </si>
  <si>
    <t>ATEM 1 Panel</t>
  </si>
  <si>
    <t>SmartView HD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</si>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</sst>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Duo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Duo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Duo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154</v>
      </c>
      <c r="E66" s="7" t="s">
        <v>159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160</v>
      </c>
      <c r="M66" s="8" t="s">
        <v>161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154</v>
      </c>
      <c r="E67" s="7" t="s">
        <v>162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163</v>
      </c>
      <c r="M67" s="8" t="s">
        <v>161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164</v>
      </c>
      <c r="M69" s="7" t="s">
        <v>165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Duo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Duo</v>
      </c>
      <c r="J70" s="6"/>
      <c r="K70" s="6"/>
      <c r="L70" s="7" t="s">
        <v>105</v>
      </c>
      <c r="M70" s="8" t="s">
        <v>166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167</v>
      </c>
      <c r="F71" s="7" t="s">
        <v>17</v>
      </c>
      <c r="G71" s="7" t="s">
        <v>167</v>
      </c>
      <c r="H71" s="7" t="s">
        <v>51</v>
      </c>
      <c r="I71" s="6" t="str">
        <f>IF(H71="","",VLOOKUP(H71,DB!A:B,2,0))</f>
        <v>Miranda Densite3</v>
      </c>
      <c r="J71" s="7">
        <v>7.0</v>
      </c>
      <c r="K71" s="7" t="s">
        <v>52</v>
      </c>
      <c r="L71" s="7" t="s">
        <v>57</v>
      </c>
      <c r="M71" s="8" t="s">
        <v>168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169</v>
      </c>
      <c r="F72" s="7" t="s">
        <v>17</v>
      </c>
      <c r="G72" s="7" t="s">
        <v>169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170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171</v>
      </c>
      <c r="F73" s="7" t="s">
        <v>17</v>
      </c>
      <c r="G73" s="7" t="s">
        <v>171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170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172</v>
      </c>
      <c r="F74" s="7" t="s">
        <v>17</v>
      </c>
      <c r="G74" s="7" t="s">
        <v>172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170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173</v>
      </c>
      <c r="F75" s="7" t="s">
        <v>17</v>
      </c>
      <c r="G75" s="7" t="s">
        <v>173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170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174</v>
      </c>
      <c r="F76" s="7" t="s">
        <v>17</v>
      </c>
      <c r="G76" s="7" t="s">
        <v>174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170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175</v>
      </c>
      <c r="F77" s="7" t="s">
        <v>17</v>
      </c>
      <c r="G77" s="7" t="s">
        <v>175</v>
      </c>
      <c r="H77" s="7" t="s">
        <v>90</v>
      </c>
      <c r="I77" s="6" t="str">
        <f>IF(H77="","",VLOOKUP(H77,DB!A:B,2,0))</f>
        <v>Miranda Densite3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176</v>
      </c>
      <c r="F78" s="7" t="s">
        <v>17</v>
      </c>
      <c r="G78" s="7" t="s">
        <v>176</v>
      </c>
      <c r="H78" s="7" t="s">
        <v>90</v>
      </c>
      <c r="I78" s="6" t="str">
        <f>IF(H78="","",VLOOKUP(H78,DB!A:B,2,0))</f>
        <v>Miranda Densite3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177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178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180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181</v>
      </c>
      <c r="F82" s="7" t="s">
        <v>17</v>
      </c>
      <c r="G82" s="12" t="s">
        <v>181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182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0" t="str">
        <f>IF(A83="","",VLOOKUP(A83,DB!A:B,2,0))</f>
        <v>Patch Ext. Audio</v>
      </c>
      <c r="C83" s="10"/>
      <c r="D83" s="10"/>
      <c r="E83" s="12" t="s">
        <v>183</v>
      </c>
      <c r="F83" s="7" t="s">
        <v>17</v>
      </c>
      <c r="G83" s="12" t="s">
        <v>183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184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4" t="str">
        <f>IF(A84="","",VLOOKUP(A84,DB!A:B,2,0))</f>
        <v>Patch Ext. Audio</v>
      </c>
      <c r="C84" s="14"/>
      <c r="D84" s="14"/>
      <c r="E84" s="12" t="s">
        <v>185</v>
      </c>
      <c r="F84" s="7" t="s">
        <v>17</v>
      </c>
      <c r="G84" s="12" t="s">
        <v>185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186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7" t="str">
        <f>IF(A85="","",VLOOKUP(A85,DB!A:B,2,0))</f>
        <v>Patch Ext. Audio</v>
      </c>
      <c r="C85" s="6"/>
      <c r="D85" s="6"/>
      <c r="E85" s="12" t="s">
        <v>187</v>
      </c>
      <c r="F85" s="7" t="s">
        <v>17</v>
      </c>
      <c r="G85" s="12" t="s">
        <v>187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188</v>
      </c>
      <c r="F86" s="7" t="s">
        <v>17</v>
      </c>
      <c r="G86" s="12" t="s">
        <v>188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189</v>
      </c>
      <c r="F87" s="7" t="s">
        <v>17</v>
      </c>
      <c r="G87" s="12" t="s">
        <v>189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Densite3</v>
      </c>
      <c r="C88" s="7">
        <v>10.0</v>
      </c>
      <c r="D88" s="7" t="s">
        <v>154</v>
      </c>
      <c r="E88" s="7" t="s">
        <v>46</v>
      </c>
      <c r="F88" s="7" t="s">
        <v>17</v>
      </c>
      <c r="G88" s="7" t="s">
        <v>18</v>
      </c>
      <c r="H88" s="7" t="s">
        <v>177</v>
      </c>
      <c r="I88" s="6" t="str">
        <f>IF(H88="","",VLOOKUP(H88,DB!A:B,2,0))</f>
        <v>Patch Ext. Audio</v>
      </c>
      <c r="J88" s="6"/>
      <c r="K88" s="6"/>
      <c r="L88" s="7" t="s">
        <v>190</v>
      </c>
      <c r="M88" s="8" t="s">
        <v>191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Densite3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18</v>
      </c>
      <c r="H89" s="7" t="s">
        <v>177</v>
      </c>
      <c r="I89" s="6" t="str">
        <f>IF(H89="","",VLOOKUP(H89,DB!A:B,2,0))</f>
        <v>Patch Ext. Audio</v>
      </c>
      <c r="J89" s="6"/>
      <c r="K89" s="6"/>
      <c r="L89" s="7" t="s">
        <v>192</v>
      </c>
      <c r="M89" s="8" t="s">
        <v>191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Densite3</v>
      </c>
      <c r="C90" s="7">
        <v>10.0</v>
      </c>
      <c r="D90" s="7" t="s">
        <v>154</v>
      </c>
      <c r="E90" s="7" t="s">
        <v>46</v>
      </c>
      <c r="F90" s="7" t="s">
        <v>17</v>
      </c>
      <c r="G90" s="7" t="s">
        <v>18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193</v>
      </c>
      <c r="M90" s="8" t="s">
        <v>191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Densite3</v>
      </c>
      <c r="C91" s="7">
        <v>10.0</v>
      </c>
      <c r="D91" s="7" t="s">
        <v>154</v>
      </c>
      <c r="E91" s="7" t="s">
        <v>46</v>
      </c>
      <c r="F91" s="7" t="s">
        <v>17</v>
      </c>
      <c r="G91" s="7" t="s">
        <v>18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194</v>
      </c>
      <c r="M91" s="8" t="s">
        <v>191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195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196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197</v>
      </c>
      <c r="M94" s="8" t="s">
        <v>161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Densite3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177</v>
      </c>
      <c r="I95" s="7" t="str">
        <f>IF(H95="","",VLOOKUP(H95,DB!A:B,2,0))</f>
        <v>Patch Ext. Audio</v>
      </c>
      <c r="J95" s="6"/>
      <c r="K95" s="6"/>
      <c r="L95" s="7" t="s">
        <v>198</v>
      </c>
      <c r="M95" s="8" t="s">
        <v>199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Densite3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177</v>
      </c>
      <c r="I96" s="7" t="str">
        <f>IF(H96="","",VLOOKUP(H96,DB!A:B,2,0))</f>
        <v>Patch Ext. Audio</v>
      </c>
      <c r="J96" s="6"/>
      <c r="K96" s="6"/>
      <c r="L96" s="7" t="s">
        <v>200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Densite3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201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Densite3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202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203</v>
      </c>
      <c r="M99" s="7" t="s">
        <v>199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177</v>
      </c>
      <c r="B100" s="7" t="str">
        <f>IF(A100="","",VLOOKUP(A100,DB!A:B,2,0))</f>
        <v>Patch Ext. Audio</v>
      </c>
      <c r="C100" s="6"/>
      <c r="D100" s="6"/>
      <c r="E100" s="7" t="s">
        <v>204</v>
      </c>
      <c r="F100" s="7" t="s">
        <v>17</v>
      </c>
      <c r="G100" s="7" t="s">
        <v>204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205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177</v>
      </c>
      <c r="B101" s="7" t="str">
        <f>IF(A101="","",VLOOKUP(A101,DB!A:B,2,0))</f>
        <v>Patch Ext. Audio</v>
      </c>
      <c r="C101" s="6"/>
      <c r="D101" s="6"/>
      <c r="E101" s="7" t="s">
        <v>206</v>
      </c>
      <c r="F101" s="7" t="s">
        <v>17</v>
      </c>
      <c r="G101" s="7" t="s">
        <v>206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207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208</v>
      </c>
      <c r="F102" s="7" t="s">
        <v>17</v>
      </c>
      <c r="G102" s="7" t="s">
        <v>208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209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210</v>
      </c>
      <c r="F103" s="7" t="s">
        <v>17</v>
      </c>
      <c r="G103" s="7" t="s">
        <v>210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212</v>
      </c>
      <c r="F104" s="7" t="s">
        <v>17</v>
      </c>
      <c r="G104" s="7" t="s">
        <v>212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213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214</v>
      </c>
      <c r="F105" s="7" t="s">
        <v>17</v>
      </c>
      <c r="G105" s="7" t="s">
        <v>214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215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216</v>
      </c>
      <c r="F106" s="7" t="s">
        <v>17</v>
      </c>
      <c r="G106" s="7" t="s">
        <v>216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217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218</v>
      </c>
      <c r="F107" s="7" t="s">
        <v>17</v>
      </c>
      <c r="G107" s="7" t="s">
        <v>218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219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220</v>
      </c>
      <c r="F108" s="7" t="s">
        <v>17</v>
      </c>
      <c r="G108" s="7" t="s">
        <v>220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221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14" t="str">
        <f>IF(A109="","",VLOOKUP(A109,DB!A:B,2,0))</f>
        <v>Patch Ext. Audio</v>
      </c>
      <c r="C109" s="15"/>
      <c r="D109" s="14"/>
      <c r="E109" s="7" t="s">
        <v>222</v>
      </c>
      <c r="F109" s="7" t="s">
        <v>17</v>
      </c>
      <c r="G109" s="7" t="s">
        <v>222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223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224</v>
      </c>
      <c r="F110" s="6"/>
      <c r="G110" s="6"/>
      <c r="H110" s="7" t="s">
        <v>225</v>
      </c>
      <c r="I110" s="6" t="str">
        <f>IF(H110="","",VLOOKUP(H110,DB!A:B,2,0))</f>
        <v>SmartView HD</v>
      </c>
      <c r="J110" s="6"/>
      <c r="K110" s="6"/>
      <c r="L110" s="7" t="s">
        <v>93</v>
      </c>
      <c r="M110" s="8" t="s">
        <v>226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225</v>
      </c>
      <c r="B111" s="7" t="str">
        <f>IF(A111="","",VLOOKUP(A111,DB!A:B,2,0))</f>
        <v>SmartView HD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227</v>
      </c>
      <c r="I111" s="6" t="str">
        <f>IF(H111="","",VLOOKUP(H111,DB!A:B,2,0))</f>
        <v>SmartScope Duo</v>
      </c>
      <c r="J111" s="6"/>
      <c r="K111" s="6"/>
      <c r="L111" s="7" t="s">
        <v>115</v>
      </c>
      <c r="M111" s="8" t="s">
        <v>228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227</v>
      </c>
      <c r="B112" s="7" t="str">
        <f>IF(A112="","",VLOOKUP(A112,DB!A:B,2,0))</f>
        <v>SmartScope Duo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227</v>
      </c>
      <c r="I112" s="6" t="str">
        <f>IF(H112="","",VLOOKUP(H112,DB!A:B,2,0))</f>
        <v>SmartScope Duo</v>
      </c>
      <c r="J112" s="6"/>
      <c r="K112" s="6"/>
      <c r="L112" s="7" t="s">
        <v>105</v>
      </c>
      <c r="M112" s="8" t="s">
        <v>229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230</v>
      </c>
      <c r="F113" s="6"/>
      <c r="G113" s="6"/>
      <c r="H113" s="7" t="s">
        <v>231</v>
      </c>
      <c r="I113" s="6" t="str">
        <f>IF(H113="","",VLOOKUP(H113,DB!A:B,2,0))</f>
        <v>Monitor Multiview</v>
      </c>
      <c r="J113" s="6"/>
      <c r="K113" s="6"/>
      <c r="L113" s="7" t="s">
        <v>232</v>
      </c>
      <c r="M113" s="8" t="s">
        <v>233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234</v>
      </c>
      <c r="F114" s="6"/>
      <c r="G114" s="6"/>
      <c r="H114" s="7" t="s">
        <v>235</v>
      </c>
      <c r="I114" s="6" t="str">
        <f>IF(H114="","",VLOOKUP(H114,DB!A:B,2,0))</f>
        <v>Monitor Audio L</v>
      </c>
      <c r="J114" s="6"/>
      <c r="K114" s="6"/>
      <c r="L114" s="7" t="s">
        <v>236</v>
      </c>
      <c r="M114" s="8" t="s">
        <v>237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238</v>
      </c>
      <c r="F115" s="6"/>
      <c r="G115" s="6"/>
      <c r="H115" s="7" t="s">
        <v>239</v>
      </c>
      <c r="I115" s="6" t="str">
        <f>IF(H115="","",VLOOKUP(H115,DB!A:B,2,0))</f>
        <v>Monitor Audio R</v>
      </c>
      <c r="J115" s="6"/>
      <c r="K115" s="6"/>
      <c r="L115" s="7" t="s">
        <v>236</v>
      </c>
      <c r="M115" s="8" t="s">
        <v>240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241</v>
      </c>
      <c r="F116" s="6"/>
      <c r="G116" s="6"/>
      <c r="H116" s="7" t="s">
        <v>90</v>
      </c>
      <c r="I116" s="6" t="str">
        <f>IF(H116="","",VLOOKUP(H116,DB!A:B,2,0))</f>
        <v>Miranda Densite3</v>
      </c>
      <c r="J116" s="7">
        <v>7.0</v>
      </c>
      <c r="K116" s="6"/>
      <c r="L116" s="7" t="s">
        <v>18</v>
      </c>
      <c r="M116" s="8" t="s">
        <v>242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243</v>
      </c>
      <c r="F117" s="6"/>
      <c r="G117" s="6"/>
      <c r="H117" s="7" t="s">
        <v>90</v>
      </c>
      <c r="I117" s="6" t="str">
        <f>IF(H117="","",VLOOKUP(H117,DB!A:B,2,0))</f>
        <v>Miranda Densite3</v>
      </c>
      <c r="J117" s="7">
        <v>7.0</v>
      </c>
      <c r="K117" s="6"/>
      <c r="L117" s="7" t="s">
        <v>24</v>
      </c>
      <c r="M117" s="8" t="s">
        <v>244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245</v>
      </c>
      <c r="F118" s="6"/>
      <c r="G118" s="6"/>
      <c r="H118" s="7" t="s">
        <v>90</v>
      </c>
      <c r="I118" s="6" t="str">
        <f>IF(H118="","",VLOOKUP(H118,DB!A:B,2,0))</f>
        <v>Miranda Densite3</v>
      </c>
      <c r="J118" s="7">
        <v>8.0</v>
      </c>
      <c r="K118" s="6"/>
      <c r="L118" s="7" t="s">
        <v>24</v>
      </c>
      <c r="M118" s="8" t="s">
        <v>161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246</v>
      </c>
      <c r="F119" s="6"/>
      <c r="G119" s="6"/>
      <c r="H119" s="7" t="s">
        <v>90</v>
      </c>
      <c r="I119" s="6" t="str">
        <f>IF(H119="","",VLOOKUP(H119,DB!A:B,2,0))</f>
        <v>Miranda Densite3</v>
      </c>
      <c r="J119" s="7">
        <v>8.0</v>
      </c>
      <c r="K119" s="6"/>
      <c r="L119" s="7" t="s">
        <v>18</v>
      </c>
      <c r="M119" s="8" t="s">
        <v>199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247</v>
      </c>
      <c r="F120" s="6"/>
      <c r="G120" s="6"/>
      <c r="H120" s="7" t="s">
        <v>90</v>
      </c>
      <c r="I120" s="6" t="str">
        <f>IF(H120="","",VLOOKUP(H120,DB!A:B,2,0))</f>
        <v>Miranda Densite3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248</v>
      </c>
      <c r="F121" s="6"/>
      <c r="G121" s="6"/>
      <c r="H121" s="7" t="s">
        <v>90</v>
      </c>
      <c r="I121" s="6" t="str">
        <f>IF(H121="","",VLOOKUP(H121,DB!A:B,2,0))</f>
        <v>Miranda Densite3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249</v>
      </c>
      <c r="F122" s="6"/>
      <c r="G122" s="6"/>
      <c r="H122" s="7" t="s">
        <v>90</v>
      </c>
      <c r="I122" s="6" t="str">
        <f>IF(H122="","",VLOOKUP(H122,DB!A:B,2,0))</f>
        <v>Miranda Densite3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250</v>
      </c>
      <c r="F123" s="6"/>
      <c r="G123" s="6"/>
      <c r="H123" s="7" t="s">
        <v>90</v>
      </c>
      <c r="I123" s="6" t="str">
        <f>IF(H123="","",VLOOKUP(H123,DB!A:B,2,0))</f>
        <v>Miranda Densite3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251</v>
      </c>
      <c r="F124" s="6"/>
      <c r="G124" s="6"/>
      <c r="H124" s="7" t="s">
        <v>252</v>
      </c>
      <c r="I124" s="6" t="str">
        <f>IF(H124="","",VLOOKUP(H124,DB!A:B,2,0))</f>
        <v>RF</v>
      </c>
      <c r="J124" s="6"/>
      <c r="K124" s="6"/>
      <c r="L124" s="7" t="s">
        <v>236</v>
      </c>
      <c r="M124" s="8" t="s">
        <v>253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175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176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167</v>
      </c>
      <c r="M129" s="8" t="s">
        <v>168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164</v>
      </c>
      <c r="F133" s="7" t="s">
        <v>17</v>
      </c>
      <c r="G133" s="7" t="s">
        <v>164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165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169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171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172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173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174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177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178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177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179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177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180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181</v>
      </c>
      <c r="M149" s="13" t="s">
        <v>182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183</v>
      </c>
      <c r="M150" s="13" t="s">
        <v>184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185</v>
      </c>
      <c r="M151" s="13" t="s">
        <v>186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187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188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189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177</v>
      </c>
      <c r="B155" s="7" t="str">
        <f>IF(A155="","",VLOOKUP(A155,DB!A:B,2,0))</f>
        <v>Patch Ext. Audio</v>
      </c>
      <c r="C155" s="6"/>
      <c r="D155" s="6"/>
      <c r="E155" s="7" t="s">
        <v>190</v>
      </c>
      <c r="F155" s="7" t="s">
        <v>17</v>
      </c>
      <c r="G155" s="7" t="s">
        <v>190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191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177</v>
      </c>
      <c r="B156" s="7" t="str">
        <f>IF(A156="","",VLOOKUP(A156,DB!A:B,2,0))</f>
        <v>Patch Ext. Audio</v>
      </c>
      <c r="C156" s="6"/>
      <c r="D156" s="6"/>
      <c r="E156" s="7" t="s">
        <v>192</v>
      </c>
      <c r="F156" s="7" t="s">
        <v>17</v>
      </c>
      <c r="G156" s="7" t="s">
        <v>190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191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177</v>
      </c>
      <c r="B157" s="7" t="str">
        <f>IF(A157="","",VLOOKUP(A157,DB!A:B,2,0))</f>
        <v>Patch Ext. Audio</v>
      </c>
      <c r="C157" s="6"/>
      <c r="D157" s="6"/>
      <c r="E157" s="7" t="s">
        <v>193</v>
      </c>
      <c r="F157" s="7" t="s">
        <v>17</v>
      </c>
      <c r="G157" s="7" t="s">
        <v>190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191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194</v>
      </c>
      <c r="F158" s="7" t="s">
        <v>17</v>
      </c>
      <c r="G158" s="7" t="s">
        <v>190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191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195</v>
      </c>
      <c r="F159" s="7" t="s">
        <v>17</v>
      </c>
      <c r="G159" s="7" t="s">
        <v>195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196</v>
      </c>
      <c r="F160" s="7" t="s">
        <v>17</v>
      </c>
      <c r="G160" s="7" t="s">
        <v>196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197</v>
      </c>
      <c r="F161" s="7" t="s">
        <v>17</v>
      </c>
      <c r="G161" s="7" t="s">
        <v>197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161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198</v>
      </c>
      <c r="F162" s="7" t="s">
        <v>17</v>
      </c>
      <c r="G162" s="7" t="s">
        <v>198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199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200</v>
      </c>
      <c r="F163" s="7" t="s">
        <v>17</v>
      </c>
      <c r="G163" s="7" t="s">
        <v>200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201</v>
      </c>
      <c r="F164" s="7" t="s">
        <v>17</v>
      </c>
      <c r="G164" s="7" t="s">
        <v>201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202</v>
      </c>
      <c r="F165" s="7" t="s">
        <v>17</v>
      </c>
      <c r="G165" s="7" t="s">
        <v>202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203</v>
      </c>
      <c r="F166" s="7" t="s">
        <v>17</v>
      </c>
      <c r="G166" s="7" t="s">
        <v>203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199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177</v>
      </c>
      <c r="I167" s="6" t="str">
        <f>IF(H167="","",VLOOKUP(H167,DB!A:B,2,0))</f>
        <v>Patch Ext. Audio</v>
      </c>
      <c r="J167" s="6"/>
      <c r="K167" s="6"/>
      <c r="L167" s="7" t="s">
        <v>204</v>
      </c>
      <c r="M167" s="7" t="s">
        <v>205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177</v>
      </c>
      <c r="I168" s="6" t="str">
        <f>IF(H168="","",VLOOKUP(H168,DB!A:B,2,0))</f>
        <v>Patch Ext. Audio</v>
      </c>
      <c r="J168" s="6"/>
      <c r="K168" s="6"/>
      <c r="L168" s="7" t="s">
        <v>206</v>
      </c>
      <c r="M168" s="7" t="s">
        <v>207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177</v>
      </c>
      <c r="I169" s="6" t="str">
        <f>IF(H169="","",VLOOKUP(H169,DB!A:B,2,0))</f>
        <v>Patch Ext. Audio</v>
      </c>
      <c r="J169" s="6"/>
      <c r="K169" s="6"/>
      <c r="L169" s="7" t="s">
        <v>208</v>
      </c>
      <c r="M169" s="7" t="s">
        <v>209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210</v>
      </c>
      <c r="M170" s="7" t="s">
        <v>211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212</v>
      </c>
      <c r="M171" s="7" t="s">
        <v>213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214</v>
      </c>
      <c r="M172" s="7" t="s">
        <v>215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216</v>
      </c>
      <c r="M173" s="7" t="s">
        <v>217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218</v>
      </c>
      <c r="M174" s="7" t="s">
        <v>219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220</v>
      </c>
      <c r="M175" s="7" t="s">
        <v>221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222</v>
      </c>
      <c r="M176" s="16" t="s">
        <v>223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</sheetData>
  <conditionalFormatting sqref="A1:AC486">
    <cfRule type="cellIs" dxfId="0" priority="1" operator="equal">
      <formula>"N/D"</formula>
    </cfRule>
  </conditionalFormatting>
  <conditionalFormatting sqref="A1:AC486">
    <cfRule type="cellIs" dxfId="1" priority="2" operator="equal">
      <formula>"N/C"</formula>
    </cfRule>
  </conditionalFormatting>
  <conditionalFormatting sqref="A1:AC486">
    <cfRule type="expression" dxfId="2" priority="3">
      <formula>ISEVEN(ROW())</formula>
    </cfRule>
  </conditionalFormatting>
  <dataValidations>
    <dataValidation type="list" allowBlank="1" showErrorMessage="1" sqref="A2:A486 H2:H486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254</v>
      </c>
      <c r="B1" s="18" t="s">
        <v>255</v>
      </c>
      <c r="C1" s="19" t="s">
        <v>256</v>
      </c>
      <c r="D1" s="20" t="s">
        <v>257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258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259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260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261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262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263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264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265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252</v>
      </c>
      <c r="B13" s="12" t="s">
        <v>253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266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267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268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266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269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270</v>
      </c>
      <c r="B19" s="7" t="s">
        <v>271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272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235</v>
      </c>
      <c r="B22" s="23" t="s">
        <v>273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274</v>
      </c>
      <c r="B23" s="10" t="s">
        <v>275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276</v>
      </c>
      <c r="B24" s="16" t="s">
        <v>277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225</v>
      </c>
      <c r="B25" s="12" t="s">
        <v>278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227</v>
      </c>
      <c r="B26" s="16" t="s">
        <v>269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279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231</v>
      </c>
      <c r="B28" s="14" t="s">
        <v>280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239</v>
      </c>
      <c r="B29" s="10" t="s">
        <v>281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282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177</v>
      </c>
      <c r="B32" s="12" t="s">
        <v>283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284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5" t="s">
        <v>285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/>
      <c r="B38" s="24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90</v>
      </c>
      <c r="B2" s="6"/>
      <c r="C2" s="7">
        <v>8.0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Conexiones!A2:O486,
    IF(A2="""", ROW(Conexiones!A2:A486)^0, ISNUMBER(SEARCH(A2, Conexiones!A2:A486))),
    IF(B2="""", ROW(Conexiones!B2:B486)^0, ISNUMBER(SEARCH(B2, Conexiones!B2:B486))),
    IF(C2="""", ROW(Conexiones!C2:C486)^0, "&amp;"ISNUMBER(SEARCH(C2, Conexiones!C2:C486))),
    IF(D2="""", ROW(Conexiones!D2:D486)^0, ISNUMBER(SEARCH(D2, Conexiones!D2:D486))),
    IF(E2="""", ROW(Conexiones!E2:E486)^0, ISNUMBER(SEARCH(E2, Conexiones!E2:E486))),
    IF(L2="""", ROW(Conexiones!L2:L486)^"&amp;"0, ISNUMBER(SEARCH(L2, Conexiones!L2:L486))),
    IF(F2="""", ROW(Conexiones!F2:F486)^0, ISNUMBER(SEARCH(F2, Conexiones!F2:F486))),
    IF(G2="""", ROW(Conexiones!G2:G486)^0, ISNUMBER(SEARCH(G2, Conexiones!G2:G486))),
    IF(H2="""", ROW(Conexiones!H2:H48"&amp;"6)^0, ISNUMBER(SEARCH(H2, Conexiones!H2:H486))),
    IF(B2="""", ROW(Conexiones!H2:H486)^0, ISNUMBER(SEARCH(B2, Conexiones!H2:H486))),
    IF(I2="""", ROW(Conexiones!I2:I486)^0, ISNUMBER(SEARCH(I2, Conexiones!I2:I486))),
    IF(J2="""", ROW(Conexiones!J2:"&amp;"J486)^0, ISNUMBER(SEARCH(J2, Conexiones!J2:J486))),
    IF(K2="""", ROW(Conexiones!L2:L486)^0, ISNUMBER(SEARCH(K2, Conexiones!L2:L486))),
    IF(M2="""", ROW(Conexiones!M2:M486)^0, ISNUMBER(SEARCH(M2, Conexiones!M2:M486))),
    IF(N2="""", ROW(Conexiones!"&amp;"N2:N486)^0, ISNUMBER(SEARCH(N2, Conexiones!N2:N486))),
    IF(O2="""", ROW(Conexiones!O2:O486)^0, ISNUMBER(SEARCH(O2, Conexiones!O2:O486)))
  ),
  Q2,
  TRUE
)"),"C.5")</f>
        <v>C.5</v>
      </c>
      <c r="B3" s="6" t="str">
        <f>IFERROR(__xludf.DUMMYFUNCTION("""COMPUTED_VALUE"""),"Miranda Densite3")</f>
        <v>Miranda Densite3</v>
      </c>
      <c r="C3" s="6">
        <f>IFERROR(__xludf.DUMMYFUNCTION("""COMPUTED_VALUE"""),8.0)</f>
        <v>8</v>
      </c>
      <c r="D3" s="6" t="str">
        <f>IFERROR(__xludf.DUMMYFUNCTION("""COMPUTED_VALUE"""),"Audio Dist.")</f>
        <v>Audio Dist.</v>
      </c>
      <c r="E3" s="6" t="str">
        <f>IFERROR(__xludf.DUMMYFUNCTION("""COMPUTED_VALUE"""),"Out 5a")</f>
        <v>Out 5a</v>
      </c>
      <c r="F3" s="6" t="str">
        <f>IFERROR(__xludf.DUMMYFUNCTION("""COMPUTED_VALUE"""),"T")</f>
        <v>T</v>
      </c>
      <c r="G3" s="6" t="str">
        <f>IFERROR(__xludf.DUMMYFUNCTION("""COMPUTED_VALUE"""),"In 2")</f>
        <v>In 2</v>
      </c>
      <c r="H3" s="6" t="str">
        <f>IFERROR(__xludf.DUMMYFUNCTION("""COMPUTED_VALUE"""),"C.5")</f>
        <v>C.5</v>
      </c>
      <c r="I3" s="6" t="str">
        <f>IFERROR(__xludf.DUMMYFUNCTION("""COMPUTED_VALUE"""),"Miranda Densite3")</f>
        <v>Miranda Densite3</v>
      </c>
      <c r="J3" s="6">
        <f>IFERROR(__xludf.DUMMYFUNCTION("""COMPUTED_VALUE"""),1.0)</f>
        <v>1</v>
      </c>
      <c r="K3" s="6" t="str">
        <f>IFERROR(__xludf.DUMMYFUNCTION("""COMPUTED_VALUE"""),"Embedder")</f>
        <v>Embedder</v>
      </c>
      <c r="L3" s="6" t="str">
        <f>IFERROR(__xludf.DUMMYFUNCTION("""COMPUTED_VALUE"""),"Audio In 3")</f>
        <v>Audio In 3</v>
      </c>
      <c r="M3" s="9" t="str">
        <f>IFERROR(__xludf.DUMMYFUNCTION("""COMPUTED_VALUE"""),"SUB 1")</f>
        <v>SUB 1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IFERROR(__xludf.DUMMYFUNCTION("""COMPUTED_VALUE"""),"C.5")</f>
        <v>C.5</v>
      </c>
      <c r="B4" s="6" t="str">
        <f>IFERROR(__xludf.DUMMYFUNCTION("""COMPUTED_VALUE"""),"Miranda Densite3")</f>
        <v>Miranda Densite3</v>
      </c>
      <c r="C4" s="6">
        <f>IFERROR(__xludf.DUMMYFUNCTION("""COMPUTED_VALUE"""),8.0)</f>
        <v>8</v>
      </c>
      <c r="D4" s="6" t="str">
        <f>IFERROR(__xludf.DUMMYFUNCTION("""COMPUTED_VALUE"""),"Audio Dist.")</f>
        <v>Audio Dist.</v>
      </c>
      <c r="E4" s="6" t="str">
        <f>IFERROR(__xludf.DUMMYFUNCTION("""COMPUTED_VALUE"""),"Out 5b")</f>
        <v>Out 5b</v>
      </c>
      <c r="F4" s="6" t="str">
        <f>IFERROR(__xludf.DUMMYFUNCTION("""COMPUTED_VALUE"""),"T")</f>
        <v>T</v>
      </c>
      <c r="G4" s="6" t="str">
        <f>IFERROR(__xludf.DUMMYFUNCTION("""COMPUTED_VALUE"""),"In 2")</f>
        <v>In 2</v>
      </c>
      <c r="H4" s="6" t="str">
        <f>IFERROR(__xludf.DUMMYFUNCTION("""COMPUTED_VALUE"""),"C.5")</f>
        <v>C.5</v>
      </c>
      <c r="I4" s="6" t="str">
        <f>IFERROR(__xludf.DUMMYFUNCTION("""COMPUTED_VALUE"""),"Miranda Densite3")</f>
        <v>Miranda Densite3</v>
      </c>
      <c r="J4" s="6">
        <f>IFERROR(__xludf.DUMMYFUNCTION("""COMPUTED_VALUE"""),1.0)</f>
        <v>1</v>
      </c>
      <c r="K4" s="6" t="str">
        <f>IFERROR(__xludf.DUMMYFUNCTION("""COMPUTED_VALUE"""),"Embedder")</f>
        <v>Embedder</v>
      </c>
      <c r="L4" s="6" t="str">
        <f>IFERROR(__xludf.DUMMYFUNCTION("""COMPUTED_VALUE"""),"Audio In 4")</f>
        <v>Audio In 4</v>
      </c>
      <c r="M4" s="9" t="str">
        <f>IFERROR(__xludf.DUMMYFUNCTION("""COMPUTED_VALUE"""),"SUB 1")</f>
        <v>SUB 1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IFERROR(__xludf.DUMMYFUNCTION("""COMPUTED_VALUE"""),"C.5")</f>
        <v>C.5</v>
      </c>
      <c r="B5" s="6" t="str">
        <f>IFERROR(__xludf.DUMMYFUNCTION("""COMPUTED_VALUE"""),"Miranda Densite3")</f>
        <v>Miranda Densite3</v>
      </c>
      <c r="C5" s="6">
        <f>IFERROR(__xludf.DUMMYFUNCTION("""COMPUTED_VALUE"""),8.0)</f>
        <v>8</v>
      </c>
      <c r="D5" s="6" t="str">
        <f>IFERROR(__xludf.DUMMYFUNCTION("""COMPUTED_VALUE"""),"Audio Dist.")</f>
        <v>Audio Dist.</v>
      </c>
      <c r="E5" s="6" t="str">
        <f>IFERROR(__xludf.DUMMYFUNCTION("""COMPUTED_VALUE"""),"Out 6")</f>
        <v>Out 6</v>
      </c>
      <c r="F5" s="6" t="str">
        <f>IFERROR(__xludf.DUMMYFUNCTION("""COMPUTED_VALUE"""),"T")</f>
        <v>T</v>
      </c>
      <c r="G5" s="6" t="str">
        <f>IFERROR(__xludf.DUMMYFUNCTION("""COMPUTED_VALUE"""),"In 2")</f>
        <v>In 2</v>
      </c>
      <c r="H5" s="6" t="str">
        <f>IFERROR(__xludf.DUMMYFUNCTION("""COMPUTED_VALUE"""),"Ext.2")</f>
        <v>Ext.2</v>
      </c>
      <c r="I5" s="6" t="str">
        <f>IFERROR(__xludf.DUMMYFUNCTION("""COMPUTED_VALUE"""),"Patch Ext. Audio")</f>
        <v>Patch Ext. Audio</v>
      </c>
      <c r="J5" s="6"/>
      <c r="K5" s="6"/>
      <c r="L5" s="6" t="str">
        <f>IFERROR(__xludf.DUMMYFUNCTION("""COMPUTED_VALUE"""),"A19")</f>
        <v>A19</v>
      </c>
      <c r="M5" s="9" t="str">
        <f>IFERROR(__xludf.DUMMYFUNCTION("""COMPUTED_VALUE"""),"SUB 1")</f>
        <v>SUB 1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IFERROR(__xludf.DUMMYFUNCTION("""COMPUTED_VALUE"""),"C.5")</f>
        <v>C.5</v>
      </c>
      <c r="B6" s="6" t="str">
        <f>IFERROR(__xludf.DUMMYFUNCTION("""COMPUTED_VALUE"""),"Miranda Densite3")</f>
        <v>Miranda Densite3</v>
      </c>
      <c r="C6" s="6">
        <f>IFERROR(__xludf.DUMMYFUNCTION("""COMPUTED_VALUE"""),8.0)</f>
        <v>8</v>
      </c>
      <c r="D6" s="6" t="str">
        <f>IFERROR(__xludf.DUMMYFUNCTION("""COMPUTED_VALUE"""),"Audio Dist.")</f>
        <v>Audio Dist.</v>
      </c>
      <c r="E6" s="6" t="str">
        <f>IFERROR(__xludf.DUMMYFUNCTION("""COMPUTED_VALUE"""),"Out 1")</f>
        <v>Out 1</v>
      </c>
      <c r="F6" s="6" t="str">
        <f>IFERROR(__xludf.DUMMYFUNCTION("""COMPUTED_VALUE"""),"T")</f>
        <v>T</v>
      </c>
      <c r="G6" s="6" t="str">
        <f>IFERROR(__xludf.DUMMYFUNCTION("""COMPUTED_VALUE"""),"In 1")</f>
        <v>In 1</v>
      </c>
      <c r="H6" s="6" t="str">
        <f>IFERROR(__xludf.DUMMYFUNCTION("""COMPUTED_VALUE"""),"Ext.2")</f>
        <v>Ext.2</v>
      </c>
      <c r="I6" s="6" t="str">
        <f>IFERROR(__xludf.DUMMYFUNCTION("""COMPUTED_VALUE"""),"Patch Ext. Audio")</f>
        <v>Patch Ext. Audio</v>
      </c>
      <c r="J6" s="6"/>
      <c r="K6" s="6"/>
      <c r="L6" s="6" t="str">
        <f>IFERROR(__xludf.DUMMYFUNCTION("""COMPUTED_VALUE"""),"A20")</f>
        <v>A20</v>
      </c>
      <c r="M6" s="9" t="str">
        <f>IFERROR(__xludf.DUMMYFUNCTION("""COMPUTED_VALUE"""),"SUB 3")</f>
        <v>SUB 3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IFERROR(__xludf.DUMMYFUNCTION("""COMPUTED_VALUE"""),"C.5")</f>
        <v>C.5</v>
      </c>
      <c r="B7" s="6" t="str">
        <f>IFERROR(__xludf.DUMMYFUNCTION("""COMPUTED_VALUE"""),"Miranda Densite3")</f>
        <v>Miranda Densite3</v>
      </c>
      <c r="C7" s="6">
        <f>IFERROR(__xludf.DUMMYFUNCTION("""COMPUTED_VALUE"""),8.0)</f>
        <v>8</v>
      </c>
      <c r="D7" s="6" t="str">
        <f>IFERROR(__xludf.DUMMYFUNCTION("""COMPUTED_VALUE"""),"Audio Dist.")</f>
        <v>Audio Dist.</v>
      </c>
      <c r="E7" s="6" t="str">
        <f>IFERROR(__xludf.DUMMYFUNCTION("""COMPUTED_VALUE"""),"Out 2")</f>
        <v>Out 2</v>
      </c>
      <c r="F7" s="6" t="str">
        <f>IFERROR(__xludf.DUMMYFUNCTION("""COMPUTED_VALUE"""),"T")</f>
        <v>T</v>
      </c>
      <c r="G7" s="6" t="str">
        <f>IFERROR(__xludf.DUMMYFUNCTION("""COMPUTED_VALUE"""),"In 1")</f>
        <v>In 1</v>
      </c>
      <c r="H7" s="6" t="str">
        <f>IFERROR(__xludf.DUMMYFUNCTION("""COMPUTED_VALUE"""),"Ext.2")</f>
        <v>Ext.2</v>
      </c>
      <c r="I7" s="6" t="str">
        <f>IFERROR(__xludf.DUMMYFUNCTION("""COMPUTED_VALUE"""),"Patch Ext. Audio")</f>
        <v>Patch Ext. Audio</v>
      </c>
      <c r="J7" s="6"/>
      <c r="K7" s="6"/>
      <c r="L7" s="6" t="str">
        <f>IFERROR(__xludf.DUMMYFUNCTION("""COMPUTED_VALUE"""),"A24")</f>
        <v>A24</v>
      </c>
      <c r="M7" s="6" t="str">
        <f>IFERROR(__xludf.DUMMYFUNCTION("""COMPUTED_VALUE"""),"SUB 3")</f>
        <v>SUB 3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