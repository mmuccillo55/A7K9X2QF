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<sst xmlns="http://schemas.openxmlformats.org/spreadsheetml/2006/main" count="1417" uniqueCount="327">
  <si>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</si>
  <si>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</si>
  <si>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</si>
  <si>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</si>
  <si>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</si>
  <si>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</si>
  <si>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</si>
  <si>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</si>
  <si>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</si>
  <si>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</si>
  <si>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</si>
  <si>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</si>
  <si>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</si>
  <si>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</si>
  <si>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</si>
  <si>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</si>
  <si>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P1</t>
  </si>
  <si>
    <t>T</t>
  </si>
  <si>
    <t>B.8</t>
  </si>
  <si>
    <t>DeckLink</t>
  </si>
  <si>
    <t>BM P1</t>
  </si>
  <si>
    <t>P2</t>
  </si>
  <si>
    <t>BM P2</t>
  </si>
  <si>
    <t>P3</t>
  </si>
  <si>
    <t>BM P3</t>
  </si>
  <si>
    <t>P4</t>
  </si>
  <si>
    <t>BM P4</t>
  </si>
  <si>
    <t>P5</t>
  </si>
  <si>
    <t>N/C</t>
  </si>
  <si>
    <t>P6</t>
  </si>
  <si>
    <t>B.2</t>
  </si>
  <si>
    <t>In 7</t>
  </si>
  <si>
    <t>SW IN 7</t>
  </si>
  <si>
    <t>P7</t>
  </si>
  <si>
    <t>In 8</t>
  </si>
  <si>
    <t>SW IN 8</t>
  </si>
  <si>
    <t>P8</t>
  </si>
  <si>
    <t>In 9</t>
  </si>
  <si>
    <t>SW IN 9</t>
  </si>
  <si>
    <t>P10</t>
  </si>
  <si>
    <t>C.2</t>
  </si>
  <si>
    <t>Dist. Amp. 2x4</t>
  </si>
  <si>
    <t>In A</t>
  </si>
  <si>
    <t>SW AUX 1</t>
  </si>
  <si>
    <t>P11</t>
  </si>
  <si>
    <t>In B</t>
  </si>
  <si>
    <t>SW AUX 2</t>
  </si>
  <si>
    <t>P12</t>
  </si>
  <si>
    <t>SW AUX 3</t>
  </si>
  <si>
    <t>P13</t>
  </si>
  <si>
    <t>C.3</t>
  </si>
  <si>
    <t>Trunk In</t>
  </si>
  <si>
    <t>IKE 4 TRUNK</t>
  </si>
  <si>
    <t>P14</t>
  </si>
  <si>
    <t>C.4</t>
  </si>
  <si>
    <t>IKE 5 TRUNK</t>
  </si>
  <si>
    <t>P15</t>
  </si>
  <si>
    <t>In 10</t>
  </si>
  <si>
    <t>SW IN 10</t>
  </si>
  <si>
    <t>P16</t>
  </si>
  <si>
    <t>B.6</t>
  </si>
  <si>
    <t>GRAB IN</t>
  </si>
  <si>
    <t>P17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</si>
  <si>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</si>
  <si>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</si>
  <si>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</si>
  <si>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</si>
  <si>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</si>
  <si>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</si>
  <si>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</si>
  <si>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</si>
  <si>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</si>
  <si>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</si>
  <si>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</si>
  <si>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</si>
  <si>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</si>
  <si>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</si>
  <si>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</si>
  <si>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</si>
  <si>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</si>
  <si>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</si>
  <si>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</si>
  <si>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</si>
  <si>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</si>
  <si>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</si>
  <si>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</si>
  <si>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</si>
  <si>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</si>
  <si>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</si>
  <si>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</si>
  <si>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</si>
  <si>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</si>
  <si>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</si>
  <si>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P18</t>
  </si>
  <si>
    <t>I/O 10</t>
  </si>
  <si>
    <t>PGM Out</t>
  </si>
  <si>
    <t>Embedder</t>
  </si>
  <si>
    <t>In 2</t>
  </si>
  <si>
    <t>In 3</t>
  </si>
  <si>
    <t>In 4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</si>
  <si>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</si>
  <si>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</si>
  <si>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</si>
  <si>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</si>
  <si>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</si>
  <si>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</si>
  <si>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</si>
  <si>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</si>
  <si>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</si>
  <si>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</si>
  <si>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</si>
  <si>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</si>
  <si>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</si>
  <si>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</si>
  <si>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</si>
  <si>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</si>
  <si>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</si>
  <si>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</si>
  <si>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</si>
  <si>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</si>
  <si>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</si>
  <si>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</si>
  <si>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</si>
  <si>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</si>
  <si>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</si>
  <si>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</si>
  <si>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</si>
  <si>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</si>
  <si>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DC.7</t>
  </si>
  <si>
    <t>BM SDI to HDMI</t>
  </si>
  <si>
    <t>CG</t>
  </si>
  <si>
    <t>In 5</t>
  </si>
  <si>
    <t>In 6</t>
  </si>
  <si>
    <t>Audio Out L</t>
  </si>
  <si>
    <t>DC.1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</si>
  <si>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</si>
  <si>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</si>
  <si>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</si>
  <si>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</si>
  <si>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</si>
  <si>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</si>
  <si>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</si>
  <si>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</si>
  <si>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Out 1</t>
  </si>
  <si>
    <t>In 1</t>
  </si>
  <si>
    <t>Audio In 1</t>
  </si>
  <si>
    <t>PGM L</t>
  </si>
  <si>
    <t>Out 5</t>
  </si>
  <si>
    <t>Audio In 2</t>
  </si>
  <si>
    <t>PGM R</t>
  </si>
  <si>
    <t>S.2</t>
  </si>
  <si>
    <t>In</t>
  </si>
  <si>
    <t>Audio In 3</t>
  </si>
  <si>
    <t>SUB 1</t>
  </si>
  <si>
    <t>Out 2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</si>
  <si>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</si>
  <si>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</si>
  <si>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</si>
  <si>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</si>
  <si>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</si>
  <si>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</si>
  <si>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</si>
  <si>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</si>
  <si>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</si>
  <si>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</si>
  <si>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</si>
  <si>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</si>
  <si>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</si>
  <si>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</si>
  <si>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</si>
  <si>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</si>
  <si>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</si>
  <si>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</si>
  <si>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</si>
  <si>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</si>
  <si>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</si>
  <si>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</si>
  <si>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</si>
  <si>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</si>
  <si>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</si>
  <si>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</si>
  <si>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</si>
  <si>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</si>
  <si>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</si>
  <si>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</si>
  <si>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Out 8</t>
  </si>
  <si>
    <t>S.3</t>
  </si>
  <si>
    <t>XLR 13</t>
  </si>
  <si>
    <t>ORDEN</t>
  </si>
  <si>
    <t>XLR 14</t>
  </si>
  <si>
    <t>Out 3</t>
  </si>
  <si>
    <t>XLR 15</t>
  </si>
  <si>
    <t>Out 4</t>
  </si>
  <si>
    <t>XLR 16</t>
  </si>
  <si>
    <t>XLR 17</t>
  </si>
  <si>
    <t>Out 6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</si>
  <si>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</si>
  <si>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</si>
  <si>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</si>
  <si>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</si>
  <si>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</si>
  <si>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</si>
  <si>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</si>
  <si>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</si>
  <si>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</si>
  <si>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</si>
  <si>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</si>
  <si>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</si>
  <si>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</si>
  <si>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</si>
  <si>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</si>
  <si>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</si>
  <si>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</si>
  <si>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</si>
  <si>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</si>
  <si>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</si>
  <si>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</si>
  <si>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</si>
  <si>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</si>
  <si>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</si>
  <si>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</si>
  <si>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</si>
  <si>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</si>
  <si>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</si>
  <si>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</si>
  <si>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DC.5</t>
  </si>
  <si>
    <t>PVW</t>
  </si>
  <si>
    <t>DC.6</t>
  </si>
  <si>
    <t>PVW (VS)</t>
  </si>
  <si>
    <t>PVW (WF)</t>
  </si>
  <si>
    <t>HDMI Out (MV)</t>
  </si>
  <si>
    <t>DC.8</t>
  </si>
  <si>
    <t>HDMI In</t>
  </si>
  <si>
    <t>Multiview</t>
  </si>
  <si>
    <t>Monitor Out L</t>
  </si>
  <si>
    <t>DC.2</t>
  </si>
  <si>
    <t>Line In</t>
  </si>
  <si>
    <t>MON L</t>
  </si>
  <si>
    <t>Monitor Out R</t>
  </si>
  <si>
    <t>DC.9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</si>
  <si>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</si>
  <si>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</si>
  <si>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</si>
  <si>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</si>
  <si>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</si>
  <si>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</si>
  <si>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</si>
  <si>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</si>
  <si>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</si>
  <si>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</si>
  <si>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</si>
  <si>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</si>
  <si>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</si>
  <si>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</si>
  <si>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</si>
  <si>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</si>
  <si>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</si>
  <si>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</si>
  <si>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</si>
  <si>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</si>
  <si>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</si>
  <si>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</si>
  <si>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DC.3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</si>
  <si>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</si>
  <si>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</si>
  <si>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</si>
  <si>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</si>
  <si>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</si>
  <si>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</si>
  <si>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</si>
  <si>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</si>
  <si>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DC.4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</si>
  <si>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</si>
  <si>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</si>
  <si>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</si>
  <si>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</si>
  <si>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</si>
  <si>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</si>
  <si>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</si>
  <si>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</si>
  <si>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</si>
  <si>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</si>
  <si>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</si>
  <si>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</si>
  <si>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</si>
  <si>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</si>
  <si>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</si>
  <si>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</si>
  <si>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</si>
  <si>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</si>
  <si>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</si>
  <si>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Tipo</t>
  </si>
  <si>
    <t>Patch panel</t>
  </si>
  <si>
    <t>Passthrough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</si>
  <si>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</si>
  <si>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</si>
  <si>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</si>
  <si>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</si>
  <si>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</si>
  <si>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</si>
  <si>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</si>
  <si>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</si>
  <si>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</si>
  <si>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</si>
  <si>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</si>
  <si>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</si>
  <si>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</si>
  <si>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</si>
  <si>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</si>
  <si>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</si>
  <si>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</si>
  <si>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</si>
  <si>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</si>
  <si>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</si>
  <si>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</si>
  <si>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</si>
  <si>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</si>
  <si>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</si>
  <si>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</si>
  <si>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</si>
  <si>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</si>
  <si>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</si>
  <si>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</t>
  </si>
  <si>
    <t>Split 2</t>
  </si>
  <si>
    <t>Split 3</t>
  </si>
  <si>
    <t>Ordenar por Columna:</t>
  </si>
  <si>
    <t>b.7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</si>
</sst>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16</v>
      </c>
      <c r="H2" s="7" t="s">
        <v>18</v>
      </c>
      <c r="I2" s="6" t="str">
        <f>IF(H2="","",VLOOKUP(H2,DB!A:B,2,0))</f>
        <v>PC Video</v>
      </c>
      <c r="J2" s="7">
        <v>2.0</v>
      </c>
      <c r="K2" s="7" t="s">
        <v>19</v>
      </c>
      <c r="L2" s="7" t="s">
        <v>16</v>
      </c>
      <c r="M2" s="8" t="s">
        <v>20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21</v>
      </c>
      <c r="F3" s="7" t="s">
        <v>17</v>
      </c>
      <c r="G3" s="7" t="s">
        <v>21</v>
      </c>
      <c r="H3" s="7" t="s">
        <v>18</v>
      </c>
      <c r="I3" s="6" t="str">
        <f>IF(H3="","",VLOOKUP(H3,DB!A:B,2,0))</f>
        <v>PC Video</v>
      </c>
      <c r="J3" s="7">
        <v>2.0</v>
      </c>
      <c r="K3" s="7" t="s">
        <v>19</v>
      </c>
      <c r="L3" s="7" t="s">
        <v>21</v>
      </c>
      <c r="M3" s="8" t="s">
        <v>22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23</v>
      </c>
      <c r="F4" s="7" t="s">
        <v>17</v>
      </c>
      <c r="G4" s="7" t="s">
        <v>23</v>
      </c>
      <c r="H4" s="7" t="s">
        <v>18</v>
      </c>
      <c r="I4" s="6" t="str">
        <f>IF(H4="","",VLOOKUP(H4,DB!A:B,2,0))</f>
        <v>PC Video</v>
      </c>
      <c r="J4" s="7">
        <v>2.0</v>
      </c>
      <c r="K4" s="7" t="s">
        <v>19</v>
      </c>
      <c r="L4" s="7" t="s">
        <v>23</v>
      </c>
      <c r="M4" s="8" t="s">
        <v>24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25</v>
      </c>
      <c r="F5" s="7" t="s">
        <v>17</v>
      </c>
      <c r="G5" s="7" t="s">
        <v>25</v>
      </c>
      <c r="H5" s="7" t="s">
        <v>18</v>
      </c>
      <c r="I5" s="6" t="str">
        <f>IF(H5="","",VLOOKUP(H5,DB!A:B,2,0))</f>
        <v>PC Video</v>
      </c>
      <c r="J5" s="7">
        <v>2.0</v>
      </c>
      <c r="K5" s="7" t="s">
        <v>19</v>
      </c>
      <c r="L5" s="7" t="s">
        <v>25</v>
      </c>
      <c r="M5" s="8" t="s">
        <v>26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27</v>
      </c>
      <c r="F6" s="7" t="s">
        <v>17</v>
      </c>
      <c r="G6" s="7" t="s">
        <v>27</v>
      </c>
      <c r="H6" s="7" t="s">
        <v>28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29</v>
      </c>
      <c r="F7" s="7" t="s">
        <v>17</v>
      </c>
      <c r="G7" s="7" t="s">
        <v>29</v>
      </c>
      <c r="H7" s="7" t="s">
        <v>30</v>
      </c>
      <c r="I7" s="6" t="str">
        <f>IF(H7="","",VLOOKUP(H7,DB!A:B,2,0))</f>
        <v>ATEM 1 M/E</v>
      </c>
      <c r="J7" s="6"/>
      <c r="K7" s="6"/>
      <c r="L7" s="7" t="s">
        <v>31</v>
      </c>
      <c r="M7" s="8" t="s">
        <v>32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33</v>
      </c>
      <c r="F8" s="7" t="s">
        <v>17</v>
      </c>
      <c r="G8" s="7" t="s">
        <v>33</v>
      </c>
      <c r="H8" s="7" t="s">
        <v>30</v>
      </c>
      <c r="I8" s="6" t="str">
        <f>IF(H8="","",VLOOKUP(H8,DB!A:B,2,0))</f>
        <v>ATEM 1 M/E</v>
      </c>
      <c r="J8" s="6"/>
      <c r="K8" s="6"/>
      <c r="L8" s="7" t="s">
        <v>34</v>
      </c>
      <c r="M8" s="8" t="s">
        <v>35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36</v>
      </c>
      <c r="F9" s="7" t="s">
        <v>17</v>
      </c>
      <c r="G9" s="7" t="s">
        <v>36</v>
      </c>
      <c r="H9" s="7" t="s">
        <v>30</v>
      </c>
      <c r="I9" s="6" t="str">
        <f>IF(H9="","",VLOOKUP(H9,DB!A:B,2,0))</f>
        <v>ATEM 1 M/E</v>
      </c>
      <c r="J9" s="6"/>
      <c r="K9" s="6"/>
      <c r="L9" s="7" t="s">
        <v>37</v>
      </c>
      <c r="M9" s="8" t="s">
        <v>38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39</v>
      </c>
      <c r="F10" s="7" t="s">
        <v>17</v>
      </c>
      <c r="G10" s="7" t="s">
        <v>39</v>
      </c>
      <c r="H10" s="7" t="s">
        <v>40</v>
      </c>
      <c r="I10" s="6" t="str">
        <f>IF(H10="","",VLOOKUP(H10,DB!A:B,2,0))</f>
        <v>Miranda D3 (Video)</v>
      </c>
      <c r="J10" s="7">
        <v>7.0</v>
      </c>
      <c r="K10" s="7" t="s">
        <v>41</v>
      </c>
      <c r="L10" s="7" t="s">
        <v>42</v>
      </c>
      <c r="M10" s="8" t="s">
        <v>43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44</v>
      </c>
      <c r="F11" s="7" t="s">
        <v>17</v>
      </c>
      <c r="G11" s="7" t="s">
        <v>44</v>
      </c>
      <c r="H11" s="7" t="s">
        <v>40</v>
      </c>
      <c r="I11" s="6" t="str">
        <f>IF(H11="","",VLOOKUP(H11,DB!A:B,2,0))</f>
        <v>Miranda D3 (Video)</v>
      </c>
      <c r="J11" s="7">
        <v>8.0</v>
      </c>
      <c r="K11" s="7" t="s">
        <v>41</v>
      </c>
      <c r="L11" s="7" t="s">
        <v>45</v>
      </c>
      <c r="M11" s="8" t="s">
        <v>46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47</v>
      </c>
      <c r="F12" s="7" t="s">
        <v>17</v>
      </c>
      <c r="G12" s="7" t="s">
        <v>47</v>
      </c>
      <c r="H12" s="7" t="s">
        <v>40</v>
      </c>
      <c r="I12" s="6" t="str">
        <f>IF(H12="","",VLOOKUP(H12,DB!A:B,2,0))</f>
        <v>Miranda D3 (Video)</v>
      </c>
      <c r="J12" s="7">
        <v>8.0</v>
      </c>
      <c r="K12" s="7" t="s">
        <v>41</v>
      </c>
      <c r="L12" s="7" t="s">
        <v>42</v>
      </c>
      <c r="M12" s="8" t="s">
        <v>48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49</v>
      </c>
      <c r="F13" s="7" t="s">
        <v>17</v>
      </c>
      <c r="G13" s="7" t="s">
        <v>49</v>
      </c>
      <c r="H13" s="7" t="s">
        <v>50</v>
      </c>
      <c r="I13" s="6" t="str">
        <f>IF(H13="","",VLOOKUP(H13,DB!A:B,2,0))</f>
        <v>Ikegami BS-80 4</v>
      </c>
      <c r="J13" s="6"/>
      <c r="K13" s="6"/>
      <c r="L13" s="7" t="s">
        <v>51</v>
      </c>
      <c r="M13" s="8" t="s">
        <v>52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53</v>
      </c>
      <c r="F14" s="7" t="s">
        <v>17</v>
      </c>
      <c r="G14" s="7" t="s">
        <v>53</v>
      </c>
      <c r="H14" s="7" t="s">
        <v>54</v>
      </c>
      <c r="I14" s="6" t="str">
        <f>IF(H14="","",VLOOKUP(H14,DB!A:B,2,0))</f>
        <v>Ikegami BS-80 5</v>
      </c>
      <c r="J14" s="6"/>
      <c r="K14" s="6"/>
      <c r="L14" s="7" t="s">
        <v>51</v>
      </c>
      <c r="M14" s="8" t="s">
        <v>55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56</v>
      </c>
      <c r="F15" s="7" t="s">
        <v>17</v>
      </c>
      <c r="G15" s="7" t="s">
        <v>56</v>
      </c>
      <c r="H15" s="7" t="s">
        <v>30</v>
      </c>
      <c r="I15" s="6" t="str">
        <f>IF(H15="","",VLOOKUP(H15,DB!A:B,2,0))</f>
        <v>ATEM 1 M/E</v>
      </c>
      <c r="J15" s="6"/>
      <c r="K15" s="6"/>
      <c r="L15" s="7" t="s">
        <v>57</v>
      </c>
      <c r="M15" s="7" t="s">
        <v>58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59</v>
      </c>
      <c r="F16" s="7" t="s">
        <v>17</v>
      </c>
      <c r="G16" s="7" t="s">
        <v>59</v>
      </c>
      <c r="H16" s="7" t="s">
        <v>60</v>
      </c>
      <c r="I16" s="6" t="str">
        <f>IF(H16="","",VLOOKUP(H16,DB!A:B,2,0))</f>
        <v>HyperDeck Studio Pro</v>
      </c>
      <c r="J16" s="6"/>
      <c r="K16" s="6"/>
      <c r="L16" s="7" t="s">
        <v>42</v>
      </c>
      <c r="M16" s="8" t="s">
        <v>61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62</v>
      </c>
      <c r="F17" s="7" t="s">
        <v>17</v>
      </c>
      <c r="G17" s="7" t="s">
        <v>62</v>
      </c>
      <c r="H17" s="7" t="s">
        <v>28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50</v>
      </c>
      <c r="B18" s="7" t="str">
        <f>IF(A18="","",VLOOKUP(A18,DB!A:B,2,0))</f>
        <v>Ikegami BS-80 4</v>
      </c>
      <c r="C18" s="6"/>
      <c r="D18" s="6"/>
      <c r="E18" s="7" t="s">
        <v>63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16</v>
      </c>
      <c r="M18" s="8" t="s">
        <v>64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54</v>
      </c>
      <c r="B19" s="7" t="str">
        <f>IF(A19="","",VLOOKUP(A19,DB!A:B,2,0))</f>
        <v>Ikegami BS-80 5</v>
      </c>
      <c r="C19" s="6"/>
      <c r="D19" s="6"/>
      <c r="E19" s="7" t="s">
        <v>63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21</v>
      </c>
      <c r="M19" s="8" t="s">
        <v>65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66</v>
      </c>
      <c r="B20" s="7" t="str">
        <f>IF(A20="","",VLOOKUP(A20,DB!A:B,2,0))</f>
        <v>CopperHead ProHD 1</v>
      </c>
      <c r="C20" s="6"/>
      <c r="D20" s="6"/>
      <c r="E20" s="7" t="s">
        <v>67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23</v>
      </c>
      <c r="M20" s="8" t="s">
        <v>68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69</v>
      </c>
      <c r="B21" s="7" t="str">
        <f>IF(A21="","",VLOOKUP(A21,DB!A:B,2,0))</f>
        <v>CopperHead ProHD 2</v>
      </c>
      <c r="C21" s="6"/>
      <c r="D21" s="6"/>
      <c r="E21" s="7" t="s">
        <v>67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25</v>
      </c>
      <c r="M21" s="8" t="s">
        <v>70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71</v>
      </c>
      <c r="B22" s="7" t="str">
        <f>IF(A22="","",VLOOKUP(A22,DB!A:B,2,0))</f>
        <v>CopperHead ProHD 3</v>
      </c>
      <c r="C22" s="6"/>
      <c r="D22" s="6"/>
      <c r="E22" s="7" t="s">
        <v>67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27</v>
      </c>
      <c r="M22" s="8" t="s">
        <v>72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73</v>
      </c>
      <c r="B23" s="7" t="str">
        <f>IF(A23="","",VLOOKUP(A23,DB!A:B,2,0))</f>
        <v>Miranda D3 (Audio)</v>
      </c>
      <c r="C23" s="7">
        <v>5.0</v>
      </c>
      <c r="D23" s="7" t="s">
        <v>74</v>
      </c>
      <c r="E23" s="7" t="s">
        <v>75</v>
      </c>
      <c r="F23" s="7" t="s">
        <v>17</v>
      </c>
      <c r="G23" s="7" t="s">
        <v>76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29</v>
      </c>
      <c r="M23" s="8" t="s">
        <v>77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73</v>
      </c>
      <c r="B24" s="7" t="str">
        <f>IF(A24="","",VLOOKUP(A24,DB!A:B,2,0))</f>
        <v>Miranda D3 (Audio)</v>
      </c>
      <c r="C24" s="7">
        <v>6.0</v>
      </c>
      <c r="D24" s="7" t="s">
        <v>74</v>
      </c>
      <c r="E24" s="7" t="s">
        <v>75</v>
      </c>
      <c r="F24" s="7" t="s">
        <v>17</v>
      </c>
      <c r="G24" s="7" t="s">
        <v>76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33</v>
      </c>
      <c r="M24" s="8" t="s">
        <v>78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79</v>
      </c>
      <c r="B25" s="7" t="str">
        <f>IF(A25="","",VLOOKUP(A25,DB!A:B,2,0))</f>
        <v>Patch Ext. Video</v>
      </c>
      <c r="C25" s="6"/>
      <c r="D25" s="6"/>
      <c r="E25" s="7" t="s">
        <v>80</v>
      </c>
      <c r="F25" s="7" t="s">
        <v>17</v>
      </c>
      <c r="G25" s="7" t="s">
        <v>80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36</v>
      </c>
      <c r="M25" s="8" t="s">
        <v>81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30</v>
      </c>
      <c r="B26" s="7" t="str">
        <f>IF(A26="","",VLOOKUP(A26,DB!A:B,2,0))</f>
        <v>ATEM 1 M/E</v>
      </c>
      <c r="C26" s="6"/>
      <c r="D26" s="6"/>
      <c r="E26" s="7" t="s">
        <v>82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39</v>
      </c>
      <c r="M26" s="8" t="s">
        <v>43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30</v>
      </c>
      <c r="B27" s="7" t="str">
        <f>IF(A27="","",VLOOKUP(A27,DB!A:B,2,0))</f>
        <v>ATEM 1 M/E</v>
      </c>
      <c r="C27" s="6"/>
      <c r="D27" s="6"/>
      <c r="E27" s="7" t="s">
        <v>83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44</v>
      </c>
      <c r="M27" s="8" t="s">
        <v>46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30</v>
      </c>
      <c r="B28" s="7" t="str">
        <f>IF(A28="","",VLOOKUP(A28,DB!A:B,2,0))</f>
        <v>ATEM 1 M/E</v>
      </c>
      <c r="C28" s="6"/>
      <c r="D28" s="6"/>
      <c r="E28" s="7" t="s">
        <v>84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47</v>
      </c>
      <c r="M28" s="8" t="s">
        <v>48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28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49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28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53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85</v>
      </c>
      <c r="B31" s="7" t="str">
        <f>IF(A31="","",VLOOKUP(A31,DB!A:B,2,0))</f>
        <v>PC CG</v>
      </c>
      <c r="C31" s="7">
        <v>2.0</v>
      </c>
      <c r="D31" s="7" t="s">
        <v>19</v>
      </c>
      <c r="E31" s="7" t="s">
        <v>16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56</v>
      </c>
      <c r="M31" s="8" t="s">
        <v>86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87</v>
      </c>
      <c r="B32" s="7" t="str">
        <f>IF(A32="","",VLOOKUP(A32,DB!A:B,2,0))</f>
        <v>SmartScope (PGM)</v>
      </c>
      <c r="C32" s="6"/>
      <c r="D32" s="6"/>
      <c r="E32" s="7" t="s">
        <v>63</v>
      </c>
      <c r="F32" s="7" t="s">
        <v>17</v>
      </c>
      <c r="G32" s="7" t="s">
        <v>88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59</v>
      </c>
      <c r="M32" s="8" t="s">
        <v>89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60</v>
      </c>
      <c r="B33" s="7" t="str">
        <f>IF(A33="","",VLOOKUP(A33,DB!A:B,2,0))</f>
        <v>HyperDeck Studio Pro</v>
      </c>
      <c r="C33" s="7"/>
      <c r="D33" s="7"/>
      <c r="E33" s="7" t="s">
        <v>90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62</v>
      </c>
      <c r="M33" s="8" t="s">
        <v>91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79</v>
      </c>
      <c r="B34" s="7" t="str">
        <f>IF(A34="","",VLOOKUP(A34,DB!A:B,2,0))</f>
        <v>Patch Ext. Video</v>
      </c>
      <c r="C34" s="7"/>
      <c r="D34" s="7"/>
      <c r="E34" s="7" t="s">
        <v>92</v>
      </c>
      <c r="F34" s="7" t="s">
        <v>17</v>
      </c>
      <c r="G34" s="7" t="s">
        <v>92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93</v>
      </c>
      <c r="M34" s="8" t="s">
        <v>94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30</v>
      </c>
      <c r="B35" s="7" t="str">
        <f>IF(A35="","",VLOOKUP(A35,DB!A:B,2,0))</f>
        <v>ATEM 1 M/E</v>
      </c>
      <c r="C35" s="6"/>
      <c r="D35" s="6"/>
      <c r="E35" s="7" t="s">
        <v>95</v>
      </c>
      <c r="F35" s="6"/>
      <c r="G35" s="6"/>
      <c r="H35" s="7" t="s">
        <v>73</v>
      </c>
      <c r="I35" s="6" t="str">
        <f>IF(H35="","",VLOOKUP(H35,DB!A:B,2,0))</f>
        <v>Miranda D3 (Audio)</v>
      </c>
      <c r="J35" s="7">
        <v>1.0</v>
      </c>
      <c r="K35" s="7" t="s">
        <v>96</v>
      </c>
      <c r="L35" s="7" t="s">
        <v>76</v>
      </c>
      <c r="M35" s="8" t="s">
        <v>89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66</v>
      </c>
      <c r="B36" s="7" t="str">
        <f>IF(A36="","",VLOOKUP(A36,DB!A:B,2,0))</f>
        <v>CopperHead ProHD 1</v>
      </c>
      <c r="C36" s="6"/>
      <c r="D36" s="6"/>
      <c r="E36" s="7" t="s">
        <v>63</v>
      </c>
      <c r="F36" s="6"/>
      <c r="G36" s="6"/>
      <c r="H36" s="7" t="s">
        <v>30</v>
      </c>
      <c r="I36" s="6" t="str">
        <f>IF(H36="","",VLOOKUP(H36,DB!A:B,2,0))</f>
        <v>ATEM 1 M/E</v>
      </c>
      <c r="J36" s="6"/>
      <c r="K36" s="6"/>
      <c r="L36" s="7" t="s">
        <v>97</v>
      </c>
      <c r="M36" s="8" t="s">
        <v>68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69</v>
      </c>
      <c r="B37" s="7" t="str">
        <f>IF(A37="","",VLOOKUP(A37,DB!A:B,2,0))</f>
        <v>CopperHead ProHD 2</v>
      </c>
      <c r="C37" s="6"/>
      <c r="D37" s="6"/>
      <c r="E37" s="7" t="s">
        <v>63</v>
      </c>
      <c r="F37" s="6"/>
      <c r="G37" s="6"/>
      <c r="H37" s="7" t="s">
        <v>30</v>
      </c>
      <c r="I37" s="6" t="str">
        <f>IF(H37="","",VLOOKUP(H37,DB!A:B,2,0))</f>
        <v>ATEM 1 M/E</v>
      </c>
      <c r="J37" s="6"/>
      <c r="K37" s="6"/>
      <c r="L37" s="7" t="s">
        <v>98</v>
      </c>
      <c r="M37" s="8" t="s">
        <v>70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71</v>
      </c>
      <c r="B38" s="7" t="str">
        <f>IF(A38="","",VLOOKUP(A38,DB!A:B,2,0))</f>
        <v>CopperHead ProHD 3</v>
      </c>
      <c r="C38" s="6"/>
      <c r="D38" s="6"/>
      <c r="E38" s="7" t="s">
        <v>63</v>
      </c>
      <c r="F38" s="6"/>
      <c r="G38" s="6"/>
      <c r="H38" s="7" t="s">
        <v>30</v>
      </c>
      <c r="I38" s="6" t="str">
        <f>IF(H38="","",VLOOKUP(H38,DB!A:B,2,0))</f>
        <v>ATEM 1 M/E</v>
      </c>
      <c r="J38" s="6"/>
      <c r="K38" s="6"/>
      <c r="L38" s="7" t="s">
        <v>99</v>
      </c>
      <c r="M38" s="8" t="s">
        <v>72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100</v>
      </c>
      <c r="B39" s="7" t="str">
        <f>IF(A39="","",VLOOKUP(A39,DB!A:B,2,0))</f>
        <v>SmartView (AIRE/PGM)</v>
      </c>
      <c r="C39" s="6"/>
      <c r="D39" s="6"/>
      <c r="E39" s="7" t="s">
        <v>63</v>
      </c>
      <c r="F39" s="7" t="s">
        <v>17</v>
      </c>
      <c r="G39" s="7" t="s">
        <v>88</v>
      </c>
      <c r="H39" s="7" t="s">
        <v>87</v>
      </c>
      <c r="I39" s="6" t="str">
        <f>IF(H39="","",VLOOKUP(H39,DB!A:B,2,0))</f>
        <v>SmartScope (PGM)</v>
      </c>
      <c r="J39" s="6"/>
      <c r="K39" s="6"/>
      <c r="L39" s="7" t="s">
        <v>101</v>
      </c>
      <c r="M39" s="8" t="s">
        <v>102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18</v>
      </c>
      <c r="B40" s="7" t="str">
        <f>IF(A40="","",VLOOKUP(A40,DB!A:B,2,0))</f>
        <v>PC Video</v>
      </c>
      <c r="C40" s="7">
        <v>1.0</v>
      </c>
      <c r="D40" s="7" t="s">
        <v>103</v>
      </c>
      <c r="E40" s="7" t="s">
        <v>104</v>
      </c>
      <c r="F40" s="6"/>
      <c r="G40" s="6"/>
      <c r="H40" s="7" t="s">
        <v>30</v>
      </c>
      <c r="I40" s="6" t="str">
        <f>IF(H40="","",VLOOKUP(H40,DB!A:B,2,0))</f>
        <v>ATEM 1 M/E</v>
      </c>
      <c r="J40" s="6"/>
      <c r="K40" s="6"/>
      <c r="L40" s="7" t="s">
        <v>105</v>
      </c>
      <c r="M40" s="8" t="s">
        <v>106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85</v>
      </c>
      <c r="B41" s="7" t="str">
        <f>IF(A41="","",VLOOKUP(A41,DB!A:B,2,0))</f>
        <v>PC CG</v>
      </c>
      <c r="C41" s="7">
        <v>2.0</v>
      </c>
      <c r="D41" s="7" t="s">
        <v>19</v>
      </c>
      <c r="E41" s="7" t="s">
        <v>21</v>
      </c>
      <c r="F41" s="6"/>
      <c r="G41" s="6"/>
      <c r="H41" s="7" t="s">
        <v>100</v>
      </c>
      <c r="I41" s="6" t="str">
        <f>IF(H41="","",VLOOKUP(H41,DB!A:B,2,0))</f>
        <v>SmartView (AIRE/PGM)</v>
      </c>
      <c r="J41" s="6"/>
      <c r="K41" s="6"/>
      <c r="L41" s="7" t="s">
        <v>101</v>
      </c>
      <c r="M41" s="8" t="s">
        <v>107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40</v>
      </c>
      <c r="B42" s="7" t="str">
        <f>IF(A42="","",VLOOKUP(A42,DB!A:B,2,0))</f>
        <v>Miranda D3 (Video)</v>
      </c>
      <c r="C42" s="7">
        <v>7.0</v>
      </c>
      <c r="D42" s="7" t="s">
        <v>41</v>
      </c>
      <c r="E42" s="7" t="s">
        <v>108</v>
      </c>
      <c r="F42" s="7" t="s">
        <v>17</v>
      </c>
      <c r="G42" s="7" t="s">
        <v>42</v>
      </c>
      <c r="H42" s="7" t="s">
        <v>50</v>
      </c>
      <c r="I42" s="6" t="str">
        <f>IF(H42="","",VLOOKUP(H42,DB!A:B,2,0))</f>
        <v>Ikegami BS-80 4</v>
      </c>
      <c r="J42" s="6"/>
      <c r="K42" s="6"/>
      <c r="L42" s="7" t="s">
        <v>109</v>
      </c>
      <c r="M42" s="8" t="s">
        <v>110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40</v>
      </c>
      <c r="B43" s="7" t="str">
        <f>IF(A43="","",VLOOKUP(A43,DB!A:B,2,0))</f>
        <v>Miranda D3 (Video)</v>
      </c>
      <c r="C43" s="7">
        <v>8.0</v>
      </c>
      <c r="D43" s="7" t="s">
        <v>41</v>
      </c>
      <c r="E43" s="7" t="s">
        <v>108</v>
      </c>
      <c r="F43" s="7" t="s">
        <v>17</v>
      </c>
      <c r="G43" s="7" t="s">
        <v>42</v>
      </c>
      <c r="H43" s="7" t="s">
        <v>71</v>
      </c>
      <c r="I43" s="6" t="str">
        <f>IF(H43="","",VLOOKUP(H43,DB!A:B,2,0))</f>
        <v>CopperHead ProHD 3</v>
      </c>
      <c r="J43" s="6"/>
      <c r="K43" s="6"/>
      <c r="L43" s="7" t="s">
        <v>76</v>
      </c>
      <c r="M43" s="8" t="s">
        <v>111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40</v>
      </c>
      <c r="B44" s="7" t="str">
        <f>IF(A44="","",VLOOKUP(A44,DB!A:B,2,0))</f>
        <v>Miranda D3 (Video)</v>
      </c>
      <c r="C44" s="7">
        <v>5.0</v>
      </c>
      <c r="D44" s="7" t="s">
        <v>112</v>
      </c>
      <c r="E44" s="7" t="s">
        <v>108</v>
      </c>
      <c r="F44" s="7" t="s">
        <v>17</v>
      </c>
      <c r="G44" s="7" t="s">
        <v>42</v>
      </c>
      <c r="H44" s="7" t="s">
        <v>100</v>
      </c>
      <c r="I44" s="6" t="str">
        <f>IF(H44="","",VLOOKUP(H44,DB!A:B,2,0))</f>
        <v>SmartView (AIRE/PGM)</v>
      </c>
      <c r="J44" s="6"/>
      <c r="K44" s="6"/>
      <c r="L44" s="7" t="s">
        <v>88</v>
      </c>
      <c r="M44" s="8" t="s">
        <v>89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40</v>
      </c>
      <c r="B45" s="7" t="str">
        <f>IF(A45="","",VLOOKUP(A45,DB!A:B,2,0))</f>
        <v>Miranda D3 (Video)</v>
      </c>
      <c r="C45" s="7">
        <v>7.0</v>
      </c>
      <c r="D45" s="7" t="s">
        <v>41</v>
      </c>
      <c r="E45" s="7" t="s">
        <v>113</v>
      </c>
      <c r="F45" s="7" t="s">
        <v>17</v>
      </c>
      <c r="G45" s="7" t="s">
        <v>42</v>
      </c>
      <c r="H45" s="7" t="s">
        <v>66</v>
      </c>
      <c r="I45" s="6" t="str">
        <f>IF(H45="","",VLOOKUP(H45,DB!A:B,2,0))</f>
        <v>CopperHead ProHD 1</v>
      </c>
      <c r="J45" s="6"/>
      <c r="K45" s="6"/>
      <c r="L45" s="7" t="s">
        <v>76</v>
      </c>
      <c r="M45" s="8" t="s">
        <v>110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40</v>
      </c>
      <c r="B46" s="7" t="str">
        <f>IF(A46="","",VLOOKUP(A46,DB!A:B,2,0))</f>
        <v>Miranda D3 (Video)</v>
      </c>
      <c r="C46" s="7">
        <v>5.0</v>
      </c>
      <c r="D46" s="7" t="s">
        <v>112</v>
      </c>
      <c r="E46" s="7" t="s">
        <v>113</v>
      </c>
      <c r="F46" s="7" t="s">
        <v>17</v>
      </c>
      <c r="G46" s="7" t="s">
        <v>42</v>
      </c>
      <c r="H46" s="7" t="s">
        <v>85</v>
      </c>
      <c r="I46" s="6" t="str">
        <f>IF(H46="","",VLOOKUP(H46,DB!A:B,2,0))</f>
        <v>PC CG</v>
      </c>
      <c r="J46" s="7">
        <v>2.0</v>
      </c>
      <c r="K46" s="7" t="s">
        <v>19</v>
      </c>
      <c r="L46" s="7" t="s">
        <v>23</v>
      </c>
      <c r="M46" s="8" t="s">
        <v>89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40</v>
      </c>
      <c r="B47" s="7" t="str">
        <f>IF(A47="","",VLOOKUP(A47,DB!A:B,2,0))</f>
        <v>Miranda D3 (Video)</v>
      </c>
      <c r="C47" s="7">
        <v>7.0</v>
      </c>
      <c r="D47" s="7" t="s">
        <v>41</v>
      </c>
      <c r="E47" s="7" t="s">
        <v>114</v>
      </c>
      <c r="F47" s="7" t="s">
        <v>17</v>
      </c>
      <c r="G47" s="7" t="s">
        <v>42</v>
      </c>
      <c r="H47" s="7" t="s">
        <v>79</v>
      </c>
      <c r="I47" s="6" t="str">
        <f>IF(H47="","",VLOOKUP(H47,DB!A:B,2,0))</f>
        <v>Patch Ext. Video</v>
      </c>
      <c r="J47" s="6"/>
      <c r="K47" s="6"/>
      <c r="L47" s="7" t="s">
        <v>115</v>
      </c>
      <c r="M47" s="7" t="s">
        <v>110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40</v>
      </c>
      <c r="B48" s="7" t="str">
        <f>IF(A48="","",VLOOKUP(A48,DB!A:B,2,0))</f>
        <v>Miranda D3 (Video)</v>
      </c>
      <c r="C48" s="7">
        <v>8.0</v>
      </c>
      <c r="D48" s="7" t="s">
        <v>41</v>
      </c>
      <c r="E48" s="7" t="s">
        <v>116</v>
      </c>
      <c r="F48" s="7" t="s">
        <v>17</v>
      </c>
      <c r="G48" s="7" t="s">
        <v>45</v>
      </c>
      <c r="H48" s="7" t="s">
        <v>54</v>
      </c>
      <c r="I48" s="6" t="str">
        <f>IF(H48="","",VLOOKUP(H48,DB!A:B,2,0))</f>
        <v>Ikegami BS-80 5</v>
      </c>
      <c r="J48" s="6"/>
      <c r="K48" s="6"/>
      <c r="L48" s="7" t="s">
        <v>109</v>
      </c>
      <c r="M48" s="8" t="s">
        <v>117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40</v>
      </c>
      <c r="B49" s="7" t="str">
        <f>IF(A49="","",VLOOKUP(A49,DB!A:B,2,0))</f>
        <v>Miranda D3 (Video)</v>
      </c>
      <c r="C49" s="7">
        <v>8.0</v>
      </c>
      <c r="D49" s="7" t="s">
        <v>41</v>
      </c>
      <c r="E49" s="7" t="s">
        <v>118</v>
      </c>
      <c r="F49" s="7" t="s">
        <v>17</v>
      </c>
      <c r="G49" s="7" t="s">
        <v>45</v>
      </c>
      <c r="H49" s="7" t="s">
        <v>69</v>
      </c>
      <c r="I49" s="6" t="str">
        <f>IF(H49="","",VLOOKUP(H49,DB!A:B,2,0))</f>
        <v>CopperHead ProHD 2</v>
      </c>
      <c r="J49" s="6"/>
      <c r="K49" s="6"/>
      <c r="L49" s="7" t="s">
        <v>76</v>
      </c>
      <c r="M49" s="8" t="s">
        <v>117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40</v>
      </c>
      <c r="B50" s="7" t="str">
        <f>IF(A50="","",VLOOKUP(A50,DB!A:B,2,0))</f>
        <v>Miranda D3 (Video)</v>
      </c>
      <c r="C50" s="7">
        <v>5.0</v>
      </c>
      <c r="D50" s="7" t="s">
        <v>112</v>
      </c>
      <c r="E50" s="7" t="s">
        <v>118</v>
      </c>
      <c r="F50" s="7" t="s">
        <v>17</v>
      </c>
      <c r="G50" s="7" t="s">
        <v>42</v>
      </c>
      <c r="H50" s="7" t="s">
        <v>79</v>
      </c>
      <c r="I50" s="6" t="str">
        <f>IF(H50="","",VLOOKUP(H50,DB!A:B,2,0))</f>
        <v>Patch Ext. Video</v>
      </c>
      <c r="J50" s="6"/>
      <c r="K50" s="6"/>
      <c r="L50" s="7" t="s">
        <v>119</v>
      </c>
      <c r="M50" s="8" t="s">
        <v>89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40</v>
      </c>
      <c r="B51" s="7" t="str">
        <f>IF(A51="","",VLOOKUP(A51,DB!A:B,2,0))</f>
        <v>Miranda D3 (Video)</v>
      </c>
      <c r="C51" s="7">
        <v>7.0</v>
      </c>
      <c r="D51" s="7" t="s">
        <v>41</v>
      </c>
      <c r="E51" s="7" t="s">
        <v>118</v>
      </c>
      <c r="F51" s="7" t="s">
        <v>17</v>
      </c>
      <c r="G51" s="7" t="s">
        <v>45</v>
      </c>
      <c r="H51" s="7" t="s">
        <v>79</v>
      </c>
      <c r="I51" s="6" t="str">
        <f>IF(H51="","",VLOOKUP(H51,DB!A:B,2,0))</f>
        <v>Patch Ext. Video</v>
      </c>
      <c r="J51" s="6"/>
      <c r="K51" s="6"/>
      <c r="L51" s="7" t="s">
        <v>120</v>
      </c>
      <c r="M51" s="7" t="s">
        <v>121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40</v>
      </c>
      <c r="B52" s="7" t="str">
        <f>IF(A52="","",VLOOKUP(A52,DB!A:B,2,0))</f>
        <v>Miranda D3 (Video)</v>
      </c>
      <c r="C52" s="7">
        <v>5.0</v>
      </c>
      <c r="D52" s="7" t="s">
        <v>112</v>
      </c>
      <c r="E52" s="7" t="s">
        <v>122</v>
      </c>
      <c r="F52" s="7" t="s">
        <v>17</v>
      </c>
      <c r="G52" s="7" t="s">
        <v>42</v>
      </c>
      <c r="H52" s="7" t="s">
        <v>79</v>
      </c>
      <c r="I52" s="6" t="str">
        <f>IF(H52="","",VLOOKUP(H52,DB!A:B,2,0))</f>
        <v>Patch Ext. Video</v>
      </c>
      <c r="J52" s="6"/>
      <c r="K52" s="6"/>
      <c r="L52" s="7" t="s">
        <v>123</v>
      </c>
      <c r="M52" s="8" t="s">
        <v>89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40</v>
      </c>
      <c r="B53" s="7" t="str">
        <f>IF(A53="","",VLOOKUP(A53,DB!A:B,2,0))</f>
        <v>Miranda D3 (Video)</v>
      </c>
      <c r="C53" s="7">
        <v>7.0</v>
      </c>
      <c r="D53" s="7" t="s">
        <v>41</v>
      </c>
      <c r="E53" s="7" t="s">
        <v>122</v>
      </c>
      <c r="F53" s="7" t="s">
        <v>17</v>
      </c>
      <c r="G53" s="7" t="s">
        <v>45</v>
      </c>
      <c r="H53" s="7" t="s">
        <v>79</v>
      </c>
      <c r="I53" s="6" t="str">
        <f>IF(H53="","",VLOOKUP(H53,DB!A:B,2,0))</f>
        <v>Patch Ext. Video</v>
      </c>
      <c r="J53" s="6"/>
      <c r="K53" s="6"/>
      <c r="L53" s="7" t="s">
        <v>124</v>
      </c>
      <c r="M53" s="7" t="s">
        <v>121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40</v>
      </c>
      <c r="B54" s="7" t="str">
        <f>IF(A54="","",VLOOKUP(A54,DB!A:B,2,0))</f>
        <v>Miranda D3 (Video)</v>
      </c>
      <c r="C54" s="7">
        <v>8.0</v>
      </c>
      <c r="D54" s="7" t="s">
        <v>41</v>
      </c>
      <c r="E54" s="7" t="s">
        <v>122</v>
      </c>
      <c r="F54" s="7" t="s">
        <v>17</v>
      </c>
      <c r="G54" s="7" t="s">
        <v>45</v>
      </c>
      <c r="H54" s="7" t="s">
        <v>79</v>
      </c>
      <c r="I54" s="6" t="str">
        <f>IF(H54="","",VLOOKUP(H54,DB!A:B,2,0))</f>
        <v>Patch Ext. Video</v>
      </c>
      <c r="J54" s="6"/>
      <c r="K54" s="6"/>
      <c r="L54" s="7" t="s">
        <v>125</v>
      </c>
      <c r="M54" s="7" t="s">
        <v>117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40</v>
      </c>
      <c r="B55" s="7" t="str">
        <f>IF(A55="","",VLOOKUP(A55,DB!A:B,2,0))</f>
        <v>Miranda D3 (Video)</v>
      </c>
      <c r="C55" s="7">
        <v>5.0</v>
      </c>
      <c r="D55" s="7" t="s">
        <v>112</v>
      </c>
      <c r="E55" s="7" t="s">
        <v>126</v>
      </c>
      <c r="F55" s="7" t="s">
        <v>17</v>
      </c>
      <c r="G55" s="7" t="s">
        <v>42</v>
      </c>
      <c r="H55" s="7" t="s">
        <v>79</v>
      </c>
      <c r="I55" s="6" t="str">
        <f>IF(H55="","",VLOOKUP(H55,DB!A:B,2,0))</f>
        <v>Patch Ext. Video</v>
      </c>
      <c r="J55" s="6"/>
      <c r="K55" s="6"/>
      <c r="L55" s="7" t="s">
        <v>127</v>
      </c>
      <c r="M55" s="8" t="s">
        <v>89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40</v>
      </c>
      <c r="B56" s="7" t="str">
        <f>IF(A56="","",VLOOKUP(A56,DB!A:B,2,0))</f>
        <v>Miranda D3 (Video)</v>
      </c>
      <c r="C56" s="7">
        <v>7.0</v>
      </c>
      <c r="D56" s="7" t="s">
        <v>41</v>
      </c>
      <c r="E56" s="7" t="s">
        <v>126</v>
      </c>
      <c r="F56" s="7" t="s">
        <v>17</v>
      </c>
      <c r="G56" s="7" t="s">
        <v>45</v>
      </c>
      <c r="H56" s="7" t="s">
        <v>128</v>
      </c>
      <c r="I56" s="6" t="str">
        <f>IF(H56="","",VLOOKUP(H56,DB!A:B,2,0))</f>
        <v>Monitor Aire</v>
      </c>
      <c r="J56" s="6"/>
      <c r="K56" s="6"/>
      <c r="L56" s="7" t="s">
        <v>76</v>
      </c>
      <c r="M56" s="8" t="s">
        <v>107</v>
      </c>
      <c r="N56" s="9"/>
      <c r="O56" s="7" t="s">
        <v>129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40</v>
      </c>
      <c r="B57" s="7" t="str">
        <f>IF(A57="","",VLOOKUP(A57,DB!A:B,2,0))</f>
        <v>Miranda D3 (Video)</v>
      </c>
      <c r="C57" s="7">
        <v>1.0</v>
      </c>
      <c r="D57" s="7" t="s">
        <v>130</v>
      </c>
      <c r="E57" s="7" t="s">
        <v>75</v>
      </c>
      <c r="F57" s="7" t="s">
        <v>17</v>
      </c>
      <c r="G57" s="7" t="s">
        <v>76</v>
      </c>
      <c r="H57" s="7" t="s">
        <v>40</v>
      </c>
      <c r="I57" s="6" t="str">
        <f>IF(H57="","",VLOOKUP(H57,DB!A:B,2,0))</f>
        <v>Miranda D3 (Video)</v>
      </c>
      <c r="J57" s="7">
        <v>5.0</v>
      </c>
      <c r="K57" s="7" t="s">
        <v>112</v>
      </c>
      <c r="L57" s="7" t="s">
        <v>42</v>
      </c>
      <c r="M57" s="8" t="s">
        <v>89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50</v>
      </c>
      <c r="B58" s="7" t="str">
        <f>IF(A58="","",VLOOKUP(A58,DB!A:B,2,0))</f>
        <v>Ikegami BS-80 4</v>
      </c>
      <c r="C58" s="6"/>
      <c r="D58" s="6"/>
      <c r="E58" s="7" t="s">
        <v>67</v>
      </c>
      <c r="F58" s="6"/>
      <c r="G58" s="6"/>
      <c r="H58" s="7" t="s">
        <v>30</v>
      </c>
      <c r="I58" s="6" t="str">
        <f>IF(H58="","",VLOOKUP(H58,DB!A:B,2,0))</f>
        <v>ATEM 1 M/E</v>
      </c>
      <c r="J58" s="6"/>
      <c r="K58" s="6"/>
      <c r="L58" s="7" t="s">
        <v>131</v>
      </c>
      <c r="M58" s="8" t="s">
        <v>64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54</v>
      </c>
      <c r="B59" s="7" t="str">
        <f>IF(A59="","",VLOOKUP(A59,DB!A:B,2,0))</f>
        <v>Ikegami BS-80 5</v>
      </c>
      <c r="C59" s="6"/>
      <c r="D59" s="6"/>
      <c r="E59" s="7" t="s">
        <v>67</v>
      </c>
      <c r="F59" s="6"/>
      <c r="G59" s="6"/>
      <c r="H59" s="7" t="s">
        <v>30</v>
      </c>
      <c r="I59" s="6" t="str">
        <f>IF(H59="","",VLOOKUP(H59,DB!A:B,2,0))</f>
        <v>ATEM 1 M/E</v>
      </c>
      <c r="J59" s="6"/>
      <c r="K59" s="6"/>
      <c r="L59" s="7" t="s">
        <v>132</v>
      </c>
      <c r="M59" s="8" t="s">
        <v>65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73</v>
      </c>
      <c r="B60" s="7" t="str">
        <f>IF(A60="","",VLOOKUP(A60,DB!A:B,2,0))</f>
        <v>Miranda D3 (Audio)</v>
      </c>
      <c r="C60" s="7">
        <v>5.0</v>
      </c>
      <c r="D60" s="7" t="s">
        <v>74</v>
      </c>
      <c r="E60" s="7" t="s">
        <v>133</v>
      </c>
      <c r="F60" s="7" t="s">
        <v>17</v>
      </c>
      <c r="G60" s="7" t="s">
        <v>76</v>
      </c>
      <c r="H60" s="7" t="s">
        <v>134</v>
      </c>
      <c r="I60" s="6" t="str">
        <f>IF(H60="","",VLOOKUP(H60,DB!A:B,2,0))</f>
        <v>Yamaha MG166</v>
      </c>
      <c r="J60" s="6"/>
      <c r="K60" s="6"/>
      <c r="L60" s="7" t="s">
        <v>135</v>
      </c>
      <c r="M60" s="8" t="s">
        <v>136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73</v>
      </c>
      <c r="B61" s="7" t="str">
        <f>IF(A61="","",VLOOKUP(A61,DB!A:B,2,0))</f>
        <v>Miranda D3 (Audio)</v>
      </c>
      <c r="C61" s="7">
        <v>6.0</v>
      </c>
      <c r="D61" s="7" t="s">
        <v>74</v>
      </c>
      <c r="E61" s="7" t="s">
        <v>133</v>
      </c>
      <c r="F61" s="7" t="s">
        <v>17</v>
      </c>
      <c r="G61" s="7" t="s">
        <v>76</v>
      </c>
      <c r="H61" s="7" t="s">
        <v>134</v>
      </c>
      <c r="I61" s="6" t="str">
        <f>IF(H61="","",VLOOKUP(H61,DB!A:B,2,0))</f>
        <v>Yamaha MG166</v>
      </c>
      <c r="J61" s="6"/>
      <c r="K61" s="6"/>
      <c r="L61" s="7" t="s">
        <v>137</v>
      </c>
      <c r="M61" s="8" t="s">
        <v>138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73</v>
      </c>
      <c r="B62" s="7" t="str">
        <f>IF(A62="","",VLOOKUP(A62,DB!A:B,2,0))</f>
        <v>Miranda D3 (Audio)</v>
      </c>
      <c r="C62" s="7">
        <v>5.0</v>
      </c>
      <c r="D62" s="7" t="s">
        <v>74</v>
      </c>
      <c r="E62" s="7" t="s">
        <v>139</v>
      </c>
      <c r="F62" s="7" t="s">
        <v>17</v>
      </c>
      <c r="G62" s="7" t="s">
        <v>76</v>
      </c>
      <c r="H62" s="7" t="s">
        <v>134</v>
      </c>
      <c r="I62" s="6" t="str">
        <f>IF(H62="","",VLOOKUP(H62,DB!A:B,2,0))</f>
        <v>Yamaha MG166</v>
      </c>
      <c r="J62" s="6"/>
      <c r="K62" s="6"/>
      <c r="L62" s="7" t="s">
        <v>140</v>
      </c>
      <c r="M62" s="8" t="s">
        <v>136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73</v>
      </c>
      <c r="B63" s="7" t="str">
        <f>IF(A63="","",VLOOKUP(A63,DB!A:B,2,0))</f>
        <v>Miranda D3 (Audio)</v>
      </c>
      <c r="C63" s="7">
        <v>6.0</v>
      </c>
      <c r="D63" s="7" t="s">
        <v>74</v>
      </c>
      <c r="E63" s="7" t="s">
        <v>139</v>
      </c>
      <c r="F63" s="7" t="s">
        <v>17</v>
      </c>
      <c r="G63" s="7" t="s">
        <v>76</v>
      </c>
      <c r="H63" s="7" t="s">
        <v>134</v>
      </c>
      <c r="I63" s="6" t="str">
        <f>IF(H63="","",VLOOKUP(H63,DB!A:B,2,0))</f>
        <v>Yamaha MG166</v>
      </c>
      <c r="J63" s="6"/>
      <c r="K63" s="6"/>
      <c r="L63" s="7" t="s">
        <v>141</v>
      </c>
      <c r="M63" s="8" t="s">
        <v>138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73</v>
      </c>
      <c r="B64" s="7" t="str">
        <f>IF(A64="","",VLOOKUP(A64,DB!A:B,2,0))</f>
        <v>Miranda D3 (Audio)</v>
      </c>
      <c r="C64" s="7">
        <v>7.0</v>
      </c>
      <c r="D64" s="7" t="s">
        <v>142</v>
      </c>
      <c r="E64" s="7" t="s">
        <v>143</v>
      </c>
      <c r="F64" s="7" t="s">
        <v>17</v>
      </c>
      <c r="G64" s="7" t="s">
        <v>144</v>
      </c>
      <c r="H64" s="7" t="s">
        <v>73</v>
      </c>
      <c r="I64" s="6" t="str">
        <f>IF(H64="","",VLOOKUP(H64,DB!A:B,2,0))</f>
        <v>Miranda D3 (Audio)</v>
      </c>
      <c r="J64" s="7">
        <v>1.0</v>
      </c>
      <c r="K64" s="7" t="s">
        <v>96</v>
      </c>
      <c r="L64" s="7" t="s">
        <v>145</v>
      </c>
      <c r="M64" s="8" t="s">
        <v>146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73</v>
      </c>
      <c r="B65" s="7" t="str">
        <f>IF(A65="","",VLOOKUP(A65,DB!A:B,2,0))</f>
        <v>Miranda D3 (Audio)</v>
      </c>
      <c r="C65" s="7">
        <v>7.0</v>
      </c>
      <c r="D65" s="7" t="s">
        <v>142</v>
      </c>
      <c r="E65" s="7" t="s">
        <v>147</v>
      </c>
      <c r="F65" s="7" t="s">
        <v>17</v>
      </c>
      <c r="G65" s="7" t="s">
        <v>97</v>
      </c>
      <c r="H65" s="7" t="s">
        <v>73</v>
      </c>
      <c r="I65" s="6" t="str">
        <f>IF(H65="","",VLOOKUP(H65,DB!A:B,2,0))</f>
        <v>Miranda D3 (Audio)</v>
      </c>
      <c r="J65" s="7">
        <v>1.0</v>
      </c>
      <c r="K65" s="7" t="s">
        <v>96</v>
      </c>
      <c r="L65" s="7" t="s">
        <v>148</v>
      </c>
      <c r="M65" s="8" t="s">
        <v>149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73</v>
      </c>
      <c r="B66" s="7" t="str">
        <f>IF(A66="","",VLOOKUP(A66,DB!A:B,2,0))</f>
        <v>Miranda D3 (Audio)</v>
      </c>
      <c r="C66" s="7">
        <v>8.0</v>
      </c>
      <c r="D66" s="7" t="s">
        <v>142</v>
      </c>
      <c r="E66" s="7" t="s">
        <v>147</v>
      </c>
      <c r="F66" s="7" t="s">
        <v>17</v>
      </c>
      <c r="G66" s="7" t="s">
        <v>97</v>
      </c>
      <c r="H66" s="7" t="s">
        <v>150</v>
      </c>
      <c r="I66" s="6" t="str">
        <f>IF(H66="","",VLOOKUP(H66,DB!A:B,2,0))</f>
        <v>Split 2</v>
      </c>
      <c r="J66" s="7"/>
      <c r="K66" s="7"/>
      <c r="L66" s="7" t="s">
        <v>151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150</v>
      </c>
      <c r="B67" s="7" t="str">
        <f>IF(A67="","",VLOOKUP(A67,DB!A:B,2,0))</f>
        <v>Split 2</v>
      </c>
      <c r="C67" s="6"/>
      <c r="D67" s="6"/>
      <c r="E67" s="7" t="s">
        <v>143</v>
      </c>
      <c r="F67" s="7" t="s">
        <v>17</v>
      </c>
      <c r="G67" s="7" t="s">
        <v>151</v>
      </c>
      <c r="H67" s="7" t="s">
        <v>73</v>
      </c>
      <c r="I67" s="6" t="str">
        <f>IF(H67="","",VLOOKUP(H67,DB!A:B,2,0))</f>
        <v>Miranda D3 (Audio)</v>
      </c>
      <c r="J67" s="7">
        <v>1.0</v>
      </c>
      <c r="K67" s="7" t="s">
        <v>96</v>
      </c>
      <c r="L67" s="7" t="s">
        <v>152</v>
      </c>
      <c r="M67" s="8" t="s">
        <v>153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150</v>
      </c>
      <c r="B68" s="7" t="str">
        <f>IF(A68="","",VLOOKUP(A68,DB!A:B,2,0))</f>
        <v>Split 2</v>
      </c>
      <c r="C68" s="6"/>
      <c r="D68" s="6"/>
      <c r="E68" s="7" t="s">
        <v>154</v>
      </c>
      <c r="F68" s="7" t="s">
        <v>17</v>
      </c>
      <c r="G68" s="7" t="s">
        <v>151</v>
      </c>
      <c r="H68" s="7" t="s">
        <v>73</v>
      </c>
      <c r="I68" s="6" t="str">
        <f>IF(H68="","",VLOOKUP(H68,DB!A:B,2,0))</f>
        <v>Miranda D3 (Audio)</v>
      </c>
      <c r="J68" s="7">
        <v>1.0</v>
      </c>
      <c r="K68" s="7" t="s">
        <v>96</v>
      </c>
      <c r="L68" s="7" t="s">
        <v>155</v>
      </c>
      <c r="M68" s="8" t="s">
        <v>153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73</v>
      </c>
      <c r="B69" s="7" t="str">
        <f>IF(A69="","",VLOOKUP(A69,DB!A:B,2,0))</f>
        <v>Miranda D3 (Audio)</v>
      </c>
      <c r="C69" s="7">
        <v>1.0</v>
      </c>
      <c r="D69" s="7" t="s">
        <v>96</v>
      </c>
      <c r="E69" s="7" t="s">
        <v>67</v>
      </c>
      <c r="F69" s="7" t="s">
        <v>17</v>
      </c>
      <c r="G69" s="7" t="s">
        <v>76</v>
      </c>
      <c r="H69" s="7" t="s">
        <v>40</v>
      </c>
      <c r="I69" s="6" t="str">
        <f>IF(H69="","",VLOOKUP(H69,DB!A:B,2,0))</f>
        <v>Miranda D3 (Video)</v>
      </c>
      <c r="J69" s="7">
        <v>1.0</v>
      </c>
      <c r="K69" s="7" t="s">
        <v>130</v>
      </c>
      <c r="L69" s="7" t="s">
        <v>76</v>
      </c>
      <c r="M69" s="8" t="s">
        <v>89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73</v>
      </c>
      <c r="B70" s="7" t="str">
        <f>IF(A70="","",VLOOKUP(A70,DB!A:B,2,0))</f>
        <v>Miranda D3 (Audio)</v>
      </c>
      <c r="C70" s="7">
        <v>1.0</v>
      </c>
      <c r="D70" s="7" t="s">
        <v>96</v>
      </c>
      <c r="E70" s="7" t="s">
        <v>63</v>
      </c>
      <c r="F70" s="7" t="s">
        <v>17</v>
      </c>
      <c r="G70" s="7" t="s">
        <v>76</v>
      </c>
      <c r="H70" s="7" t="s">
        <v>79</v>
      </c>
      <c r="I70" s="6" t="str">
        <f>IF(H70="","",VLOOKUP(H70,DB!A:B,2,0))</f>
        <v>Patch Ext. Video</v>
      </c>
      <c r="J70" s="6"/>
      <c r="K70" s="6"/>
      <c r="L70" s="7" t="s">
        <v>156</v>
      </c>
      <c r="M70" s="7" t="s">
        <v>157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87</v>
      </c>
      <c r="B71" s="7" t="str">
        <f>IF(A71="","",VLOOKUP(A71,DB!A:B,2,0))</f>
        <v>SmartScope (PGM)</v>
      </c>
      <c r="C71" s="6"/>
      <c r="D71" s="6"/>
      <c r="E71" s="7" t="s">
        <v>67</v>
      </c>
      <c r="F71" s="7" t="s">
        <v>17</v>
      </c>
      <c r="G71" s="7" t="s">
        <v>101</v>
      </c>
      <c r="H71" s="7" t="s">
        <v>87</v>
      </c>
      <c r="I71" s="6" t="str">
        <f>IF(H71="","",VLOOKUP(H71,DB!A:B,2,0))</f>
        <v>SmartScope (PGM)</v>
      </c>
      <c r="J71" s="6"/>
      <c r="K71" s="6"/>
      <c r="L71" s="7" t="s">
        <v>88</v>
      </c>
      <c r="M71" s="8" t="s">
        <v>158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79</v>
      </c>
      <c r="B72" s="7" t="str">
        <f>IF(A72="","",VLOOKUP(A72,DB!A:B,2,0))</f>
        <v>Patch Ext. Video</v>
      </c>
      <c r="C72" s="6"/>
      <c r="D72" s="6"/>
      <c r="E72" s="7" t="s">
        <v>159</v>
      </c>
      <c r="F72" s="7" t="s">
        <v>17</v>
      </c>
      <c r="G72" s="7" t="s">
        <v>159</v>
      </c>
      <c r="H72" s="7" t="s">
        <v>40</v>
      </c>
      <c r="I72" s="6" t="str">
        <f>IF(H72="","",VLOOKUP(H72,DB!A:B,2,0))</f>
        <v>Miranda D3 (Video)</v>
      </c>
      <c r="J72" s="7">
        <v>7.0</v>
      </c>
      <c r="K72" s="7" t="s">
        <v>41</v>
      </c>
      <c r="L72" s="7" t="s">
        <v>45</v>
      </c>
      <c r="M72" s="8" t="s">
        <v>160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79</v>
      </c>
      <c r="B73" s="7" t="str">
        <f>IF(A73="","",VLOOKUP(A73,DB!A:B,2,0))</f>
        <v>Patch Ext. Video</v>
      </c>
      <c r="C73" s="6"/>
      <c r="D73" s="6"/>
      <c r="E73" s="7" t="s">
        <v>161</v>
      </c>
      <c r="F73" s="7" t="s">
        <v>17</v>
      </c>
      <c r="G73" s="7" t="s">
        <v>161</v>
      </c>
      <c r="H73" s="7" t="s">
        <v>50</v>
      </c>
      <c r="I73" s="6" t="str">
        <f>IF(H73="","",VLOOKUP(H73,DB!A:B,2,0))</f>
        <v>Ikegami BS-80 4</v>
      </c>
      <c r="J73" s="6"/>
      <c r="K73" s="6"/>
      <c r="L73" s="7" t="s">
        <v>162</v>
      </c>
      <c r="M73" s="8" t="s">
        <v>64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79</v>
      </c>
      <c r="B74" s="7" t="str">
        <f>IF(A74="","",VLOOKUP(A74,DB!A:B,2,0))</f>
        <v>Patch Ext. Video</v>
      </c>
      <c r="C74" s="6"/>
      <c r="D74" s="6"/>
      <c r="E74" s="7" t="s">
        <v>163</v>
      </c>
      <c r="F74" s="7" t="s">
        <v>17</v>
      </c>
      <c r="G74" s="7" t="s">
        <v>163</v>
      </c>
      <c r="H74" s="7" t="s">
        <v>54</v>
      </c>
      <c r="I74" s="6" t="str">
        <f>IF(H74="","",VLOOKUP(H74,DB!A:B,2,0))</f>
        <v>Ikegami BS-80 5</v>
      </c>
      <c r="J74" s="6"/>
      <c r="K74" s="6"/>
      <c r="L74" s="7" t="s">
        <v>162</v>
      </c>
      <c r="M74" s="8" t="s">
        <v>65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79</v>
      </c>
      <c r="B75" s="7" t="str">
        <f>IF(A75="","",VLOOKUP(A75,DB!A:B,2,0))</f>
        <v>Patch Ext. Video</v>
      </c>
      <c r="C75" s="6"/>
      <c r="D75" s="6"/>
      <c r="E75" s="7" t="s">
        <v>164</v>
      </c>
      <c r="F75" s="7" t="s">
        <v>17</v>
      </c>
      <c r="G75" s="7" t="s">
        <v>164</v>
      </c>
      <c r="H75" s="7" t="s">
        <v>66</v>
      </c>
      <c r="I75" s="6" t="str">
        <f>IF(H75="","",VLOOKUP(H75,DB!A:B,2,0))</f>
        <v>CopperHead ProHD 1</v>
      </c>
      <c r="J75" s="6"/>
      <c r="K75" s="6"/>
      <c r="L75" s="7" t="s">
        <v>162</v>
      </c>
      <c r="M75" s="8" t="s">
        <v>68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79</v>
      </c>
      <c r="B76" s="7" t="str">
        <f>IF(A76="","",VLOOKUP(A76,DB!A:B,2,0))</f>
        <v>Patch Ext. Video</v>
      </c>
      <c r="C76" s="6"/>
      <c r="D76" s="6"/>
      <c r="E76" s="7" t="s">
        <v>165</v>
      </c>
      <c r="F76" s="7" t="s">
        <v>17</v>
      </c>
      <c r="G76" s="7" t="s">
        <v>165</v>
      </c>
      <c r="H76" s="7" t="s">
        <v>69</v>
      </c>
      <c r="I76" s="6" t="str">
        <f>IF(H76="","",VLOOKUP(H76,DB!A:B,2,0))</f>
        <v>CopperHead ProHD 2</v>
      </c>
      <c r="J76" s="6"/>
      <c r="K76" s="6"/>
      <c r="L76" s="7" t="s">
        <v>162</v>
      </c>
      <c r="M76" s="8" t="s">
        <v>70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79</v>
      </c>
      <c r="B77" s="7" t="str">
        <f>IF(A77="","",VLOOKUP(A77,DB!A:B,2,0))</f>
        <v>Patch Ext. Video</v>
      </c>
      <c r="C77" s="6"/>
      <c r="D77" s="6"/>
      <c r="E77" s="7" t="s">
        <v>166</v>
      </c>
      <c r="F77" s="7" t="s">
        <v>17</v>
      </c>
      <c r="G77" s="7" t="s">
        <v>166</v>
      </c>
      <c r="H77" s="7" t="s">
        <v>71</v>
      </c>
      <c r="I77" s="6" t="str">
        <f>IF(H77="","",VLOOKUP(H77,DB!A:B,2,0))</f>
        <v>CopperHead ProHD 3</v>
      </c>
      <c r="J77" s="6"/>
      <c r="K77" s="6"/>
      <c r="L77" s="7" t="s">
        <v>162</v>
      </c>
      <c r="M77" s="8" t="s">
        <v>72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79</v>
      </c>
      <c r="B78" s="7" t="str">
        <f>IF(A78="","",VLOOKUP(A78,DB!A:B,2,0))</f>
        <v>Patch Ext. Video</v>
      </c>
      <c r="C78" s="6"/>
      <c r="D78" s="6"/>
      <c r="E78" s="7" t="s">
        <v>167</v>
      </c>
      <c r="F78" s="7" t="s">
        <v>17</v>
      </c>
      <c r="G78" s="7" t="s">
        <v>167</v>
      </c>
      <c r="H78" s="7" t="s">
        <v>73</v>
      </c>
      <c r="I78" s="6" t="str">
        <f>IF(H78="","",VLOOKUP(H78,DB!A:B,2,0))</f>
        <v>Miranda D3 (Audio)</v>
      </c>
      <c r="J78" s="7">
        <v>5.0</v>
      </c>
      <c r="K78" s="7" t="s">
        <v>74</v>
      </c>
      <c r="L78" s="7" t="s">
        <v>76</v>
      </c>
      <c r="M78" s="8" t="s">
        <v>77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79</v>
      </c>
      <c r="B79" s="7" t="str">
        <f>IF(A79="","",VLOOKUP(A79,DB!A:B,2,0))</f>
        <v>Patch Ext. Video</v>
      </c>
      <c r="C79" s="6"/>
      <c r="D79" s="6"/>
      <c r="E79" s="7" t="s">
        <v>168</v>
      </c>
      <c r="F79" s="7" t="s">
        <v>17</v>
      </c>
      <c r="G79" s="7" t="s">
        <v>168</v>
      </c>
      <c r="H79" s="7" t="s">
        <v>73</v>
      </c>
      <c r="I79" s="6" t="str">
        <f>IF(H79="","",VLOOKUP(H79,DB!A:B,2,0))</f>
        <v>Miranda D3 (Audio)</v>
      </c>
      <c r="J79" s="7">
        <v>6.0</v>
      </c>
      <c r="K79" s="7" t="s">
        <v>74</v>
      </c>
      <c r="L79" s="7" t="s">
        <v>76</v>
      </c>
      <c r="M79" s="8" t="s">
        <v>78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169</v>
      </c>
      <c r="B80" s="10" t="str">
        <f>IF(A80="","",VLOOKUP(A80,DB!A:B,2,0))</f>
        <v>Patch Ext. Audio</v>
      </c>
      <c r="C80" s="11"/>
      <c r="D80" s="10"/>
      <c r="E80" s="12" t="s">
        <v>170</v>
      </c>
      <c r="F80" s="7" t="s">
        <v>17</v>
      </c>
      <c r="G80" s="12" t="s">
        <v>170</v>
      </c>
      <c r="H80" s="12" t="s">
        <v>134</v>
      </c>
      <c r="I80" s="10" t="str">
        <f>IF(H80="","",VLOOKUP(H80,DB!A:B,2,0))</f>
        <v>Yamaha MG166</v>
      </c>
      <c r="J80" s="10"/>
      <c r="K80" s="10"/>
      <c r="L80" s="12" t="s">
        <v>144</v>
      </c>
      <c r="M80" s="13" t="s">
        <v>171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169</v>
      </c>
      <c r="B81" s="14" t="str">
        <f>IF(A81="","",VLOOKUP(A81,DB!A:B,2,0))</f>
        <v>Patch Ext. Audio</v>
      </c>
      <c r="C81" s="14"/>
      <c r="D81" s="14"/>
      <c r="E81" s="12" t="s">
        <v>172</v>
      </c>
      <c r="F81" s="7" t="s">
        <v>17</v>
      </c>
      <c r="G81" s="12" t="s">
        <v>172</v>
      </c>
      <c r="H81" s="12" t="s">
        <v>134</v>
      </c>
      <c r="I81" s="14" t="str">
        <f>IF(H81="","",VLOOKUP(H81,DB!A:B,2,0))</f>
        <v>Yamaha MG166</v>
      </c>
      <c r="J81" s="14"/>
      <c r="K81" s="14"/>
      <c r="L81" s="12" t="s">
        <v>97</v>
      </c>
      <c r="M81" s="13" t="s">
        <v>173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169</v>
      </c>
      <c r="B82" s="14" t="str">
        <f>IF(A82="","",VLOOKUP(A82,DB!A:B,2,0))</f>
        <v>Patch Ext. Audio</v>
      </c>
      <c r="C82" s="14"/>
      <c r="D82" s="14"/>
      <c r="E82" s="12" t="s">
        <v>174</v>
      </c>
      <c r="F82" s="7" t="s">
        <v>17</v>
      </c>
      <c r="G82" s="12" t="s">
        <v>174</v>
      </c>
      <c r="H82" s="12" t="s">
        <v>134</v>
      </c>
      <c r="I82" s="14" t="str">
        <f>IF(H82="","",VLOOKUP(H82,DB!A:B,2,0))</f>
        <v>Yamaha MG166</v>
      </c>
      <c r="J82" s="14"/>
      <c r="K82" s="14"/>
      <c r="L82" s="12" t="s">
        <v>98</v>
      </c>
      <c r="M82" s="13" t="s">
        <v>175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169</v>
      </c>
      <c r="B83" s="14" t="str">
        <f>IF(A83="","",VLOOKUP(A83,DB!A:B,2,0))</f>
        <v>Patch Ext. Audio</v>
      </c>
      <c r="C83" s="14"/>
      <c r="D83" s="14"/>
      <c r="E83" s="12" t="s">
        <v>176</v>
      </c>
      <c r="F83" s="7" t="s">
        <v>17</v>
      </c>
      <c r="G83" s="12" t="s">
        <v>176</v>
      </c>
      <c r="H83" s="12" t="s">
        <v>134</v>
      </c>
      <c r="I83" s="14" t="str">
        <f>IF(H83="","",VLOOKUP(H83,DB!A:B,2,0))</f>
        <v>Yamaha MG166</v>
      </c>
      <c r="J83" s="14"/>
      <c r="K83" s="14"/>
      <c r="L83" s="12" t="s">
        <v>99</v>
      </c>
      <c r="M83" s="13" t="s">
        <v>177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169</v>
      </c>
      <c r="B84" s="10" t="str">
        <f>IF(A84="","",VLOOKUP(A84,DB!A:B,2,0))</f>
        <v>Patch Ext. Audio</v>
      </c>
      <c r="C84" s="10"/>
      <c r="D84" s="10"/>
      <c r="E84" s="12" t="s">
        <v>178</v>
      </c>
      <c r="F84" s="7" t="s">
        <v>17</v>
      </c>
      <c r="G84" s="12" t="s">
        <v>178</v>
      </c>
      <c r="H84" s="12" t="s">
        <v>134</v>
      </c>
      <c r="I84" s="10" t="str">
        <f>IF(H84="","",VLOOKUP(H84,DB!A:B,2,0))</f>
        <v>Yamaha MG166</v>
      </c>
      <c r="J84" s="10"/>
      <c r="K84" s="10"/>
      <c r="L84" s="12" t="s">
        <v>131</v>
      </c>
      <c r="M84" s="13" t="s">
        <v>179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169</v>
      </c>
      <c r="B85" s="14" t="str">
        <f>IF(A85="","",VLOOKUP(A85,DB!A:B,2,0))</f>
        <v>Patch Ext. Audio</v>
      </c>
      <c r="C85" s="14"/>
      <c r="D85" s="14"/>
      <c r="E85" s="12" t="s">
        <v>180</v>
      </c>
      <c r="F85" s="7" t="s">
        <v>17</v>
      </c>
      <c r="G85" s="12" t="s">
        <v>180</v>
      </c>
      <c r="H85" s="12" t="s">
        <v>134</v>
      </c>
      <c r="I85" s="14" t="str">
        <f>IF(H85="","",VLOOKUP(H85,DB!A:B,2,0))</f>
        <v>Yamaha MG166</v>
      </c>
      <c r="J85" s="14"/>
      <c r="K85" s="14"/>
      <c r="L85" s="12" t="s">
        <v>132</v>
      </c>
      <c r="M85" s="13" t="s">
        <v>181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169</v>
      </c>
      <c r="B86" s="7" t="str">
        <f>IF(A86="","",VLOOKUP(A86,DB!A:B,2,0))</f>
        <v>Patch Ext. Audio</v>
      </c>
      <c r="C86" s="6"/>
      <c r="D86" s="6"/>
      <c r="E86" s="12" t="s">
        <v>182</v>
      </c>
      <c r="F86" s="7" t="s">
        <v>17</v>
      </c>
      <c r="G86" s="12" t="s">
        <v>182</v>
      </c>
      <c r="H86" s="12" t="s">
        <v>134</v>
      </c>
      <c r="I86" s="6" t="str">
        <f>IF(H86="","",VLOOKUP(H86,DB!A:B,2,0))</f>
        <v>Yamaha MG166</v>
      </c>
      <c r="J86" s="6"/>
      <c r="K86" s="6"/>
      <c r="L86" s="12" t="s">
        <v>31</v>
      </c>
      <c r="M86" s="13" t="s">
        <v>77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169</v>
      </c>
      <c r="B87" s="7" t="str">
        <f>IF(A87="","",VLOOKUP(A87,DB!A:B,2,0))</f>
        <v>Patch Ext. Audio</v>
      </c>
      <c r="C87" s="6"/>
      <c r="D87" s="6"/>
      <c r="E87" s="12" t="s">
        <v>183</v>
      </c>
      <c r="F87" s="7" t="s">
        <v>17</v>
      </c>
      <c r="G87" s="12" t="s">
        <v>183</v>
      </c>
      <c r="H87" s="12" t="s">
        <v>134</v>
      </c>
      <c r="I87" s="6" t="str">
        <f>IF(H87="","",VLOOKUP(H87,DB!A:B,2,0))</f>
        <v>Yamaha MG166</v>
      </c>
      <c r="J87" s="6"/>
      <c r="K87" s="6"/>
      <c r="L87" s="12" t="s">
        <v>34</v>
      </c>
      <c r="M87" s="13" t="s">
        <v>78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169</v>
      </c>
      <c r="B88" s="7" t="str">
        <f>IF(A88="","",VLOOKUP(A88,DB!A:B,2,0))</f>
        <v>Patch Ext. Audio</v>
      </c>
      <c r="C88" s="6"/>
      <c r="D88" s="6"/>
      <c r="E88" s="12" t="s">
        <v>184</v>
      </c>
      <c r="F88" s="7" t="s">
        <v>17</v>
      </c>
      <c r="G88" s="12" t="s">
        <v>184</v>
      </c>
      <c r="H88" s="7" t="s">
        <v>134</v>
      </c>
      <c r="I88" s="6" t="str">
        <f>IF(H88="","",VLOOKUP(H88,DB!A:B,2,0))</f>
        <v>Yamaha MG166</v>
      </c>
      <c r="J88" s="6"/>
      <c r="K88" s="6"/>
      <c r="L88" s="12" t="s">
        <v>37</v>
      </c>
      <c r="M88" s="13" t="s">
        <v>81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73</v>
      </c>
      <c r="B89" s="7" t="str">
        <f>IF(A89="","",VLOOKUP(A89,DB!A:B,2,0))</f>
        <v>Miranda D3 (Audio)</v>
      </c>
      <c r="C89" s="7">
        <v>10.0</v>
      </c>
      <c r="D89" s="7" t="s">
        <v>142</v>
      </c>
      <c r="E89" s="7" t="s">
        <v>185</v>
      </c>
      <c r="F89" s="7" t="s">
        <v>17</v>
      </c>
      <c r="G89" s="7" t="s">
        <v>97</v>
      </c>
      <c r="H89" s="7" t="s">
        <v>186</v>
      </c>
      <c r="I89" s="6" t="str">
        <f>IF(H89="","",VLOOKUP(H89,DB!A:B,2,0))</f>
        <v>Split 3</v>
      </c>
      <c r="J89" s="6"/>
      <c r="K89" s="6"/>
      <c r="L89" s="7" t="s">
        <v>151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186</v>
      </c>
      <c r="B90" s="7" t="str">
        <f>IF(A90="","",VLOOKUP(A90,DB!A:B,2,0))</f>
        <v>Split 3</v>
      </c>
      <c r="C90" s="6"/>
      <c r="D90" s="6"/>
      <c r="E90" s="7" t="s">
        <v>143</v>
      </c>
      <c r="F90" s="7" t="s">
        <v>17</v>
      </c>
      <c r="G90" s="7" t="s">
        <v>151</v>
      </c>
      <c r="H90" s="7" t="s">
        <v>169</v>
      </c>
      <c r="I90" s="6" t="str">
        <f>IF(H90="","",VLOOKUP(H90,DB!A:B,2,0))</f>
        <v>Patch Ext. Audio</v>
      </c>
      <c r="J90" s="6"/>
      <c r="K90" s="6"/>
      <c r="L90" s="7" t="s">
        <v>187</v>
      </c>
      <c r="M90" s="8" t="s">
        <v>188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186</v>
      </c>
      <c r="B91" s="7" t="str">
        <f>IF(A91="","",VLOOKUP(A91,DB!A:B,2,0))</f>
        <v>Split 3</v>
      </c>
      <c r="C91" s="6"/>
      <c r="D91" s="6"/>
      <c r="E91" s="7" t="s">
        <v>154</v>
      </c>
      <c r="F91" s="7" t="s">
        <v>17</v>
      </c>
      <c r="G91" s="7" t="s">
        <v>151</v>
      </c>
      <c r="H91" s="7" t="s">
        <v>169</v>
      </c>
      <c r="I91" s="6" t="str">
        <f>IF(H91="","",VLOOKUP(H91,DB!A:B,2,0))</f>
        <v>Patch Ext. Audio</v>
      </c>
      <c r="J91" s="6"/>
      <c r="K91" s="6"/>
      <c r="L91" s="7" t="s">
        <v>189</v>
      </c>
      <c r="M91" s="8" t="s">
        <v>188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186</v>
      </c>
      <c r="B92" s="7" t="str">
        <f>IF(A92="","",VLOOKUP(A92,DB!A:B,2,0))</f>
        <v>Split 3</v>
      </c>
      <c r="C92" s="6"/>
      <c r="D92" s="6"/>
      <c r="E92" s="7" t="s">
        <v>190</v>
      </c>
      <c r="F92" s="7" t="s">
        <v>17</v>
      </c>
      <c r="G92" s="7" t="s">
        <v>151</v>
      </c>
      <c r="H92" s="7" t="s">
        <v>169</v>
      </c>
      <c r="I92" s="6" t="str">
        <f>IF(H92="","",VLOOKUP(H92,DB!A:B,2,0))</f>
        <v>Patch Ext. Audio</v>
      </c>
      <c r="J92" s="6"/>
      <c r="K92" s="6"/>
      <c r="L92" s="7" t="s">
        <v>191</v>
      </c>
      <c r="M92" s="8" t="s">
        <v>188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186</v>
      </c>
      <c r="B93" s="7" t="str">
        <f>IF(A93="","",VLOOKUP(A93,DB!A:B,2,0))</f>
        <v>Split 3</v>
      </c>
      <c r="C93" s="6"/>
      <c r="D93" s="6"/>
      <c r="E93" s="7" t="s">
        <v>192</v>
      </c>
      <c r="F93" s="7" t="s">
        <v>17</v>
      </c>
      <c r="G93" s="7" t="s">
        <v>151</v>
      </c>
      <c r="H93" s="7" t="s">
        <v>169</v>
      </c>
      <c r="I93" s="6" t="str">
        <f>IF(H93="","",VLOOKUP(H93,DB!A:B,2,0))</f>
        <v>Patch Ext. Audio</v>
      </c>
      <c r="J93" s="6"/>
      <c r="K93" s="6"/>
      <c r="L93" s="7" t="s">
        <v>193</v>
      </c>
      <c r="M93" s="8" t="s">
        <v>188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73</v>
      </c>
      <c r="B94" s="7" t="str">
        <f>IF(A94="","",VLOOKUP(A94,DB!A:B,2,0))</f>
        <v>Miranda D3 (Audio)</v>
      </c>
      <c r="C94" s="7">
        <v>7.0</v>
      </c>
      <c r="D94" s="7" t="s">
        <v>142</v>
      </c>
      <c r="E94" s="7" t="s">
        <v>154</v>
      </c>
      <c r="F94" s="7" t="s">
        <v>17</v>
      </c>
      <c r="G94" s="7" t="s">
        <v>144</v>
      </c>
      <c r="H94" s="7" t="s">
        <v>169</v>
      </c>
      <c r="I94" s="6" t="str">
        <f>IF(H94="","",VLOOKUP(H94,DB!A:B,2,0))</f>
        <v>Patch Ext. Audio</v>
      </c>
      <c r="J94" s="6"/>
      <c r="K94" s="6"/>
      <c r="L94" s="7" t="s">
        <v>194</v>
      </c>
      <c r="M94" s="8" t="s">
        <v>146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73</v>
      </c>
      <c r="B95" s="7" t="str">
        <f>IF(A95="","",VLOOKUP(A95,DB!A:B,2,0))</f>
        <v>Miranda D3 (Audio)</v>
      </c>
      <c r="C95" s="7">
        <v>7.0</v>
      </c>
      <c r="D95" s="7" t="s">
        <v>142</v>
      </c>
      <c r="E95" s="7" t="s">
        <v>195</v>
      </c>
      <c r="F95" s="7" t="s">
        <v>17</v>
      </c>
      <c r="G95" s="7" t="s">
        <v>97</v>
      </c>
      <c r="H95" s="7" t="s">
        <v>169</v>
      </c>
      <c r="I95" s="6" t="str">
        <f>IF(H95="","",VLOOKUP(H95,DB!A:B,2,0))</f>
        <v>Patch Ext. Audio</v>
      </c>
      <c r="J95" s="6"/>
      <c r="K95" s="6"/>
      <c r="L95" s="7" t="s">
        <v>196</v>
      </c>
      <c r="M95" s="8" t="s">
        <v>149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73</v>
      </c>
      <c r="B96" s="7" t="str">
        <f>IF(A96="","",VLOOKUP(A96,DB!A:B,2,0))</f>
        <v>Miranda D3 (Audio)</v>
      </c>
      <c r="C96" s="7">
        <v>8.0</v>
      </c>
      <c r="D96" s="7" t="s">
        <v>142</v>
      </c>
      <c r="E96" s="7" t="s">
        <v>195</v>
      </c>
      <c r="F96" s="7" t="s">
        <v>17</v>
      </c>
      <c r="G96" s="7" t="s">
        <v>97</v>
      </c>
      <c r="H96" s="7" t="s">
        <v>169</v>
      </c>
      <c r="I96" s="6" t="str">
        <f>IF(H96="","",VLOOKUP(H96,DB!A:B,2,0))</f>
        <v>Patch Ext. Audio</v>
      </c>
      <c r="J96" s="6"/>
      <c r="K96" s="6"/>
      <c r="L96" s="7" t="s">
        <v>197</v>
      </c>
      <c r="M96" s="8" t="s">
        <v>153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73</v>
      </c>
      <c r="B97" s="6" t="str">
        <f>IF(A97="","",VLOOKUP(A97,DB!A:B,2,0))</f>
        <v>Miranda D3 (Audio)</v>
      </c>
      <c r="C97" s="7">
        <v>8.0</v>
      </c>
      <c r="D97" s="7" t="s">
        <v>142</v>
      </c>
      <c r="E97" s="7" t="s">
        <v>143</v>
      </c>
      <c r="F97" s="7" t="s">
        <v>17</v>
      </c>
      <c r="G97" s="7" t="s">
        <v>144</v>
      </c>
      <c r="H97" s="7" t="s">
        <v>169</v>
      </c>
      <c r="I97" s="7" t="str">
        <f>IF(H97="","",VLOOKUP(H97,DB!A:B,2,0))</f>
        <v>Patch Ext. Audio</v>
      </c>
      <c r="J97" s="6"/>
      <c r="K97" s="6"/>
      <c r="L97" s="7" t="s">
        <v>198</v>
      </c>
      <c r="M97" s="8" t="s">
        <v>199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73</v>
      </c>
      <c r="B98" s="6" t="str">
        <f>IF(A98="","",VLOOKUP(A98,DB!A:B,2,0))</f>
        <v>Miranda D3 (Audio)</v>
      </c>
      <c r="C98" s="7">
        <v>9.0</v>
      </c>
      <c r="D98" s="7" t="s">
        <v>142</v>
      </c>
      <c r="E98" s="7" t="s">
        <v>147</v>
      </c>
      <c r="F98" s="7" t="s">
        <v>17</v>
      </c>
      <c r="G98" s="7" t="s">
        <v>97</v>
      </c>
      <c r="H98" s="7" t="s">
        <v>169</v>
      </c>
      <c r="I98" s="7" t="str">
        <f>IF(H98="","",VLOOKUP(H98,DB!A:B,2,0))</f>
        <v>Patch Ext. Audio</v>
      </c>
      <c r="J98" s="6"/>
      <c r="K98" s="6"/>
      <c r="L98" s="7" t="s">
        <v>200</v>
      </c>
      <c r="M98" s="8" t="s">
        <v>110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73</v>
      </c>
      <c r="B99" s="6" t="str">
        <f>IF(A99="","",VLOOKUP(A99,DB!A:B,2,0))</f>
        <v>Miranda D3 (Audio)</v>
      </c>
      <c r="C99" s="7">
        <v>9.0</v>
      </c>
      <c r="D99" s="7" t="s">
        <v>142</v>
      </c>
      <c r="E99" s="7" t="s">
        <v>143</v>
      </c>
      <c r="F99" s="7" t="s">
        <v>17</v>
      </c>
      <c r="G99" s="7" t="s">
        <v>144</v>
      </c>
      <c r="H99" s="7" t="s">
        <v>169</v>
      </c>
      <c r="I99" s="7" t="str">
        <f>IF(H99="","",VLOOKUP(H99,DB!A:B,2,0))</f>
        <v>Patch Ext. Audio</v>
      </c>
      <c r="J99" s="6"/>
      <c r="K99" s="6"/>
      <c r="L99" s="7" t="s">
        <v>201</v>
      </c>
      <c r="M99" s="7" t="s">
        <v>111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73</v>
      </c>
      <c r="B100" s="6" t="str">
        <f>IF(A100="","",VLOOKUP(A100,DB!A:B,2,0))</f>
        <v>Miranda D3 (Audio)</v>
      </c>
      <c r="C100" s="7">
        <v>9.0</v>
      </c>
      <c r="D100" s="7" t="s">
        <v>142</v>
      </c>
      <c r="E100" s="7" t="s">
        <v>195</v>
      </c>
      <c r="F100" s="7" t="s">
        <v>17</v>
      </c>
      <c r="G100" s="7" t="s">
        <v>97</v>
      </c>
      <c r="H100" s="7" t="s">
        <v>169</v>
      </c>
      <c r="I100" s="7" t="str">
        <f>IF(H100="","",VLOOKUP(H100,DB!A:B,2,0))</f>
        <v>Patch Ext. Audio</v>
      </c>
      <c r="J100" s="6"/>
      <c r="K100" s="6"/>
      <c r="L100" s="7" t="s">
        <v>202</v>
      </c>
      <c r="M100" s="7" t="s">
        <v>110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73</v>
      </c>
      <c r="B101" s="6" t="str">
        <f>IF(A101="","",VLOOKUP(A101,DB!A:B,2,0))</f>
        <v>Miranda D3 (Audio)</v>
      </c>
      <c r="C101" s="7">
        <v>8.0</v>
      </c>
      <c r="D101" s="7" t="s">
        <v>142</v>
      </c>
      <c r="E101" s="7" t="s">
        <v>154</v>
      </c>
      <c r="F101" s="7" t="s">
        <v>17</v>
      </c>
      <c r="G101" s="7" t="s">
        <v>144</v>
      </c>
      <c r="H101" s="7" t="s">
        <v>169</v>
      </c>
      <c r="I101" s="7" t="str">
        <f>IF(H101="","",VLOOKUP(H101,DB!A:B,2,0))</f>
        <v>Patch Ext. Audio</v>
      </c>
      <c r="J101" s="6"/>
      <c r="K101" s="6"/>
      <c r="L101" s="7" t="s">
        <v>203</v>
      </c>
      <c r="M101" s="7" t="s">
        <v>199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169</v>
      </c>
      <c r="B102" s="7" t="str">
        <f>IF(A102="","",VLOOKUP(A102,DB!A:B,2,0))</f>
        <v>Patch Ext. Audio</v>
      </c>
      <c r="C102" s="6"/>
      <c r="D102" s="6"/>
      <c r="E102" s="7" t="s">
        <v>204</v>
      </c>
      <c r="F102" s="7" t="s">
        <v>17</v>
      </c>
      <c r="G102" s="7" t="s">
        <v>204</v>
      </c>
      <c r="H102" s="7" t="s">
        <v>28</v>
      </c>
      <c r="I102" s="6" t="str">
        <f>IF(H102="","",VLOOKUP(H102,DB!A:B,2,0))</f>
        <v/>
      </c>
      <c r="J102" s="6"/>
      <c r="K102" s="6"/>
      <c r="L102" s="6"/>
      <c r="M102" s="7" t="s">
        <v>205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169</v>
      </c>
      <c r="B103" s="7" t="str">
        <f>IF(A103="","",VLOOKUP(A103,DB!A:B,2,0))</f>
        <v>Patch Ext. Audio</v>
      </c>
      <c r="C103" s="6"/>
      <c r="D103" s="6"/>
      <c r="E103" s="7" t="s">
        <v>206</v>
      </c>
      <c r="F103" s="7" t="s">
        <v>17</v>
      </c>
      <c r="G103" s="7" t="s">
        <v>206</v>
      </c>
      <c r="H103" s="7" t="s">
        <v>28</v>
      </c>
      <c r="I103" s="6" t="str">
        <f>IF(H103="","",VLOOKUP(H103,DB!A:B,2,0))</f>
        <v/>
      </c>
      <c r="J103" s="6"/>
      <c r="K103" s="6"/>
      <c r="L103" s="6"/>
      <c r="M103" s="7" t="s">
        <v>207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169</v>
      </c>
      <c r="B104" s="7" t="str">
        <f>IF(A104="","",VLOOKUP(A104,DB!A:B,2,0))</f>
        <v>Patch Ext. Audio</v>
      </c>
      <c r="C104" s="6"/>
      <c r="D104" s="6"/>
      <c r="E104" s="7" t="s">
        <v>208</v>
      </c>
      <c r="F104" s="7" t="s">
        <v>17</v>
      </c>
      <c r="G104" s="7" t="s">
        <v>208</v>
      </c>
      <c r="H104" s="7" t="s">
        <v>28</v>
      </c>
      <c r="I104" s="6" t="str">
        <f>IF(H104="","",VLOOKUP(H104,DB!A:B,2,0))</f>
        <v/>
      </c>
      <c r="J104" s="6"/>
      <c r="K104" s="6"/>
      <c r="L104" s="6"/>
      <c r="M104" s="7" t="s">
        <v>209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169</v>
      </c>
      <c r="B105" s="7" t="str">
        <f>IF(A105="","",VLOOKUP(A105,DB!A:B,2,0))</f>
        <v>Patch Ext. Audio</v>
      </c>
      <c r="C105" s="6"/>
      <c r="D105" s="6"/>
      <c r="E105" s="7" t="s">
        <v>210</v>
      </c>
      <c r="F105" s="7" t="s">
        <v>17</v>
      </c>
      <c r="G105" s="7" t="s">
        <v>210</v>
      </c>
      <c r="H105" s="7" t="s">
        <v>28</v>
      </c>
      <c r="I105" s="6" t="str">
        <f>IF(H105="","",VLOOKUP(H105,DB!A:B,2,0))</f>
        <v/>
      </c>
      <c r="J105" s="6"/>
      <c r="K105" s="6"/>
      <c r="L105" s="6"/>
      <c r="M105" s="7" t="s">
        <v>211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169</v>
      </c>
      <c r="B106" s="7" t="str">
        <f>IF(A106="","",VLOOKUP(A106,DB!A:B,2,0))</f>
        <v>Patch Ext. Audio</v>
      </c>
      <c r="C106" s="6"/>
      <c r="D106" s="6"/>
      <c r="E106" s="7" t="s">
        <v>212</v>
      </c>
      <c r="F106" s="7" t="s">
        <v>17</v>
      </c>
      <c r="G106" s="7" t="s">
        <v>212</v>
      </c>
      <c r="H106" s="7" t="s">
        <v>28</v>
      </c>
      <c r="I106" s="6" t="str">
        <f>IF(H106="","",VLOOKUP(H106,DB!A:B,2,0))</f>
        <v/>
      </c>
      <c r="J106" s="6"/>
      <c r="K106" s="6"/>
      <c r="L106" s="6"/>
      <c r="M106" s="7" t="s">
        <v>213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169</v>
      </c>
      <c r="B107" s="7" t="str">
        <f>IF(A107="","",VLOOKUP(A107,DB!A:B,2,0))</f>
        <v>Patch Ext. Audio</v>
      </c>
      <c r="C107" s="6"/>
      <c r="D107" s="6"/>
      <c r="E107" s="7" t="s">
        <v>214</v>
      </c>
      <c r="F107" s="7" t="s">
        <v>17</v>
      </c>
      <c r="G107" s="7" t="s">
        <v>214</v>
      </c>
      <c r="H107" s="7" t="s">
        <v>28</v>
      </c>
      <c r="I107" s="6" t="str">
        <f>IF(H107="","",VLOOKUP(H107,DB!A:B,2,0))</f>
        <v/>
      </c>
      <c r="J107" s="6"/>
      <c r="K107" s="6"/>
      <c r="L107" s="6"/>
      <c r="M107" s="7" t="s">
        <v>215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169</v>
      </c>
      <c r="B108" s="7" t="str">
        <f>IF(A108="","",VLOOKUP(A108,DB!A:B,2,0))</f>
        <v>Patch Ext. Audio</v>
      </c>
      <c r="C108" s="6"/>
      <c r="D108" s="6"/>
      <c r="E108" s="7" t="s">
        <v>216</v>
      </c>
      <c r="F108" s="7" t="s">
        <v>17</v>
      </c>
      <c r="G108" s="7" t="s">
        <v>216</v>
      </c>
      <c r="H108" s="7" t="s">
        <v>28</v>
      </c>
      <c r="I108" s="6" t="str">
        <f>IF(H108="","",VLOOKUP(H108,DB!A:B,2,0))</f>
        <v/>
      </c>
      <c r="J108" s="6"/>
      <c r="K108" s="6"/>
      <c r="L108" s="6"/>
      <c r="M108" s="7" t="s">
        <v>217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169</v>
      </c>
      <c r="B109" s="7" t="str">
        <f>IF(A109="","",VLOOKUP(A109,DB!A:B,2,0))</f>
        <v>Patch Ext. Audio</v>
      </c>
      <c r="C109" s="6"/>
      <c r="D109" s="6"/>
      <c r="E109" s="7" t="s">
        <v>218</v>
      </c>
      <c r="F109" s="7" t="s">
        <v>17</v>
      </c>
      <c r="G109" s="7" t="s">
        <v>218</v>
      </c>
      <c r="H109" s="7" t="s">
        <v>28</v>
      </c>
      <c r="I109" s="6" t="str">
        <f>IF(H109="","",VLOOKUP(H109,DB!A:B,2,0))</f>
        <v/>
      </c>
      <c r="J109" s="6"/>
      <c r="K109" s="6"/>
      <c r="L109" s="6"/>
      <c r="M109" s="7" t="s">
        <v>219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169</v>
      </c>
      <c r="B110" s="7" t="str">
        <f>IF(A110="","",VLOOKUP(A110,DB!A:B,2,0))</f>
        <v>Patch Ext. Audio</v>
      </c>
      <c r="C110" s="6"/>
      <c r="D110" s="6"/>
      <c r="E110" s="7" t="s">
        <v>220</v>
      </c>
      <c r="F110" s="7" t="s">
        <v>17</v>
      </c>
      <c r="G110" s="7" t="s">
        <v>220</v>
      </c>
      <c r="H110" s="7" t="s">
        <v>28</v>
      </c>
      <c r="I110" s="6" t="str">
        <f>IF(H110="","",VLOOKUP(H110,DB!A:B,2,0))</f>
        <v/>
      </c>
      <c r="J110" s="6"/>
      <c r="K110" s="6"/>
      <c r="L110" s="6"/>
      <c r="M110" s="7" t="s">
        <v>221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169</v>
      </c>
      <c r="B111" s="14" t="str">
        <f>IF(A111="","",VLOOKUP(A111,DB!A:B,2,0))</f>
        <v>Patch Ext. Audio</v>
      </c>
      <c r="C111" s="15"/>
      <c r="D111" s="14"/>
      <c r="E111" s="7" t="s">
        <v>222</v>
      </c>
      <c r="F111" s="7" t="s">
        <v>17</v>
      </c>
      <c r="G111" s="7" t="s">
        <v>222</v>
      </c>
      <c r="H111" s="7" t="s">
        <v>28</v>
      </c>
      <c r="I111" s="14" t="str">
        <f>IF(H111="","",VLOOKUP(H111,DB!A:B,2,0))</f>
        <v/>
      </c>
      <c r="J111" s="14"/>
      <c r="K111" s="14"/>
      <c r="L111" s="6"/>
      <c r="M111" s="16" t="s">
        <v>223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30</v>
      </c>
      <c r="B112" s="7" t="str">
        <f>IF(A112="","",VLOOKUP(A112,DB!A:B,2,0))</f>
        <v>ATEM 1 M/E</v>
      </c>
      <c r="C112" s="6"/>
      <c r="D112" s="6"/>
      <c r="E112" s="7" t="s">
        <v>224</v>
      </c>
      <c r="F112" s="6"/>
      <c r="G112" s="6"/>
      <c r="H112" s="7" t="s">
        <v>225</v>
      </c>
      <c r="I112" s="6" t="str">
        <f>IF(H112="","",VLOOKUP(H112,DB!A:B,2,0))</f>
        <v>SmartView (PVW)</v>
      </c>
      <c r="J112" s="6"/>
      <c r="K112" s="6"/>
      <c r="L112" s="7" t="s">
        <v>76</v>
      </c>
      <c r="M112" s="8" t="s">
        <v>226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225</v>
      </c>
      <c r="B113" s="7" t="str">
        <f>IF(A113="","",VLOOKUP(A113,DB!A:B,2,0))</f>
        <v>SmartView (PVW)</v>
      </c>
      <c r="C113" s="6"/>
      <c r="D113" s="6"/>
      <c r="E113" s="7" t="s">
        <v>75</v>
      </c>
      <c r="F113" s="7" t="s">
        <v>17</v>
      </c>
      <c r="G113" s="7" t="s">
        <v>76</v>
      </c>
      <c r="H113" s="7" t="s">
        <v>227</v>
      </c>
      <c r="I113" s="6" t="str">
        <f>IF(H113="","",VLOOKUP(H113,DB!A:B,2,0))</f>
        <v>SmartScope (PVW)</v>
      </c>
      <c r="J113" s="6"/>
      <c r="K113" s="6"/>
      <c r="L113" s="7" t="s">
        <v>101</v>
      </c>
      <c r="M113" s="8" t="s">
        <v>228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227</v>
      </c>
      <c r="B114" s="7" t="str">
        <f>IF(A114="","",VLOOKUP(A114,DB!A:B,2,0))</f>
        <v>SmartScope (PVW)</v>
      </c>
      <c r="C114" s="6"/>
      <c r="D114" s="6"/>
      <c r="E114" s="7" t="s">
        <v>67</v>
      </c>
      <c r="F114" s="7" t="s">
        <v>17</v>
      </c>
      <c r="G114" s="7" t="s">
        <v>101</v>
      </c>
      <c r="H114" s="7" t="s">
        <v>227</v>
      </c>
      <c r="I114" s="6" t="str">
        <f>IF(H114="","",VLOOKUP(H114,DB!A:B,2,0))</f>
        <v>SmartScope (PVW)</v>
      </c>
      <c r="J114" s="6"/>
      <c r="K114" s="6"/>
      <c r="L114" s="7" t="s">
        <v>88</v>
      </c>
      <c r="M114" s="8" t="s">
        <v>229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30</v>
      </c>
      <c r="B115" s="7" t="str">
        <f>IF(A115="","",VLOOKUP(A115,DB!A:B,2,0))</f>
        <v>ATEM 1 M/E</v>
      </c>
      <c r="C115" s="6"/>
      <c r="D115" s="6"/>
      <c r="E115" s="7" t="s">
        <v>230</v>
      </c>
      <c r="F115" s="6"/>
      <c r="G115" s="6"/>
      <c r="H115" s="7" t="s">
        <v>231</v>
      </c>
      <c r="I115" s="6" t="str">
        <f>IF(H115="","",VLOOKUP(H115,DB!A:B,2,0))</f>
        <v>Monitor Multiview</v>
      </c>
      <c r="J115" s="6"/>
      <c r="K115" s="6"/>
      <c r="L115" s="7" t="s">
        <v>232</v>
      </c>
      <c r="M115" s="8" t="s">
        <v>233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134</v>
      </c>
      <c r="B116" s="7" t="str">
        <f>IF(A116="","",VLOOKUP(A116,DB!A:B,2,0))</f>
        <v>Yamaha MG166</v>
      </c>
      <c r="C116" s="6"/>
      <c r="D116" s="6"/>
      <c r="E116" s="7" t="s">
        <v>234</v>
      </c>
      <c r="F116" s="6"/>
      <c r="G116" s="6"/>
      <c r="H116" s="7" t="s">
        <v>235</v>
      </c>
      <c r="I116" s="6" t="str">
        <f>IF(H116="","",VLOOKUP(H116,DB!A:B,2,0))</f>
        <v>Monitor Audio L</v>
      </c>
      <c r="J116" s="6"/>
      <c r="K116" s="6"/>
      <c r="L116" s="7" t="s">
        <v>236</v>
      </c>
      <c r="M116" s="8" t="s">
        <v>237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134</v>
      </c>
      <c r="B117" s="7" t="str">
        <f>IF(A117="","",VLOOKUP(A117,DB!A:B,2,0))</f>
        <v>Yamaha MG166</v>
      </c>
      <c r="C117" s="6"/>
      <c r="D117" s="6"/>
      <c r="E117" s="7" t="s">
        <v>238</v>
      </c>
      <c r="F117" s="6"/>
      <c r="G117" s="6"/>
      <c r="H117" s="7" t="s">
        <v>239</v>
      </c>
      <c r="I117" s="6" t="str">
        <f>IF(H117="","",VLOOKUP(H117,DB!A:B,2,0))</f>
        <v>Monitor Audio R</v>
      </c>
      <c r="J117" s="6"/>
      <c r="K117" s="6"/>
      <c r="L117" s="7" t="s">
        <v>236</v>
      </c>
      <c r="M117" s="8" t="s">
        <v>240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134</v>
      </c>
      <c r="B118" s="7" t="str">
        <f>IF(A118="","",VLOOKUP(A118,DB!A:B,2,0))</f>
        <v>Yamaha MG166</v>
      </c>
      <c r="C118" s="6"/>
      <c r="D118" s="6"/>
      <c r="E118" s="7" t="s">
        <v>241</v>
      </c>
      <c r="F118" s="6"/>
      <c r="G118" s="6"/>
      <c r="H118" s="7" t="s">
        <v>73</v>
      </c>
      <c r="I118" s="6" t="str">
        <f>IF(H118="","",VLOOKUP(H118,DB!A:B,2,0))</f>
        <v>Miranda D3 (Audio)</v>
      </c>
      <c r="J118" s="7">
        <v>7.0</v>
      </c>
      <c r="K118" s="7" t="s">
        <v>142</v>
      </c>
      <c r="L118" s="7" t="s">
        <v>144</v>
      </c>
      <c r="M118" s="8" t="s">
        <v>242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134</v>
      </c>
      <c r="B119" s="7" t="str">
        <f>IF(A119="","",VLOOKUP(A119,DB!A:B,2,0))</f>
        <v>Yamaha MG166</v>
      </c>
      <c r="C119" s="6"/>
      <c r="D119" s="6"/>
      <c r="E119" s="7" t="s">
        <v>243</v>
      </c>
      <c r="F119" s="6"/>
      <c r="G119" s="6"/>
      <c r="H119" s="7" t="s">
        <v>73</v>
      </c>
      <c r="I119" s="6" t="str">
        <f>IF(H119="","",VLOOKUP(H119,DB!A:B,2,0))</f>
        <v>Miranda D3 (Audio)</v>
      </c>
      <c r="J119" s="7">
        <v>7.0</v>
      </c>
      <c r="K119" s="7" t="s">
        <v>142</v>
      </c>
      <c r="L119" s="7" t="s">
        <v>97</v>
      </c>
      <c r="M119" s="8" t="s">
        <v>244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134</v>
      </c>
      <c r="B120" s="7" t="str">
        <f>IF(A120="","",VLOOKUP(A120,DB!A:B,2,0))</f>
        <v>Yamaha MG166</v>
      </c>
      <c r="C120" s="6"/>
      <c r="D120" s="6"/>
      <c r="E120" s="7" t="s">
        <v>245</v>
      </c>
      <c r="F120" s="6"/>
      <c r="G120" s="6"/>
      <c r="H120" s="7" t="s">
        <v>73</v>
      </c>
      <c r="I120" s="6" t="str">
        <f>IF(H120="","",VLOOKUP(H120,DB!A:B,2,0))</f>
        <v>Miranda D3 (Audio)</v>
      </c>
      <c r="J120" s="7">
        <v>8.0</v>
      </c>
      <c r="K120" s="7" t="s">
        <v>142</v>
      </c>
      <c r="L120" s="7" t="s">
        <v>97</v>
      </c>
      <c r="M120" s="8" t="s">
        <v>153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134</v>
      </c>
      <c r="B121" s="7" t="str">
        <f>IF(A121="","",VLOOKUP(A121,DB!A:B,2,0))</f>
        <v>Yamaha MG166</v>
      </c>
      <c r="C121" s="6"/>
      <c r="D121" s="6"/>
      <c r="E121" s="7" t="s">
        <v>246</v>
      </c>
      <c r="F121" s="6"/>
      <c r="G121" s="6"/>
      <c r="H121" s="7" t="s">
        <v>73</v>
      </c>
      <c r="I121" s="6" t="str">
        <f>IF(H121="","",VLOOKUP(H121,DB!A:B,2,0))</f>
        <v>Miranda D3 (Audio)</v>
      </c>
      <c r="J121" s="7">
        <v>8.0</v>
      </c>
      <c r="K121" s="7" t="s">
        <v>142</v>
      </c>
      <c r="L121" s="7" t="s">
        <v>144</v>
      </c>
      <c r="M121" s="8" t="s">
        <v>199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134</v>
      </c>
      <c r="B122" s="7" t="str">
        <f>IF(A122="","",VLOOKUP(A122,DB!A:B,2,0))</f>
        <v>Yamaha MG166</v>
      </c>
      <c r="C122" s="6"/>
      <c r="D122" s="6"/>
      <c r="E122" s="7" t="s">
        <v>247</v>
      </c>
      <c r="F122" s="6"/>
      <c r="G122" s="6"/>
      <c r="H122" s="7" t="s">
        <v>73</v>
      </c>
      <c r="I122" s="6" t="str">
        <f>IF(H122="","",VLOOKUP(H122,DB!A:B,2,0))</f>
        <v>Miranda D3 (Audio)</v>
      </c>
      <c r="J122" s="7">
        <v>9.0</v>
      </c>
      <c r="K122" s="7" t="s">
        <v>142</v>
      </c>
      <c r="L122" s="7" t="s">
        <v>97</v>
      </c>
      <c r="M122" s="8" t="s">
        <v>110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134</v>
      </c>
      <c r="B123" s="7" t="str">
        <f>IF(A123="","",VLOOKUP(A123,DB!A:B,2,0))</f>
        <v>Yamaha MG166</v>
      </c>
      <c r="C123" s="6"/>
      <c r="D123" s="6"/>
      <c r="E123" s="7" t="s">
        <v>248</v>
      </c>
      <c r="F123" s="6"/>
      <c r="G123" s="6"/>
      <c r="H123" s="7" t="s">
        <v>249</v>
      </c>
      <c r="I123" s="6" t="str">
        <f>IF(H123="","",VLOOKUP(H123,DB!A:B,2,0))</f>
        <v>Split 1</v>
      </c>
      <c r="J123" s="7"/>
      <c r="K123" s="6"/>
      <c r="L123" s="7" t="s">
        <v>151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249</v>
      </c>
      <c r="B124" s="7" t="str">
        <f>IF(A124="","",VLOOKUP(A124,DB!A:B,2,0))</f>
        <v>Split 1</v>
      </c>
      <c r="C124" s="6"/>
      <c r="D124" s="6"/>
      <c r="E124" s="7" t="s">
        <v>143</v>
      </c>
      <c r="F124" s="7" t="s">
        <v>17</v>
      </c>
      <c r="G124" s="7" t="s">
        <v>151</v>
      </c>
      <c r="H124" s="7" t="s">
        <v>73</v>
      </c>
      <c r="I124" s="6" t="str">
        <f>IF(H124="","",VLOOKUP(H124,DB!A:B,2,0))</f>
        <v>Miranda D3 (Audio)</v>
      </c>
      <c r="J124" s="7">
        <v>10.0</v>
      </c>
      <c r="K124" s="7" t="s">
        <v>142</v>
      </c>
      <c r="L124" s="7" t="s">
        <v>144</v>
      </c>
      <c r="M124" s="8" t="s">
        <v>117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249</v>
      </c>
      <c r="B125" s="7" t="str">
        <f>IF(A125="","",VLOOKUP(A125,DB!A:B,2,0))</f>
        <v>Split 1</v>
      </c>
      <c r="C125" s="6"/>
      <c r="D125" s="6"/>
      <c r="E125" s="7" t="s">
        <v>154</v>
      </c>
      <c r="F125" s="7" t="s">
        <v>17</v>
      </c>
      <c r="G125" s="7" t="s">
        <v>151</v>
      </c>
      <c r="H125" s="7" t="s">
        <v>73</v>
      </c>
      <c r="I125" s="6" t="str">
        <f>IF(H125="","",VLOOKUP(H125,DB!A:B,2,0))</f>
        <v>Miranda D3 (Audio)</v>
      </c>
      <c r="J125" s="7">
        <v>10.0</v>
      </c>
      <c r="K125" s="7" t="s">
        <v>142</v>
      </c>
      <c r="L125" s="7" t="s">
        <v>97</v>
      </c>
      <c r="M125" s="8" t="s">
        <v>117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134</v>
      </c>
      <c r="B126" s="7" t="str">
        <f>IF(A126="","",VLOOKUP(A126,DB!A:B,2,0))</f>
        <v>Yamaha MG166</v>
      </c>
      <c r="C126" s="6"/>
      <c r="D126" s="6"/>
      <c r="E126" s="7" t="s">
        <v>250</v>
      </c>
      <c r="F126" s="6"/>
      <c r="G126" s="6"/>
      <c r="H126" s="7" t="s">
        <v>73</v>
      </c>
      <c r="I126" s="6" t="str">
        <f>IF(H126="","",VLOOKUP(H126,DB!A:B,2,0))</f>
        <v>Miranda D3 (Audio)</v>
      </c>
      <c r="J126" s="7">
        <v>9.0</v>
      </c>
      <c r="K126" s="7" t="s">
        <v>142</v>
      </c>
      <c r="L126" s="7" t="s">
        <v>144</v>
      </c>
      <c r="M126" s="8" t="s">
        <v>111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134</v>
      </c>
      <c r="B127" s="7" t="str">
        <f>IF(A127="","",VLOOKUP(A127,DB!A:B,2,0))</f>
        <v>Yamaha MG166</v>
      </c>
      <c r="C127" s="6"/>
      <c r="D127" s="6"/>
      <c r="E127" s="7" t="s">
        <v>251</v>
      </c>
      <c r="F127" s="6"/>
      <c r="G127" s="6"/>
      <c r="H127" s="7" t="s">
        <v>252</v>
      </c>
      <c r="I127" s="6" t="str">
        <f>IF(H127="","",VLOOKUP(H127,DB!A:B,2,0))</f>
        <v>RF</v>
      </c>
      <c r="J127" s="6"/>
      <c r="K127" s="6"/>
      <c r="L127" s="7" t="s">
        <v>236</v>
      </c>
      <c r="M127" s="8" t="s">
        <v>253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28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79</v>
      </c>
      <c r="I128" s="6" t="str">
        <f>IF(H128="","",VLOOKUP(H128,DB!A:B,2,0))</f>
        <v>Patch Ext. Video</v>
      </c>
      <c r="J128" s="6"/>
      <c r="K128" s="6"/>
      <c r="L128" s="7" t="s">
        <v>167</v>
      </c>
      <c r="M128" s="8" t="s">
        <v>77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28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79</v>
      </c>
      <c r="I129" s="6" t="str">
        <f>IF(H129="","",VLOOKUP(H129,DB!A:B,2,0))</f>
        <v>Patch Ext. Video</v>
      </c>
      <c r="J129" s="6"/>
      <c r="K129" s="6"/>
      <c r="L129" s="7" t="s">
        <v>168</v>
      </c>
      <c r="M129" s="8" t="s">
        <v>78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28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79</v>
      </c>
      <c r="I130" s="6" t="str">
        <f>IF(H130="","",VLOOKUP(H130,DB!A:B,2,0))</f>
        <v>Patch Ext. Video</v>
      </c>
      <c r="J130" s="6"/>
      <c r="K130" s="6"/>
      <c r="L130" s="7" t="s">
        <v>80</v>
      </c>
      <c r="M130" s="8" t="s">
        <v>81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28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79</v>
      </c>
      <c r="I131" s="6" t="str">
        <f>IF(H131="","",VLOOKUP(H131,DB!A:B,2,0))</f>
        <v>Patch Ext. Video</v>
      </c>
      <c r="J131" s="6"/>
      <c r="K131" s="6"/>
      <c r="L131" s="7" t="s">
        <v>92</v>
      </c>
      <c r="M131" s="8" t="s">
        <v>94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28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79</v>
      </c>
      <c r="I132" s="6" t="str">
        <f>IF(H132="","",VLOOKUP(H132,DB!A:B,2,0))</f>
        <v>Patch Ext. Video</v>
      </c>
      <c r="J132" s="6"/>
      <c r="K132" s="6"/>
      <c r="L132" s="7" t="s">
        <v>159</v>
      </c>
      <c r="M132" s="8" t="s">
        <v>160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79</v>
      </c>
      <c r="B133" s="7" t="str">
        <f>IF(A133="","",VLOOKUP(A133,DB!A:B,2,0))</f>
        <v>Patch Ext. Video</v>
      </c>
      <c r="C133" s="6"/>
      <c r="D133" s="6"/>
      <c r="E133" s="7" t="s">
        <v>119</v>
      </c>
      <c r="F133" s="7" t="s">
        <v>17</v>
      </c>
      <c r="G133" s="7" t="s">
        <v>119</v>
      </c>
      <c r="H133" s="7" t="s">
        <v>28</v>
      </c>
      <c r="I133" s="6" t="str">
        <f>IF(H133="","",VLOOKUP(H133,DB!A:B,2,0))</f>
        <v/>
      </c>
      <c r="J133" s="6"/>
      <c r="K133" s="6"/>
      <c r="L133" s="6"/>
      <c r="M133" s="8" t="s">
        <v>89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79</v>
      </c>
      <c r="B134" s="7" t="str">
        <f>IF(A134="","",VLOOKUP(A134,DB!A:B,2,0))</f>
        <v>Patch Ext. Video</v>
      </c>
      <c r="C134" s="6"/>
      <c r="D134" s="6"/>
      <c r="E134" s="7" t="s">
        <v>123</v>
      </c>
      <c r="F134" s="7" t="s">
        <v>17</v>
      </c>
      <c r="G134" s="7" t="s">
        <v>123</v>
      </c>
      <c r="H134" s="7" t="s">
        <v>28</v>
      </c>
      <c r="I134" s="6" t="str">
        <f>IF(H134="","",VLOOKUP(H134,DB!A:B,2,0))</f>
        <v/>
      </c>
      <c r="J134" s="6"/>
      <c r="K134" s="6"/>
      <c r="L134" s="6"/>
      <c r="M134" s="8" t="s">
        <v>89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79</v>
      </c>
      <c r="B135" s="7" t="str">
        <f>IF(A135="","",VLOOKUP(A135,DB!A:B,2,0))</f>
        <v>Patch Ext. Video</v>
      </c>
      <c r="C135" s="6"/>
      <c r="D135" s="6"/>
      <c r="E135" s="7" t="s">
        <v>127</v>
      </c>
      <c r="F135" s="7" t="s">
        <v>17</v>
      </c>
      <c r="G135" s="7" t="s">
        <v>127</v>
      </c>
      <c r="H135" s="7" t="s">
        <v>28</v>
      </c>
      <c r="I135" s="6" t="str">
        <f>IF(H135="","",VLOOKUP(H135,DB!A:B,2,0))</f>
        <v/>
      </c>
      <c r="J135" s="6"/>
      <c r="K135" s="6"/>
      <c r="L135" s="6"/>
      <c r="M135" s="8" t="s">
        <v>89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79</v>
      </c>
      <c r="B136" s="7" t="str">
        <f>IF(A136="","",VLOOKUP(A136,DB!A:B,2,0))</f>
        <v>Patch Ext. Video</v>
      </c>
      <c r="C136" s="6"/>
      <c r="D136" s="6"/>
      <c r="E136" s="7" t="s">
        <v>156</v>
      </c>
      <c r="F136" s="7" t="s">
        <v>17</v>
      </c>
      <c r="G136" s="7" t="s">
        <v>156</v>
      </c>
      <c r="H136" s="7" t="s">
        <v>28</v>
      </c>
      <c r="I136" s="6" t="str">
        <f>IF(H136="","",VLOOKUP(H136,DB!A:B,2,0))</f>
        <v/>
      </c>
      <c r="J136" s="6"/>
      <c r="K136" s="6"/>
      <c r="L136" s="6"/>
      <c r="M136" s="8" t="s">
        <v>157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79</v>
      </c>
      <c r="B137" s="7" t="str">
        <f>IF(A137="","",VLOOKUP(A137,DB!A:B,2,0))</f>
        <v>Patch Ext. Video</v>
      </c>
      <c r="C137" s="6"/>
      <c r="D137" s="6"/>
      <c r="E137" s="7" t="s">
        <v>120</v>
      </c>
      <c r="F137" s="7" t="s">
        <v>17</v>
      </c>
      <c r="G137" s="7" t="s">
        <v>120</v>
      </c>
      <c r="H137" s="7" t="s">
        <v>28</v>
      </c>
      <c r="I137" s="6" t="str">
        <f>IF(H137="","",VLOOKUP(H137,DB!A:B,2,0))</f>
        <v/>
      </c>
      <c r="J137" s="6"/>
      <c r="K137" s="6"/>
      <c r="L137" s="6"/>
      <c r="M137" s="8" t="s">
        <v>121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79</v>
      </c>
      <c r="B138" s="7" t="str">
        <f>IF(A138="","",VLOOKUP(A138,DB!A:B,2,0))</f>
        <v>Patch Ext. Video</v>
      </c>
      <c r="C138" s="6"/>
      <c r="D138" s="6"/>
      <c r="E138" s="7" t="s">
        <v>115</v>
      </c>
      <c r="F138" s="7" t="s">
        <v>17</v>
      </c>
      <c r="G138" s="7" t="s">
        <v>115</v>
      </c>
      <c r="H138" s="7" t="s">
        <v>28</v>
      </c>
      <c r="I138" s="6" t="str">
        <f>IF(H138="","",VLOOKUP(H138,DB!A:B,2,0))</f>
        <v/>
      </c>
      <c r="J138" s="6"/>
      <c r="K138" s="6"/>
      <c r="L138" s="6"/>
      <c r="M138" s="8" t="s">
        <v>110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79</v>
      </c>
      <c r="B139" s="7" t="str">
        <f>IF(A139="","",VLOOKUP(A139,DB!A:B,2,0))</f>
        <v>Patch Ext. Video</v>
      </c>
      <c r="C139" s="6"/>
      <c r="D139" s="6"/>
      <c r="E139" s="7" t="s">
        <v>125</v>
      </c>
      <c r="F139" s="7" t="s">
        <v>17</v>
      </c>
      <c r="G139" s="7" t="s">
        <v>125</v>
      </c>
      <c r="H139" s="7" t="s">
        <v>28</v>
      </c>
      <c r="I139" s="6" t="str">
        <f>IF(H139="","",VLOOKUP(H139,DB!A:B,2,0))</f>
        <v/>
      </c>
      <c r="J139" s="6"/>
      <c r="K139" s="6"/>
      <c r="L139" s="6"/>
      <c r="M139" s="8" t="s">
        <v>117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79</v>
      </c>
      <c r="B140" s="7" t="str">
        <f>IF(A140="","",VLOOKUP(A140,DB!A:B,2,0))</f>
        <v>Patch Ext. Video</v>
      </c>
      <c r="C140" s="6"/>
      <c r="D140" s="6"/>
      <c r="E140" s="7" t="s">
        <v>124</v>
      </c>
      <c r="F140" s="7" t="s">
        <v>17</v>
      </c>
      <c r="G140" s="7" t="s">
        <v>124</v>
      </c>
      <c r="H140" s="7" t="s">
        <v>28</v>
      </c>
      <c r="I140" s="6" t="str">
        <f>IF(H140="","",VLOOKUP(H140,DB!A:B,2,0))</f>
        <v/>
      </c>
      <c r="J140" s="6"/>
      <c r="K140" s="6"/>
      <c r="L140" s="6"/>
      <c r="M140" s="8" t="s">
        <v>111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28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79</v>
      </c>
      <c r="I141" s="6" t="str">
        <f>IF(H141="","",VLOOKUP(H141,DB!A:B,2,0))</f>
        <v>Patch Ext. Video</v>
      </c>
      <c r="J141" s="6"/>
      <c r="K141" s="6"/>
      <c r="L141" s="7" t="s">
        <v>161</v>
      </c>
      <c r="M141" s="8" t="s">
        <v>64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28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79</v>
      </c>
      <c r="I142" s="6" t="str">
        <f>IF(H142="","",VLOOKUP(H142,DB!A:B,2,0))</f>
        <v>Patch Ext. Video</v>
      </c>
      <c r="J142" s="6"/>
      <c r="K142" s="6"/>
      <c r="L142" s="7" t="s">
        <v>163</v>
      </c>
      <c r="M142" s="8" t="s">
        <v>65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28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79</v>
      </c>
      <c r="I143" s="6" t="str">
        <f>IF(H143="","",VLOOKUP(H143,DB!A:B,2,0))</f>
        <v>Patch Ext. Video</v>
      </c>
      <c r="J143" s="6"/>
      <c r="K143" s="6"/>
      <c r="L143" s="7" t="s">
        <v>164</v>
      </c>
      <c r="M143" s="8" t="s">
        <v>68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28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79</v>
      </c>
      <c r="I144" s="6" t="str">
        <f>IF(H144="","",VLOOKUP(H144,DB!A:B,2,0))</f>
        <v>Patch Ext. Video</v>
      </c>
      <c r="J144" s="6"/>
      <c r="K144" s="6"/>
      <c r="L144" s="7" t="s">
        <v>165</v>
      </c>
      <c r="M144" s="8" t="s">
        <v>70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28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79</v>
      </c>
      <c r="I145" s="6" t="str">
        <f>IF(H145="","",VLOOKUP(H145,DB!A:B,2,0))</f>
        <v>Patch Ext. Video</v>
      </c>
      <c r="J145" s="6"/>
      <c r="K145" s="6"/>
      <c r="L145" s="7" t="s">
        <v>166</v>
      </c>
      <c r="M145" s="8" t="s">
        <v>72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28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169</v>
      </c>
      <c r="I149" s="6" t="str">
        <f>IF(H149="","",VLOOKUP(H149,DB!A:B,2,0))</f>
        <v>Patch Ext. Audio</v>
      </c>
      <c r="J149" s="6"/>
      <c r="K149" s="6"/>
      <c r="L149" s="7" t="s">
        <v>170</v>
      </c>
      <c r="M149" s="13" t="s">
        <v>171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28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169</v>
      </c>
      <c r="I150" s="6" t="str">
        <f>IF(H150="","",VLOOKUP(H150,DB!A:B,2,0))</f>
        <v>Patch Ext. Audio</v>
      </c>
      <c r="J150" s="6"/>
      <c r="K150" s="6"/>
      <c r="L150" s="7" t="s">
        <v>172</v>
      </c>
      <c r="M150" s="13" t="s">
        <v>173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28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169</v>
      </c>
      <c r="I151" s="6" t="str">
        <f>IF(H151="","",VLOOKUP(H151,DB!A:B,2,0))</f>
        <v>Patch Ext. Audio</v>
      </c>
      <c r="J151" s="6"/>
      <c r="K151" s="6"/>
      <c r="L151" s="7" t="s">
        <v>174</v>
      </c>
      <c r="M151" s="13" t="s">
        <v>175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28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169</v>
      </c>
      <c r="I152" s="6" t="str">
        <f>IF(H152="","",VLOOKUP(H152,DB!A:B,2,0))</f>
        <v>Patch Ext. Audio</v>
      </c>
      <c r="J152" s="6"/>
      <c r="K152" s="6"/>
      <c r="L152" s="7" t="s">
        <v>176</v>
      </c>
      <c r="M152" s="13" t="s">
        <v>177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28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169</v>
      </c>
      <c r="I153" s="6" t="str">
        <f>IF(H153="","",VLOOKUP(H153,DB!A:B,2,0))</f>
        <v>Patch Ext. Audio</v>
      </c>
      <c r="J153" s="6"/>
      <c r="K153" s="6"/>
      <c r="L153" s="7" t="s">
        <v>178</v>
      </c>
      <c r="M153" s="13" t="s">
        <v>179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28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169</v>
      </c>
      <c r="I154" s="6" t="str">
        <f>IF(H154="","",VLOOKUP(H154,DB!A:B,2,0))</f>
        <v>Patch Ext. Audio</v>
      </c>
      <c r="J154" s="6"/>
      <c r="K154" s="6"/>
      <c r="L154" s="7" t="s">
        <v>180</v>
      </c>
      <c r="M154" s="13" t="s">
        <v>181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28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169</v>
      </c>
      <c r="I155" s="6" t="str">
        <f>IF(H155="","",VLOOKUP(H155,DB!A:B,2,0))</f>
        <v>Patch Ext. Audio</v>
      </c>
      <c r="J155" s="6"/>
      <c r="K155" s="6"/>
      <c r="L155" s="7" t="s">
        <v>182</v>
      </c>
      <c r="M155" s="13" t="s">
        <v>77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28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169</v>
      </c>
      <c r="I156" s="6" t="str">
        <f>IF(H156="","",VLOOKUP(H156,DB!A:B,2,0))</f>
        <v>Patch Ext. Audio</v>
      </c>
      <c r="J156" s="6"/>
      <c r="K156" s="6"/>
      <c r="L156" s="7" t="s">
        <v>183</v>
      </c>
      <c r="M156" s="13" t="s">
        <v>78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28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169</v>
      </c>
      <c r="I157" s="6" t="str">
        <f>IF(H157="","",VLOOKUP(H157,DB!A:B,2,0))</f>
        <v>Patch Ext. Audio</v>
      </c>
      <c r="J157" s="6"/>
      <c r="K157" s="6"/>
      <c r="L157" s="7" t="s">
        <v>184</v>
      </c>
      <c r="M157" s="13" t="s">
        <v>81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169</v>
      </c>
      <c r="B158" s="7" t="str">
        <f>IF(A158="","",VLOOKUP(A158,DB!A:B,2,0))</f>
        <v>Patch Ext. Audio</v>
      </c>
      <c r="C158" s="6"/>
      <c r="D158" s="6"/>
      <c r="E158" s="7" t="s">
        <v>187</v>
      </c>
      <c r="F158" s="7" t="s">
        <v>17</v>
      </c>
      <c r="G158" s="7" t="s">
        <v>187</v>
      </c>
      <c r="H158" s="7" t="s">
        <v>28</v>
      </c>
      <c r="I158" s="6" t="str">
        <f>IF(H158="","",VLOOKUP(H158,DB!A:B,2,0))</f>
        <v/>
      </c>
      <c r="J158" s="6"/>
      <c r="K158" s="6"/>
      <c r="L158" s="6"/>
      <c r="M158" s="8" t="s">
        <v>188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169</v>
      </c>
      <c r="B159" s="7" t="str">
        <f>IF(A159="","",VLOOKUP(A159,DB!A:B,2,0))</f>
        <v>Patch Ext. Audio</v>
      </c>
      <c r="C159" s="6"/>
      <c r="D159" s="6"/>
      <c r="E159" s="7" t="s">
        <v>189</v>
      </c>
      <c r="F159" s="7" t="s">
        <v>17</v>
      </c>
      <c r="G159" s="7" t="s">
        <v>189</v>
      </c>
      <c r="H159" s="7" t="s">
        <v>28</v>
      </c>
      <c r="I159" s="6" t="str">
        <f>IF(H159="","",VLOOKUP(H159,DB!A:B,2,0))</f>
        <v/>
      </c>
      <c r="J159" s="6"/>
      <c r="K159" s="6"/>
      <c r="L159" s="6"/>
      <c r="M159" s="8" t="s">
        <v>188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169</v>
      </c>
      <c r="B160" s="7" t="str">
        <f>IF(A160="","",VLOOKUP(A160,DB!A:B,2,0))</f>
        <v>Patch Ext. Audio</v>
      </c>
      <c r="C160" s="6"/>
      <c r="D160" s="6"/>
      <c r="E160" s="7" t="s">
        <v>191</v>
      </c>
      <c r="F160" s="7" t="s">
        <v>17</v>
      </c>
      <c r="G160" s="7" t="s">
        <v>191</v>
      </c>
      <c r="H160" s="7" t="s">
        <v>28</v>
      </c>
      <c r="I160" s="6" t="str">
        <f>IF(H160="","",VLOOKUP(H160,DB!A:B,2,0))</f>
        <v/>
      </c>
      <c r="J160" s="6"/>
      <c r="K160" s="6"/>
      <c r="L160" s="6"/>
      <c r="M160" s="8" t="s">
        <v>188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169</v>
      </c>
      <c r="B161" s="7" t="str">
        <f>IF(A161="","",VLOOKUP(A161,DB!A:B,2,0))</f>
        <v>Patch Ext. Audio</v>
      </c>
      <c r="C161" s="6"/>
      <c r="D161" s="6"/>
      <c r="E161" s="7" t="s">
        <v>193</v>
      </c>
      <c r="F161" s="7" t="s">
        <v>17</v>
      </c>
      <c r="G161" s="7" t="s">
        <v>193</v>
      </c>
      <c r="H161" s="7" t="s">
        <v>28</v>
      </c>
      <c r="I161" s="6" t="str">
        <f>IF(H161="","",VLOOKUP(H161,DB!A:B,2,0))</f>
        <v/>
      </c>
      <c r="J161" s="6"/>
      <c r="K161" s="6"/>
      <c r="L161" s="6"/>
      <c r="M161" s="8" t="s">
        <v>188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169</v>
      </c>
      <c r="B162" s="7" t="str">
        <f>IF(A162="","",VLOOKUP(A162,DB!A:B,2,0))</f>
        <v>Patch Ext. Audio</v>
      </c>
      <c r="C162" s="6"/>
      <c r="D162" s="6"/>
      <c r="E162" s="7" t="s">
        <v>194</v>
      </c>
      <c r="F162" s="7" t="s">
        <v>17</v>
      </c>
      <c r="G162" s="7" t="s">
        <v>194</v>
      </c>
      <c r="H162" s="7" t="s">
        <v>28</v>
      </c>
      <c r="I162" s="6" t="str">
        <f>IF(H162="","",VLOOKUP(H162,DB!A:B,2,0))</f>
        <v/>
      </c>
      <c r="J162" s="6"/>
      <c r="K162" s="6"/>
      <c r="L162" s="6"/>
      <c r="M162" s="8" t="s">
        <v>89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169</v>
      </c>
      <c r="B163" s="7" t="str">
        <f>IF(A163="","",VLOOKUP(A163,DB!A:B,2,0))</f>
        <v>Patch Ext. Audio</v>
      </c>
      <c r="C163" s="6"/>
      <c r="D163" s="6"/>
      <c r="E163" s="7" t="s">
        <v>196</v>
      </c>
      <c r="F163" s="7" t="s">
        <v>17</v>
      </c>
      <c r="G163" s="7" t="s">
        <v>196</v>
      </c>
      <c r="H163" s="7" t="s">
        <v>28</v>
      </c>
      <c r="I163" s="6" t="str">
        <f>IF(H163="","",VLOOKUP(H163,DB!A:B,2,0))</f>
        <v/>
      </c>
      <c r="J163" s="6"/>
      <c r="K163" s="6"/>
      <c r="L163" s="6"/>
      <c r="M163" s="8" t="s">
        <v>89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169</v>
      </c>
      <c r="B164" s="7" t="str">
        <f>IF(A164="","",VLOOKUP(A164,DB!A:B,2,0))</f>
        <v>Patch Ext. Audio</v>
      </c>
      <c r="C164" s="6"/>
      <c r="D164" s="6"/>
      <c r="E164" s="7" t="s">
        <v>197</v>
      </c>
      <c r="F164" s="7" t="s">
        <v>17</v>
      </c>
      <c r="G164" s="7" t="s">
        <v>197</v>
      </c>
      <c r="H164" s="7" t="s">
        <v>28</v>
      </c>
      <c r="I164" s="6" t="str">
        <f>IF(H164="","",VLOOKUP(H164,DB!A:B,2,0))</f>
        <v/>
      </c>
      <c r="J164" s="6"/>
      <c r="K164" s="6"/>
      <c r="L164" s="6"/>
      <c r="M164" s="8" t="s">
        <v>153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169</v>
      </c>
      <c r="B165" s="7" t="str">
        <f>IF(A165="","",VLOOKUP(A165,DB!A:B,2,0))</f>
        <v>Patch Ext. Audio</v>
      </c>
      <c r="C165" s="6"/>
      <c r="D165" s="6"/>
      <c r="E165" s="7" t="s">
        <v>198</v>
      </c>
      <c r="F165" s="7" t="s">
        <v>17</v>
      </c>
      <c r="G165" s="7" t="s">
        <v>198</v>
      </c>
      <c r="H165" s="7" t="s">
        <v>28</v>
      </c>
      <c r="I165" s="6" t="str">
        <f>IF(H165="","",VLOOKUP(H165,DB!A:B,2,0))</f>
        <v/>
      </c>
      <c r="J165" s="6"/>
      <c r="K165" s="6"/>
      <c r="L165" s="6"/>
      <c r="M165" s="8" t="s">
        <v>199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169</v>
      </c>
      <c r="B166" s="7" t="str">
        <f>IF(A166="","",VLOOKUP(A166,DB!A:B,2,0))</f>
        <v>Patch Ext. Audio</v>
      </c>
      <c r="C166" s="6"/>
      <c r="D166" s="6"/>
      <c r="E166" s="7" t="s">
        <v>200</v>
      </c>
      <c r="F166" s="7" t="s">
        <v>17</v>
      </c>
      <c r="G166" s="7" t="s">
        <v>200</v>
      </c>
      <c r="H166" s="7" t="s">
        <v>28</v>
      </c>
      <c r="I166" s="6" t="str">
        <f>IF(H166="","",VLOOKUP(H166,DB!A:B,2,0))</f>
        <v/>
      </c>
      <c r="J166" s="6"/>
      <c r="K166" s="6"/>
      <c r="L166" s="6"/>
      <c r="M166" s="8" t="s">
        <v>110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169</v>
      </c>
      <c r="B167" s="7" t="str">
        <f>IF(A167="","",VLOOKUP(A167,DB!A:B,2,0))</f>
        <v>Patch Ext. Audio</v>
      </c>
      <c r="C167" s="6"/>
      <c r="D167" s="6"/>
      <c r="E167" s="7" t="s">
        <v>201</v>
      </c>
      <c r="F167" s="7" t="s">
        <v>17</v>
      </c>
      <c r="G167" s="7" t="s">
        <v>201</v>
      </c>
      <c r="H167" s="7" t="s">
        <v>28</v>
      </c>
      <c r="I167" s="6" t="str">
        <f>IF(H167="","",VLOOKUP(H167,DB!A:B,2,0))</f>
        <v/>
      </c>
      <c r="J167" s="6"/>
      <c r="K167" s="6"/>
      <c r="L167" s="6"/>
      <c r="M167" s="7" t="s">
        <v>111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169</v>
      </c>
      <c r="B168" s="7" t="str">
        <f>IF(A168="","",VLOOKUP(A168,DB!A:B,2,0))</f>
        <v>Patch Ext. Audio</v>
      </c>
      <c r="C168" s="6"/>
      <c r="D168" s="6"/>
      <c r="E168" s="7" t="s">
        <v>202</v>
      </c>
      <c r="F168" s="7" t="s">
        <v>17</v>
      </c>
      <c r="G168" s="7" t="s">
        <v>202</v>
      </c>
      <c r="H168" s="7" t="s">
        <v>28</v>
      </c>
      <c r="I168" s="6" t="str">
        <f>IF(H168="","",VLOOKUP(H168,DB!A:B,2,0))</f>
        <v/>
      </c>
      <c r="J168" s="6"/>
      <c r="K168" s="6"/>
      <c r="L168" s="6"/>
      <c r="M168" s="7" t="s">
        <v>110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169</v>
      </c>
      <c r="B169" s="7" t="str">
        <f>IF(A169="","",VLOOKUP(A169,DB!A:B,2,0))</f>
        <v>Patch Ext. Audio</v>
      </c>
      <c r="C169" s="6"/>
      <c r="D169" s="6"/>
      <c r="E169" s="7" t="s">
        <v>203</v>
      </c>
      <c r="F169" s="7" t="s">
        <v>17</v>
      </c>
      <c r="G169" s="7" t="s">
        <v>203</v>
      </c>
      <c r="H169" s="7" t="s">
        <v>28</v>
      </c>
      <c r="I169" s="6" t="str">
        <f>IF(H169="","",VLOOKUP(H169,DB!A:B,2,0))</f>
        <v/>
      </c>
      <c r="J169" s="6"/>
      <c r="K169" s="6"/>
      <c r="L169" s="6"/>
      <c r="M169" s="7" t="s">
        <v>199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66</v>
      </c>
      <c r="B170" s="7" t="str">
        <f>IF(A170="","",VLOOKUP(A170,DB!A:B,2,0))</f>
        <v>CopperHead ProHD 1</v>
      </c>
      <c r="C170" s="6"/>
      <c r="D170" s="6"/>
      <c r="E170" s="7" t="s">
        <v>133</v>
      </c>
      <c r="F170" s="6"/>
      <c r="G170" s="6"/>
      <c r="H170" s="7" t="s">
        <v>169</v>
      </c>
      <c r="I170" s="6" t="str">
        <f>IF(H170="","",VLOOKUP(H170,DB!A:B,2,0))</f>
        <v>Patch Ext. Audio</v>
      </c>
      <c r="J170" s="6"/>
      <c r="K170" s="6"/>
      <c r="L170" s="7" t="s">
        <v>204</v>
      </c>
      <c r="M170" s="7" t="s">
        <v>205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66</v>
      </c>
      <c r="B171" s="7" t="str">
        <f>IF(A171="","",VLOOKUP(A171,DB!A:B,2,0))</f>
        <v>CopperHead ProHD 1</v>
      </c>
      <c r="C171" s="6"/>
      <c r="D171" s="6"/>
      <c r="E171" s="7" t="s">
        <v>139</v>
      </c>
      <c r="F171" s="6"/>
      <c r="G171" s="6"/>
      <c r="H171" s="7" t="s">
        <v>169</v>
      </c>
      <c r="I171" s="6" t="str">
        <f>IF(H171="","",VLOOKUP(H171,DB!A:B,2,0))</f>
        <v>Patch Ext. Audio</v>
      </c>
      <c r="J171" s="6"/>
      <c r="K171" s="6"/>
      <c r="L171" s="7" t="s">
        <v>206</v>
      </c>
      <c r="M171" s="7" t="s">
        <v>207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69</v>
      </c>
      <c r="B172" s="7" t="str">
        <f>IF(A172="","",VLOOKUP(A172,DB!A:B,2,0))</f>
        <v>CopperHead ProHD 2</v>
      </c>
      <c r="C172" s="6"/>
      <c r="D172" s="6"/>
      <c r="E172" s="7" t="s">
        <v>133</v>
      </c>
      <c r="F172" s="6"/>
      <c r="G172" s="6"/>
      <c r="H172" s="7" t="s">
        <v>169</v>
      </c>
      <c r="I172" s="6" t="str">
        <f>IF(H172="","",VLOOKUP(H172,DB!A:B,2,0))</f>
        <v>Patch Ext. Audio</v>
      </c>
      <c r="J172" s="6"/>
      <c r="K172" s="6"/>
      <c r="L172" s="7" t="s">
        <v>208</v>
      </c>
      <c r="M172" s="7" t="s">
        <v>209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69</v>
      </c>
      <c r="B173" s="7" t="str">
        <f>IF(A173="","",VLOOKUP(A173,DB!A:B,2,0))</f>
        <v>CopperHead ProHD 2</v>
      </c>
      <c r="C173" s="6"/>
      <c r="D173" s="6"/>
      <c r="E173" s="7" t="s">
        <v>139</v>
      </c>
      <c r="F173" s="6"/>
      <c r="G173" s="6"/>
      <c r="H173" s="7" t="s">
        <v>169</v>
      </c>
      <c r="I173" s="6" t="str">
        <f>IF(H173="","",VLOOKUP(H173,DB!A:B,2,0))</f>
        <v>Patch Ext. Audio</v>
      </c>
      <c r="J173" s="6"/>
      <c r="K173" s="6"/>
      <c r="L173" s="7" t="s">
        <v>210</v>
      </c>
      <c r="M173" s="7" t="s">
        <v>211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71</v>
      </c>
      <c r="B174" s="7" t="str">
        <f>IF(A174="","",VLOOKUP(A174,DB!A:B,2,0))</f>
        <v>CopperHead ProHD 3</v>
      </c>
      <c r="C174" s="6"/>
      <c r="D174" s="6"/>
      <c r="E174" s="7" t="s">
        <v>133</v>
      </c>
      <c r="F174" s="6"/>
      <c r="G174" s="6"/>
      <c r="H174" s="7" t="s">
        <v>169</v>
      </c>
      <c r="I174" s="6" t="str">
        <f>IF(H174="","",VLOOKUP(H174,DB!A:B,2,0))</f>
        <v>Patch Ext. Audio</v>
      </c>
      <c r="J174" s="6"/>
      <c r="K174" s="6"/>
      <c r="L174" s="7" t="s">
        <v>212</v>
      </c>
      <c r="M174" s="7" t="s">
        <v>213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71</v>
      </c>
      <c r="B175" s="7" t="str">
        <f>IF(A175="","",VLOOKUP(A175,DB!A:B,2,0))</f>
        <v>CopperHead ProHD 3</v>
      </c>
      <c r="C175" s="6"/>
      <c r="D175" s="6"/>
      <c r="E175" s="7" t="s">
        <v>139</v>
      </c>
      <c r="F175" s="6"/>
      <c r="G175" s="6"/>
      <c r="H175" s="7" t="s">
        <v>169</v>
      </c>
      <c r="I175" s="6" t="str">
        <f>IF(H175="","",VLOOKUP(H175,DB!A:B,2,0))</f>
        <v>Patch Ext. Audio</v>
      </c>
      <c r="J175" s="6"/>
      <c r="K175" s="6"/>
      <c r="L175" s="7" t="s">
        <v>214</v>
      </c>
      <c r="M175" s="7" t="s">
        <v>215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50</v>
      </c>
      <c r="B176" s="7" t="str">
        <f>IF(A176="","",VLOOKUP(A176,DB!A:B,2,0))</f>
        <v>Ikegami BS-80 4</v>
      </c>
      <c r="C176" s="6"/>
      <c r="D176" s="6"/>
      <c r="E176" s="7" t="s">
        <v>133</v>
      </c>
      <c r="F176" s="6"/>
      <c r="G176" s="6"/>
      <c r="H176" s="7" t="s">
        <v>169</v>
      </c>
      <c r="I176" s="6" t="str">
        <f>IF(H176="","",VLOOKUP(H176,DB!A:B,2,0))</f>
        <v>Patch Ext. Audio</v>
      </c>
      <c r="J176" s="6"/>
      <c r="K176" s="6"/>
      <c r="L176" s="7" t="s">
        <v>216</v>
      </c>
      <c r="M176" s="7" t="s">
        <v>217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50</v>
      </c>
      <c r="B177" s="7" t="str">
        <f>IF(A177="","",VLOOKUP(A177,DB!A:B,2,0))</f>
        <v>Ikegami BS-80 4</v>
      </c>
      <c r="C177" s="6"/>
      <c r="D177" s="6"/>
      <c r="E177" s="7" t="s">
        <v>139</v>
      </c>
      <c r="F177" s="6"/>
      <c r="G177" s="6"/>
      <c r="H177" s="7" t="s">
        <v>169</v>
      </c>
      <c r="I177" s="6" t="str">
        <f>IF(H177="","",VLOOKUP(H177,DB!A:B,2,0))</f>
        <v>Patch Ext. Audio</v>
      </c>
      <c r="J177" s="6"/>
      <c r="K177" s="6"/>
      <c r="L177" s="7" t="s">
        <v>218</v>
      </c>
      <c r="M177" s="7" t="s">
        <v>219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54</v>
      </c>
      <c r="B178" s="7" t="str">
        <f>IF(A178="","",VLOOKUP(A178,DB!A:B,2,0))</f>
        <v>Ikegami BS-80 5</v>
      </c>
      <c r="C178" s="6"/>
      <c r="D178" s="6"/>
      <c r="E178" s="7" t="s">
        <v>133</v>
      </c>
      <c r="F178" s="6"/>
      <c r="G178" s="6"/>
      <c r="H178" s="7" t="s">
        <v>169</v>
      </c>
      <c r="I178" s="6" t="str">
        <f>IF(H178="","",VLOOKUP(H178,DB!A:B,2,0))</f>
        <v>Patch Ext. Audio</v>
      </c>
      <c r="J178" s="6"/>
      <c r="K178" s="6"/>
      <c r="L178" s="7" t="s">
        <v>220</v>
      </c>
      <c r="M178" s="7" t="s">
        <v>221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54</v>
      </c>
      <c r="B179" s="7" t="str">
        <f>IF(A179="","",VLOOKUP(A179,DB!A:B,2,0))</f>
        <v>Ikegami BS-80 5</v>
      </c>
      <c r="C179" s="6"/>
      <c r="D179" s="6"/>
      <c r="E179" s="7" t="s">
        <v>139</v>
      </c>
      <c r="F179" s="6"/>
      <c r="G179" s="6"/>
      <c r="H179" s="7" t="s">
        <v>169</v>
      </c>
      <c r="I179" s="6" t="str">
        <f>IF(H179="","",VLOOKUP(H179,DB!A:B,2,0))</f>
        <v>Patch Ext. Audio</v>
      </c>
      <c r="J179" s="6"/>
      <c r="K179" s="6"/>
      <c r="L179" s="7" t="s">
        <v>222</v>
      </c>
      <c r="M179" s="16" t="s">
        <v>223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85</v>
      </c>
      <c r="B180" s="7" t="str">
        <f>IF(A180="","",VLOOKUP(A180,DB!A:B,2,0))</f>
        <v>PC CG</v>
      </c>
      <c r="C180" s="7">
        <v>1.0</v>
      </c>
      <c r="D180" s="7" t="s">
        <v>254</v>
      </c>
      <c r="E180" s="7" t="s">
        <v>255</v>
      </c>
      <c r="F180" s="6"/>
      <c r="G180" s="6"/>
      <c r="H180" s="7" t="s">
        <v>134</v>
      </c>
      <c r="I180" s="6" t="str">
        <f>IF(H180="","",VLOOKUP(H180,DB!A:B,2,0))</f>
        <v>Yamaha MG166</v>
      </c>
      <c r="J180" s="6"/>
      <c r="K180" s="6"/>
      <c r="L180" s="7" t="s">
        <v>86</v>
      </c>
      <c r="M180" s="8" t="s">
        <v>107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18</v>
      </c>
      <c r="B181" s="7" t="str">
        <f>IF(A181="","",VLOOKUP(A181,DB!A:B,2,0))</f>
        <v>PC Video</v>
      </c>
      <c r="C181" s="7">
        <v>0.0</v>
      </c>
      <c r="D181" s="7" t="s">
        <v>256</v>
      </c>
      <c r="E181" s="7" t="s">
        <v>255</v>
      </c>
      <c r="F181" s="6"/>
      <c r="G181" s="6"/>
      <c r="H181" s="7" t="s">
        <v>134</v>
      </c>
      <c r="I181" s="6" t="str">
        <f>IF(H181="","",VLOOKUP(H181,DB!A:B,2,0))</f>
        <v>Yamaha MG166</v>
      </c>
      <c r="J181" s="6"/>
      <c r="K181" s="6"/>
      <c r="L181" s="7" t="s">
        <v>257</v>
      </c>
      <c r="M181" s="8" t="s">
        <v>106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258</v>
      </c>
      <c r="B182" s="7" t="str">
        <f>IF(A182="","",VLOOKUP(A182,DB!A:B,2,0))</f>
        <v>PC Audio</v>
      </c>
      <c r="C182" s="7">
        <v>0.0</v>
      </c>
      <c r="D182" s="7" t="s">
        <v>256</v>
      </c>
      <c r="E182" s="7" t="s">
        <v>255</v>
      </c>
      <c r="F182" s="6"/>
      <c r="G182" s="6"/>
      <c r="H182" s="7" t="s">
        <v>134</v>
      </c>
      <c r="I182" s="6" t="str">
        <f>IF(H182="","",VLOOKUP(H182,DB!A:B,2,0))</f>
        <v>Yamaha MG166</v>
      </c>
      <c r="J182" s="6"/>
      <c r="K182" s="6"/>
      <c r="L182" s="7" t="s">
        <v>259</v>
      </c>
      <c r="M182" s="8" t="s">
        <v>260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66</v>
      </c>
      <c r="B183" s="7" t="str">
        <f>IF(A183="","",VLOOKUP(A183,DB!A:B,2,0))</f>
        <v>CopperHead ProHD 1</v>
      </c>
      <c r="C183" s="6"/>
      <c r="D183" s="6"/>
      <c r="E183" s="7" t="s">
        <v>261</v>
      </c>
      <c r="F183" s="6"/>
      <c r="G183" s="6"/>
      <c r="H183" s="7" t="s">
        <v>262</v>
      </c>
      <c r="I183" s="6" t="str">
        <f>IF(H183="","",VLOOKUP(H183,DB!A:B,2,0))</f>
        <v>Mixer Intercom</v>
      </c>
      <c r="J183" s="6"/>
      <c r="K183" s="6"/>
      <c r="L183" s="7" t="s">
        <v>144</v>
      </c>
      <c r="M183" s="8" t="s">
        <v>263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69</v>
      </c>
      <c r="B184" s="7" t="str">
        <f>IF(A184="","",VLOOKUP(A184,DB!A:B,2,0))</f>
        <v>CopperHead ProHD 2</v>
      </c>
      <c r="C184" s="6"/>
      <c r="D184" s="6"/>
      <c r="E184" s="7" t="s">
        <v>261</v>
      </c>
      <c r="F184" s="6"/>
      <c r="G184" s="6"/>
      <c r="H184" s="7" t="s">
        <v>262</v>
      </c>
      <c r="I184" s="6" t="str">
        <f>IF(H184="","",VLOOKUP(H184,DB!A:B,2,0))</f>
        <v>Mixer Intercom</v>
      </c>
      <c r="J184" s="6"/>
      <c r="K184" s="6"/>
      <c r="L184" s="7" t="s">
        <v>97</v>
      </c>
      <c r="M184" s="8" t="s">
        <v>264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71</v>
      </c>
      <c r="B185" s="7" t="str">
        <f>IF(A185="","",VLOOKUP(A185,DB!A:B,2,0))</f>
        <v>CopperHead ProHD 3</v>
      </c>
      <c r="C185" s="6"/>
      <c r="D185" s="6"/>
      <c r="E185" s="7" t="s">
        <v>261</v>
      </c>
      <c r="F185" s="6"/>
      <c r="G185" s="6"/>
      <c r="H185" s="7" t="s">
        <v>262</v>
      </c>
      <c r="I185" s="6" t="str">
        <f>IF(H185="","",VLOOKUP(H185,DB!A:B,2,0))</f>
        <v>Mixer Intercom</v>
      </c>
      <c r="J185" s="6"/>
      <c r="K185" s="6"/>
      <c r="L185" s="7" t="s">
        <v>98</v>
      </c>
      <c r="M185" s="8" t="s">
        <v>265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50</v>
      </c>
      <c r="B186" s="7" t="str">
        <f>IF(A186="","",VLOOKUP(A186,DB!A:B,2,0))</f>
        <v>Ikegami BS-80 4</v>
      </c>
      <c r="C186" s="6"/>
      <c r="D186" s="6"/>
      <c r="E186" s="7" t="s">
        <v>261</v>
      </c>
      <c r="F186" s="6"/>
      <c r="G186" s="6"/>
      <c r="H186" s="7" t="s">
        <v>262</v>
      </c>
      <c r="I186" s="6" t="str">
        <f>IF(H186="","",VLOOKUP(H186,DB!A:B,2,0))</f>
        <v>Mixer Intercom</v>
      </c>
      <c r="J186" s="6"/>
      <c r="K186" s="6"/>
      <c r="L186" s="7" t="s">
        <v>99</v>
      </c>
      <c r="M186" s="8" t="s">
        <v>266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54</v>
      </c>
      <c r="B187" s="7" t="str">
        <f>IF(A187="","",VLOOKUP(A187,DB!A:B,2,0))</f>
        <v>Ikegami BS-80 5</v>
      </c>
      <c r="C187" s="6"/>
      <c r="D187" s="6"/>
      <c r="E187" s="7" t="s">
        <v>261</v>
      </c>
      <c r="F187" s="6"/>
      <c r="G187" s="6"/>
      <c r="H187" s="7" t="s">
        <v>262</v>
      </c>
      <c r="I187" s="6" t="str">
        <f>IF(H187="","",VLOOKUP(H187,DB!A:B,2,0))</f>
        <v>Mixer Intercom</v>
      </c>
      <c r="J187" s="6"/>
      <c r="K187" s="6"/>
      <c r="L187" s="7" t="s">
        <v>131</v>
      </c>
      <c r="M187" s="8" t="s">
        <v>267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73</v>
      </c>
      <c r="B188" s="7" t="str">
        <f>IF(A188="","",VLOOKUP(A188,DB!A:B,2,0))</f>
        <v>Miranda D3 (Audio)</v>
      </c>
      <c r="C188" s="7">
        <v>10.0</v>
      </c>
      <c r="D188" s="7" t="s">
        <v>142</v>
      </c>
      <c r="E188" s="7" t="s">
        <v>143</v>
      </c>
      <c r="F188" s="7" t="s">
        <v>17</v>
      </c>
      <c r="G188" s="7" t="s">
        <v>144</v>
      </c>
      <c r="H188" s="7" t="s">
        <v>66</v>
      </c>
      <c r="I188" s="6" t="str">
        <f>IF(H188="","",VLOOKUP(H188,DB!A:B,2,0))</f>
        <v>CopperHead ProHD 1</v>
      </c>
      <c r="J188" s="6"/>
      <c r="K188" s="6"/>
      <c r="L188" s="7" t="s">
        <v>268</v>
      </c>
      <c r="M188" s="8" t="s">
        <v>269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73</v>
      </c>
      <c r="B189" s="7" t="str">
        <f>IF(A189="","",VLOOKUP(A189,DB!A:B,2,0))</f>
        <v>Miranda D3 (Audio)</v>
      </c>
      <c r="C189" s="7">
        <v>10.0</v>
      </c>
      <c r="D189" s="7" t="s">
        <v>142</v>
      </c>
      <c r="E189" s="7" t="s">
        <v>154</v>
      </c>
      <c r="F189" s="7" t="s">
        <v>17</v>
      </c>
      <c r="G189" s="7" t="s">
        <v>144</v>
      </c>
      <c r="H189" s="7" t="s">
        <v>69</v>
      </c>
      <c r="I189" s="6" t="str">
        <f>IF(H189="","",VLOOKUP(H189,DB!A:B,2,0))</f>
        <v>CopperHead ProHD 2</v>
      </c>
      <c r="J189" s="6"/>
      <c r="K189" s="6"/>
      <c r="L189" s="7" t="s">
        <v>268</v>
      </c>
      <c r="M189" s="8" t="s">
        <v>269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73</v>
      </c>
      <c r="B190" s="7" t="str">
        <f>IF(A190="","",VLOOKUP(A190,DB!A:B,2,0))</f>
        <v>Miranda D3 (Audio)</v>
      </c>
      <c r="C190" s="7">
        <v>10.0</v>
      </c>
      <c r="D190" s="7" t="s">
        <v>142</v>
      </c>
      <c r="E190" s="7" t="s">
        <v>190</v>
      </c>
      <c r="F190" s="7" t="s">
        <v>17</v>
      </c>
      <c r="G190" s="7" t="s">
        <v>144</v>
      </c>
      <c r="H190" s="7" t="s">
        <v>71</v>
      </c>
      <c r="I190" s="6" t="str">
        <f>IF(H190="","",VLOOKUP(H190,DB!A:B,2,0))</f>
        <v>CopperHead ProHD 3</v>
      </c>
      <c r="J190" s="6"/>
      <c r="K190" s="6"/>
      <c r="L190" s="7" t="s">
        <v>268</v>
      </c>
      <c r="M190" s="8" t="s">
        <v>269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73</v>
      </c>
      <c r="B191" s="7" t="str">
        <f>IF(A191="","",VLOOKUP(A191,DB!A:B,2,0))</f>
        <v>Miranda D3 (Audio)</v>
      </c>
      <c r="C191" s="7">
        <v>10.0</v>
      </c>
      <c r="D191" s="7" t="s">
        <v>142</v>
      </c>
      <c r="E191" s="7" t="s">
        <v>192</v>
      </c>
      <c r="F191" s="7" t="s">
        <v>17</v>
      </c>
      <c r="G191" s="7" t="s">
        <v>144</v>
      </c>
      <c r="H191" s="7" t="s">
        <v>50</v>
      </c>
      <c r="I191" s="6" t="str">
        <f>IF(H191="","",VLOOKUP(H191,DB!A:B,2,0))</f>
        <v>Ikegami BS-80 4</v>
      </c>
      <c r="J191" s="6"/>
      <c r="K191" s="6"/>
      <c r="L191" s="7" t="s">
        <v>268</v>
      </c>
      <c r="M191" s="8" t="s">
        <v>269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73</v>
      </c>
      <c r="B192" s="7" t="str">
        <f>IF(A192="","",VLOOKUP(A192,DB!A:B,2,0))</f>
        <v>Miranda D3 (Audio)</v>
      </c>
      <c r="C192" s="7">
        <v>10.0</v>
      </c>
      <c r="D192" s="7" t="s">
        <v>142</v>
      </c>
      <c r="E192" s="7" t="s">
        <v>147</v>
      </c>
      <c r="F192" s="7" t="s">
        <v>17</v>
      </c>
      <c r="G192" s="7" t="s">
        <v>144</v>
      </c>
      <c r="H192" s="7" t="s">
        <v>54</v>
      </c>
      <c r="I192" s="6" t="str">
        <f>IF(H192="","",VLOOKUP(H192,DB!A:B,2,0))</f>
        <v>Ikegami BS-80 5</v>
      </c>
      <c r="J192" s="6"/>
      <c r="K192" s="6"/>
      <c r="L192" s="7" t="s">
        <v>268</v>
      </c>
      <c r="M192" s="8" t="s">
        <v>269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73</v>
      </c>
      <c r="B193" s="7" t="str">
        <f>IF(A193="","",VLOOKUP(A193,DB!A:B,2,0))</f>
        <v>Miranda D3 (Audio)</v>
      </c>
      <c r="C193" s="7">
        <v>10.0</v>
      </c>
      <c r="D193" s="7" t="s">
        <v>142</v>
      </c>
      <c r="E193" s="7" t="s">
        <v>195</v>
      </c>
      <c r="F193" s="7" t="s">
        <v>17</v>
      </c>
      <c r="G193" s="7" t="s">
        <v>144</v>
      </c>
      <c r="H193" s="7" t="s">
        <v>258</v>
      </c>
      <c r="I193" s="6" t="str">
        <f>IF(H193="","",VLOOKUP(H193,DB!A:B,2,0))</f>
        <v>PC Audio</v>
      </c>
      <c r="J193" s="7">
        <v>1.0</v>
      </c>
      <c r="K193" s="7" t="s">
        <v>254</v>
      </c>
      <c r="L193" s="7" t="s">
        <v>236</v>
      </c>
      <c r="M193" s="8" t="s">
        <v>269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262</v>
      </c>
      <c r="B194" s="7" t="str">
        <f>IF(A194="","",VLOOKUP(A194,DB!A:B,2,0))</f>
        <v>Mixer Intercom</v>
      </c>
      <c r="C194" s="6"/>
      <c r="D194" s="6"/>
      <c r="E194" s="7" t="s">
        <v>270</v>
      </c>
      <c r="F194" s="6"/>
      <c r="G194" s="6"/>
      <c r="H194" s="7" t="s">
        <v>271</v>
      </c>
      <c r="I194" s="6" t="str">
        <f>IF(H194="","",VLOOKUP(H194,DB!A:B,2,0))</f>
        <v>Headset Director</v>
      </c>
      <c r="J194" s="6"/>
      <c r="K194" s="6"/>
      <c r="L194" s="7" t="s">
        <v>272</v>
      </c>
      <c r="M194" s="8" t="s">
        <v>273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271</v>
      </c>
      <c r="B195" s="7" t="str">
        <f>IF(A195="","",VLOOKUP(A195,DB!A:B,2,0))</f>
        <v>Headset Director</v>
      </c>
      <c r="C195" s="6"/>
      <c r="D195" s="6"/>
      <c r="E195" s="7" t="s">
        <v>274</v>
      </c>
      <c r="F195" s="6"/>
      <c r="G195" s="6"/>
      <c r="H195" s="7" t="s">
        <v>134</v>
      </c>
      <c r="I195" s="6" t="str">
        <f>IF(H195="","",VLOOKUP(H195,DB!A:B,2,0))</f>
        <v>Yamaha MG166</v>
      </c>
      <c r="J195" s="6"/>
      <c r="K195" s="6"/>
      <c r="L195" s="7" t="s">
        <v>57</v>
      </c>
      <c r="M195" s="8" t="s">
        <v>275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276</v>
      </c>
      <c r="B196" s="7" t="str">
        <f>IF(A196="","",VLOOKUP(A196,DB!A:B,2,0))</f>
        <v>Sync Generator</v>
      </c>
      <c r="C196" s="6"/>
      <c r="D196" s="6"/>
      <c r="E196" s="7" t="s">
        <v>277</v>
      </c>
      <c r="F196" s="6"/>
      <c r="G196" s="6"/>
      <c r="H196" s="7" t="s">
        <v>40</v>
      </c>
      <c r="I196" s="6" t="str">
        <f>IF(H196="","",VLOOKUP(H196,DB!A:B,2,0))</f>
        <v>Miranda D3 (Video)</v>
      </c>
      <c r="J196" s="7">
        <v>6.0</v>
      </c>
      <c r="K196" s="7" t="s">
        <v>278</v>
      </c>
      <c r="L196" s="7" t="s">
        <v>279</v>
      </c>
      <c r="M196" s="8" t="s">
        <v>280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276</v>
      </c>
      <c r="B197" s="7" t="str">
        <f>IF(A197="","",VLOOKUP(A197,DB!A:B,2,0))</f>
        <v>Sync Generator</v>
      </c>
      <c r="C197" s="6"/>
      <c r="D197" s="6"/>
      <c r="E197" s="7" t="s">
        <v>281</v>
      </c>
      <c r="F197" s="6"/>
      <c r="G197" s="6"/>
      <c r="H197" s="7" t="s">
        <v>28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276</v>
      </c>
      <c r="B198" s="7" t="str">
        <f>IF(A198="","",VLOOKUP(A198,DB!A:B,2,0))</f>
        <v>Sync Generator</v>
      </c>
      <c r="C198" s="6"/>
      <c r="D198" s="6"/>
      <c r="E198" s="7" t="s">
        <v>282</v>
      </c>
      <c r="F198" s="6"/>
      <c r="G198" s="6"/>
      <c r="H198" s="7" t="s">
        <v>28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276</v>
      </c>
      <c r="B199" s="7" t="str">
        <f>IF(A199="","",VLOOKUP(A199,DB!A:B,2,0))</f>
        <v>Sync Generator</v>
      </c>
      <c r="C199" s="6"/>
      <c r="D199" s="6"/>
      <c r="E199" s="7" t="s">
        <v>283</v>
      </c>
      <c r="F199" s="6"/>
      <c r="G199" s="6"/>
      <c r="H199" s="7" t="s">
        <v>40</v>
      </c>
      <c r="I199" s="6" t="str">
        <f>IF(H199="","",VLOOKUP(H199,DB!A:B,2,0))</f>
        <v>Miranda D3 (Video)</v>
      </c>
      <c r="J199" s="7">
        <v>1.0</v>
      </c>
      <c r="K199" s="7" t="s">
        <v>130</v>
      </c>
      <c r="L199" s="7" t="s">
        <v>284</v>
      </c>
      <c r="M199" s="8" t="s">
        <v>280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276</v>
      </c>
      <c r="B200" s="7" t="str">
        <f>IF(A200="","",VLOOKUP(A200,DB!A:B,2,0))</f>
        <v>Sync Generator</v>
      </c>
      <c r="C200" s="6"/>
      <c r="D200" s="6"/>
      <c r="E200" s="7" t="s">
        <v>285</v>
      </c>
      <c r="F200" s="6"/>
      <c r="G200" s="6"/>
      <c r="H200" s="7" t="s">
        <v>30</v>
      </c>
      <c r="I200" s="6" t="str">
        <f>IF(H200="","",VLOOKUP(H200,DB!A:B,2,0))</f>
        <v>ATEM 1 M/E</v>
      </c>
      <c r="J200" s="6"/>
      <c r="K200" s="6"/>
      <c r="L200" s="7" t="s">
        <v>284</v>
      </c>
      <c r="M200" s="8" t="s">
        <v>280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276</v>
      </c>
      <c r="B201" s="7" t="str">
        <f>IF(A201="","",VLOOKUP(A201,DB!A:B,2,0))</f>
        <v>Sync Generator</v>
      </c>
      <c r="C201" s="6"/>
      <c r="D201" s="6"/>
      <c r="E201" s="7" t="s">
        <v>286</v>
      </c>
      <c r="F201" s="6"/>
      <c r="G201" s="6"/>
      <c r="H201" s="7" t="s">
        <v>28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40</v>
      </c>
      <c r="B202" s="7" t="str">
        <f>IF(A202="","",VLOOKUP(A202,DB!A:B,2,0))</f>
        <v>Miranda D3 (Video)</v>
      </c>
      <c r="C202" s="7">
        <v>6.0</v>
      </c>
      <c r="D202" s="7" t="s">
        <v>278</v>
      </c>
      <c r="E202" s="7" t="s">
        <v>143</v>
      </c>
      <c r="F202" s="7" t="s">
        <v>17</v>
      </c>
      <c r="G202" s="7" t="s">
        <v>279</v>
      </c>
      <c r="H202" s="7" t="s">
        <v>54</v>
      </c>
      <c r="I202" s="6" t="str">
        <f>IF(H202="","",VLOOKUP(H202,DB!A:B,2,0))</f>
        <v>Ikegami BS-80 5</v>
      </c>
      <c r="J202" s="6"/>
      <c r="K202" s="6"/>
      <c r="L202" s="7" t="s">
        <v>284</v>
      </c>
      <c r="M202" s="8" t="s">
        <v>280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40</v>
      </c>
      <c r="B203" s="7" t="str">
        <f>IF(A203="","",VLOOKUP(A203,DB!A:B,2,0))</f>
        <v>Miranda D3 (Video)</v>
      </c>
      <c r="C203" s="7">
        <v>6.0</v>
      </c>
      <c r="D203" s="7" t="s">
        <v>278</v>
      </c>
      <c r="E203" s="7" t="s">
        <v>154</v>
      </c>
      <c r="F203" s="7" t="s">
        <v>17</v>
      </c>
      <c r="G203" s="7" t="s">
        <v>279</v>
      </c>
      <c r="H203" s="7" t="s">
        <v>66</v>
      </c>
      <c r="I203" s="6" t="str">
        <f>IF(H203="","",VLOOKUP(H203,DB!A:B,2,0))</f>
        <v>CopperHead ProHD 1</v>
      </c>
      <c r="J203" s="6"/>
      <c r="K203" s="6"/>
      <c r="L203" s="7" t="s">
        <v>284</v>
      </c>
      <c r="M203" s="8" t="s">
        <v>280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40</v>
      </c>
      <c r="B204" s="7" t="str">
        <f>IF(A204="","",VLOOKUP(A204,DB!A:B,2,0))</f>
        <v>Miranda D3 (Video)</v>
      </c>
      <c r="C204" s="7">
        <v>6.0</v>
      </c>
      <c r="D204" s="7" t="s">
        <v>278</v>
      </c>
      <c r="E204" s="7" t="s">
        <v>190</v>
      </c>
      <c r="F204" s="7" t="s">
        <v>17</v>
      </c>
      <c r="G204" s="7" t="s">
        <v>279</v>
      </c>
      <c r="H204" s="7" t="s">
        <v>85</v>
      </c>
      <c r="I204" s="6" t="str">
        <f>IF(H204="","",VLOOKUP(H204,DB!A:B,2,0))</f>
        <v>PC CG</v>
      </c>
      <c r="J204" s="7">
        <v>2.0</v>
      </c>
      <c r="K204" s="7" t="s">
        <v>19</v>
      </c>
      <c r="L204" s="7" t="s">
        <v>284</v>
      </c>
      <c r="M204" s="8" t="s">
        <v>280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40</v>
      </c>
      <c r="B205" s="7" t="str">
        <f>IF(A205="","",VLOOKUP(A205,DB!A:B,2,0))</f>
        <v>Miranda D3 (Video)</v>
      </c>
      <c r="C205" s="7">
        <v>6.0</v>
      </c>
      <c r="D205" s="7" t="s">
        <v>278</v>
      </c>
      <c r="E205" s="7" t="s">
        <v>147</v>
      </c>
      <c r="F205" s="7" t="s">
        <v>17</v>
      </c>
      <c r="G205" s="7" t="s">
        <v>279</v>
      </c>
      <c r="H205" s="7" t="s">
        <v>50</v>
      </c>
      <c r="I205" s="6" t="str">
        <f>IF(H205="","",VLOOKUP(H205,DB!A:B,2,0))</f>
        <v>Ikegami BS-80 4</v>
      </c>
      <c r="J205" s="6"/>
      <c r="K205" s="6"/>
      <c r="L205" s="7" t="s">
        <v>284</v>
      </c>
      <c r="M205" s="8" t="s">
        <v>280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40</v>
      </c>
      <c r="B206" s="7" t="str">
        <f>IF(A206="","",VLOOKUP(A206,DB!A:B,2,0))</f>
        <v>Miranda D3 (Video)</v>
      </c>
      <c r="C206" s="7">
        <v>6.0</v>
      </c>
      <c r="D206" s="7" t="s">
        <v>278</v>
      </c>
      <c r="E206" s="7" t="s">
        <v>195</v>
      </c>
      <c r="F206" s="7" t="s">
        <v>17</v>
      </c>
      <c r="G206" s="7" t="s">
        <v>279</v>
      </c>
      <c r="H206" s="7" t="s">
        <v>18</v>
      </c>
      <c r="I206" s="6" t="str">
        <f>IF(H206="","",VLOOKUP(H206,DB!A:B,2,0))</f>
        <v>PC Video</v>
      </c>
      <c r="J206" s="7">
        <v>2.0</v>
      </c>
      <c r="K206" s="7" t="s">
        <v>19</v>
      </c>
      <c r="L206" s="7" t="s">
        <v>284</v>
      </c>
      <c r="M206" s="8" t="s">
        <v>280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66</v>
      </c>
      <c r="B207" s="7" t="str">
        <f>IF(A207="","",VLOOKUP(A207,DB!A:B,2,0))</f>
        <v>CopperHead ProHD 1</v>
      </c>
      <c r="C207" s="6"/>
      <c r="D207" s="6"/>
      <c r="E207" s="7" t="s">
        <v>287</v>
      </c>
      <c r="F207" s="7" t="s">
        <v>17</v>
      </c>
      <c r="G207" s="7" t="s">
        <v>284</v>
      </c>
      <c r="H207" s="7" t="s">
        <v>69</v>
      </c>
      <c r="I207" s="6" t="str">
        <f>IF(H207="","",VLOOKUP(H207,DB!A:B,2,0))</f>
        <v>CopperHead ProHD 2</v>
      </c>
      <c r="J207" s="6"/>
      <c r="K207" s="6"/>
      <c r="L207" s="7" t="s">
        <v>284</v>
      </c>
      <c r="M207" s="8" t="s">
        <v>280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69</v>
      </c>
      <c r="B208" s="7" t="str">
        <f>IF(A208="","",VLOOKUP(A208,DB!A:B,2,0))</f>
        <v>CopperHead ProHD 2</v>
      </c>
      <c r="C208" s="6"/>
      <c r="D208" s="6"/>
      <c r="E208" s="7" t="s">
        <v>287</v>
      </c>
      <c r="F208" s="7" t="s">
        <v>17</v>
      </c>
      <c r="G208" s="7" t="s">
        <v>284</v>
      </c>
      <c r="H208" s="7" t="s">
        <v>71</v>
      </c>
      <c r="I208" s="6" t="str">
        <f>IF(H208="","",VLOOKUP(H208,DB!A:B,2,0))</f>
        <v>CopperHead ProHD 3</v>
      </c>
      <c r="J208" s="6"/>
      <c r="K208" s="6"/>
      <c r="L208" s="7" t="s">
        <v>284</v>
      </c>
      <c r="M208" s="8" t="s">
        <v>280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71</v>
      </c>
      <c r="B209" s="7" t="str">
        <f>IF(A209="","",VLOOKUP(A209,DB!A:B,2,0))</f>
        <v>CopperHead ProHD 3</v>
      </c>
      <c r="C209" s="6"/>
      <c r="D209" s="6"/>
      <c r="E209" s="7" t="s">
        <v>287</v>
      </c>
      <c r="F209" s="7" t="s">
        <v>17</v>
      </c>
      <c r="G209" s="7" t="s">
        <v>284</v>
      </c>
      <c r="H209" s="7" t="s">
        <v>60</v>
      </c>
      <c r="I209" s="6" t="str">
        <f>IF(H209="","",VLOOKUP(H209,DB!A:B,2,0))</f>
        <v>HyperDeck Studio Pro</v>
      </c>
      <c r="J209" s="6"/>
      <c r="K209" s="6"/>
      <c r="L209" s="7" t="s">
        <v>284</v>
      </c>
      <c r="M209" s="8" t="s">
        <v>280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258</v>
      </c>
      <c r="B210" s="7" t="str">
        <f>IF(A210="","",VLOOKUP(A210,DB!A:B,2,0))</f>
        <v>PC Audio</v>
      </c>
      <c r="C210" s="7">
        <v>1.0</v>
      </c>
      <c r="D210" s="7" t="s">
        <v>254</v>
      </c>
      <c r="E210" s="7" t="s">
        <v>255</v>
      </c>
      <c r="F210" s="6"/>
      <c r="G210" s="6"/>
      <c r="H210" s="7" t="s">
        <v>262</v>
      </c>
      <c r="I210" s="6" t="str">
        <f>IF(H210="","",VLOOKUP(H210,DB!A:B,2,0))</f>
        <v>Mixer Intercom</v>
      </c>
      <c r="J210" s="6"/>
      <c r="K210" s="6"/>
      <c r="L210" s="7" t="s">
        <v>132</v>
      </c>
      <c r="M210" s="8" t="s">
        <v>269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7" t="s">
        <v>100</v>
      </c>
      <c r="B211" s="7" t="str">
        <f>IF(A211="","",VLOOKUP(A211,DB!A:B,2,0))</f>
        <v>SmartView (AIRE/PGM)</v>
      </c>
      <c r="C211" s="6"/>
      <c r="D211" s="6"/>
      <c r="E211" s="7" t="s">
        <v>67</v>
      </c>
      <c r="F211" s="7" t="s">
        <v>17</v>
      </c>
      <c r="G211" s="7" t="s">
        <v>101</v>
      </c>
      <c r="H211" s="7" t="s">
        <v>28</v>
      </c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288</v>
      </c>
      <c r="B1" s="18" t="s">
        <v>289</v>
      </c>
      <c r="C1" s="19" t="s">
        <v>290</v>
      </c>
      <c r="D1" s="20" t="s">
        <v>291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292</v>
      </c>
      <c r="C3" s="21"/>
      <c r="D3" s="7" t="s">
        <v>293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30</v>
      </c>
      <c r="B4" s="16" t="s">
        <v>294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66</v>
      </c>
      <c r="B5" s="12" t="s">
        <v>295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69</v>
      </c>
      <c r="B6" s="16" t="s">
        <v>296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71</v>
      </c>
      <c r="B7" s="12" t="s">
        <v>297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60</v>
      </c>
      <c r="B8" s="16" t="s">
        <v>298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100</v>
      </c>
      <c r="B9" s="12" t="s">
        <v>299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18</v>
      </c>
      <c r="B10" s="16" t="s">
        <v>300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85</v>
      </c>
      <c r="B11" s="12" t="s">
        <v>86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276</v>
      </c>
      <c r="B13" s="12" t="s">
        <v>301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252</v>
      </c>
      <c r="B14" s="12" t="s">
        <v>253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40</v>
      </c>
      <c r="B15" s="12" t="s">
        <v>302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50</v>
      </c>
      <c r="B16" s="14" t="s">
        <v>303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54</v>
      </c>
      <c r="B17" s="10" t="s">
        <v>304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73</v>
      </c>
      <c r="B18" s="16" t="s">
        <v>305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87</v>
      </c>
      <c r="B19" s="16" t="s">
        <v>306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258</v>
      </c>
      <c r="B20" s="7" t="s">
        <v>307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6" t="s">
        <v>134</v>
      </c>
      <c r="B22" s="14" t="s">
        <v>308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6" t="s">
        <v>235</v>
      </c>
      <c r="B23" s="23" t="s">
        <v>309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6" t="s">
        <v>262</v>
      </c>
      <c r="B24" s="10" t="s">
        <v>310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6" t="s">
        <v>271</v>
      </c>
      <c r="B25" s="16" t="s">
        <v>311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6" t="s">
        <v>225</v>
      </c>
      <c r="B26" s="12" t="s">
        <v>312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6" t="s">
        <v>227</v>
      </c>
      <c r="B27" s="16" t="s">
        <v>313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6" t="s">
        <v>128</v>
      </c>
      <c r="B28" s="10" t="s">
        <v>314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6" t="s">
        <v>231</v>
      </c>
      <c r="B29" s="14" t="s">
        <v>315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6" t="s">
        <v>239</v>
      </c>
      <c r="B30" s="10" t="s">
        <v>316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79</v>
      </c>
      <c r="B32" s="12" t="s">
        <v>317</v>
      </c>
      <c r="C32" s="21"/>
      <c r="D32" s="7" t="s">
        <v>293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169</v>
      </c>
      <c r="B33" s="12" t="s">
        <v>318</v>
      </c>
      <c r="C33" s="21"/>
      <c r="D33" s="7" t="s">
        <v>293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319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320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28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249</v>
      </c>
      <c r="B42" s="16" t="s">
        <v>321</v>
      </c>
      <c r="C42" s="21"/>
      <c r="D42" s="7" t="s">
        <v>322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150</v>
      </c>
      <c r="B43" s="16" t="s">
        <v>323</v>
      </c>
      <c r="C43" s="21"/>
      <c r="D43" s="7" t="s">
        <v>322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186</v>
      </c>
      <c r="B44" s="7" t="s">
        <v>324</v>
      </c>
      <c r="C44" s="6"/>
      <c r="D44" s="7" t="s">
        <v>322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325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326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)"),"B.7")</f>
        <v>B.7</v>
      </c>
      <c r="B3" s="6" t="str">
        <f>IFERROR(__xludf.DUMMYFUNCTION("""COMPUTED_VALUE"""),"SmartView (AIRE/PGM)")</f>
        <v>SmartView (AIRE/PGM)</v>
      </c>
      <c r="C3" s="6"/>
      <c r="D3" s="6"/>
      <c r="E3" s="6" t="str">
        <f>IFERROR(__xludf.DUMMYFUNCTION("""COMPUTED_VALUE"""),"SDI Out 1")</f>
        <v>SDI Out 1</v>
      </c>
      <c r="F3" s="6" t="str">
        <f>IFERROR(__xludf.DUMMYFUNCTION("""COMPUTED_VALUE"""),"T")</f>
        <v>T</v>
      </c>
      <c r="G3" s="6" t="str">
        <f>IFERROR(__xludf.DUMMYFUNCTION("""COMPUTED_VALUE"""),"SDI In 1")</f>
        <v>SDI In 1</v>
      </c>
      <c r="H3" s="6" t="str">
        <f>IFERROR(__xludf.DUMMYFUNCTION("""COMPUTED_VALUE"""),"N/C")</f>
        <v>N/C</v>
      </c>
      <c r="I3" s="6"/>
      <c r="J3" s="6"/>
      <c r="K3" s="6"/>
      <c r="L3" s="6"/>
      <c r="M3" s="9"/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IFERROR(__xludf.DUMMYFUNCTION("""COMPUTED_VALUE"""),"B.7")</f>
        <v>B.7</v>
      </c>
      <c r="B4" s="6" t="str">
        <f>IFERROR(__xludf.DUMMYFUNCTION("""COMPUTED_VALUE"""),"SmartView (AIRE/PGM)")</f>
        <v>SmartView (AIRE/PGM)</v>
      </c>
      <c r="C4" s="6"/>
      <c r="D4" s="6"/>
      <c r="E4" s="6" t="str">
        <f>IFERROR(__xludf.DUMMYFUNCTION("""COMPUTED_VALUE"""),"SDI Out 2")</f>
        <v>SDI Out 2</v>
      </c>
      <c r="F4" s="6" t="str">
        <f>IFERROR(__xludf.DUMMYFUNCTION("""COMPUTED_VALUE"""),"T")</f>
        <v>T</v>
      </c>
      <c r="G4" s="6" t="str">
        <f>IFERROR(__xludf.DUMMYFUNCTION("""COMPUTED_VALUE"""),"SDI In 2")</f>
        <v>SDI In 2</v>
      </c>
      <c r="H4" s="6" t="str">
        <f>IFERROR(__xludf.DUMMYFUNCTION("""COMPUTED_VALUE"""),"C.6")</f>
        <v>C.6</v>
      </c>
      <c r="I4" s="6" t="str">
        <f>IFERROR(__xludf.DUMMYFUNCTION("""COMPUTED_VALUE"""),"SmartScope (PGM)")</f>
        <v>SmartScope (PGM)</v>
      </c>
      <c r="J4" s="6"/>
      <c r="K4" s="6"/>
      <c r="L4" s="6" t="str">
        <f>IFERROR(__xludf.DUMMYFUNCTION("""COMPUTED_VALUE"""),"SDI In 1")</f>
        <v>SDI In 1</v>
      </c>
      <c r="M4" s="9" t="str">
        <f>IFERROR(__xludf.DUMMYFUNCTION("""COMPUTED_VALUE"""),"PGM (WF)")</f>
        <v>PGM (WF)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