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<sst xmlns="http://schemas.openxmlformats.org/spreadsheetml/2006/main" count="1391" uniqueCount="326">
  <si>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</si>
  <si>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</si>
  <si>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</si>
  <si>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</si>
  <si>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</si>
  <si>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</si>
  <si>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</si>
  <si>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</si>
  <si>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</si>
  <si>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</si>
  <si>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</si>
  <si>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</si>
  <si>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</si>
  <si>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</si>
  <si>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</si>
  <si>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</si>
  <si>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</si>
  <si>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</si>
  <si>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</si>
  <si>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</si>
  <si>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</si>
  <si>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</si>
  <si>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</si>
  <si>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</si>
  <si>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</si>
  <si>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</si>
  <si>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</si>
  <si>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</si>
  <si>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</si>
  <si>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</si>
  <si>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</si>
  <si>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</si>
  <si>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</si>
  <si>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</si>
  <si>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</si>
  <si>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</si>
  <si>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</si>
  <si>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</si>
  <si>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</si>
  <si>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</si>
  <si>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</si>
  <si>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</si>
  <si>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</si>
  <si>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</si>
  <si>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</si>
  <si>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</si>
  <si>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</si>
  <si>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</si>
  <si>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</si>
  <si>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</si>
  <si>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</si>
  <si>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</si>
  <si>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</si>
  <si>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</si>
  <si>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</si>
  <si>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</si>
  <si>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</si>
  <si>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</si>
  <si>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</si>
  <si>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</si>
  <si>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</si>
  <si>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</si>
  <si>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</si>
  <si>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</si>
  <si>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</si>
  <si>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</si>
  <si>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</si>
  <si>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</si>
  <si>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</si>
  <si>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</si>
  <si>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</si>
  <si>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</si>
  <si>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</si>
  <si>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</si>
  <si>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</si>
  <si>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</si>
  <si>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</si>
  <si>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</si>
  <si>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</si>
  <si>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</si>
  <si>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</si>
  <si>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</si>
  <si>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</si>
  <si>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</si>
  <si>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</si>
  <si>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</si>
  <si>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</si>
  <si>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</si>
  <si>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</si>
  <si>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</si>
  <si>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</si>
  <si>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</si>
  <si>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</si>
  <si>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</si>
  <si>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</si>
  <si>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</si>
  <si>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</si>
  <si>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</si>
  <si>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</si>
  <si>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</si>
  <si>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</si>
  <si>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</si>
  <si>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</si>
  <si>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</si>
  <si>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</si>
  <si>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</si>
  <si>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</si>
  <si>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</si>
  <si>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</si>
  <si>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</si>
  <si>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</si>
  <si>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</si>
  <si>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</si>
  <si>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</si>
  <si>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</si>
  <si>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</si>
  <si>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</si>
  <si>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</si>
  <si>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</si>
  <si>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</si>
  <si>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</si>
  <si>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</si>
  <si>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</si>
  <si>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</si>
  <si>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</si>
  <si>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</si>
  <si>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</si>
  <si>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</si>
  <si>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</si>
  <si>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</si>
  <si>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</si>
  <si>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</si>
  <si>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</si>
  <si>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</si>
  <si>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</si>
  <si>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</si>
  <si>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</si>
  <si>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</si>
  <si>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</si>
  <si>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</si>
  <si>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</si>
  <si>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</si>
  <si>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</si>
  <si>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</si>
  <si>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</si>
  <si>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</si>
  <si>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</si>
  <si>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</si>
  <si>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</si>
  <si>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</si>
  <si>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</si>
  <si>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</si>
  <si>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</si>
  <si>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</si>
  <si>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</si>
  <si>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</si>
  <si>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</si>
  <si>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</si>
  <si>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</si>
  <si>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</si>
  <si>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</si>
  <si>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</si>
  <si>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</si>
  <si>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</si>
  <si>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</si>
  <si>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</si>
  <si>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</si>
  <si>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</si>
  <si>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</si>
  <si>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</si>
  <si>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</si>
  <si>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</si>
  <si>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</si>
  <si>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</si>
  <si>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</si>
  <si>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</si>
  <si>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</si>
  <si>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</si>
  <si>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</si>
  <si>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</si>
  <si>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</si>
  <si>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</si>
  <si>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</si>
  <si>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</si>
  <si>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</si>
  <si>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</si>
  <si>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</si>
  <si>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</si>
  <si>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</si>
  <si>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</si>
  <si>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S.3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</si>
  <si>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</si>
  <si>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</si>
  <si>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</si>
  <si>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</si>
  <si>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</si>
  <si>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</si>
  <si>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</si>
  <si>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</si>
  <si>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</si>
  <si>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</si>
  <si>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</si>
  <si>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</si>
  <si>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</si>
  <si>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</si>
  <si>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</si>
  <si>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</si>
  <si>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</si>
  <si>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</si>
  <si>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</si>
  <si>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</si>
  <si>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</si>
  <si>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</si>
  <si>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</si>
  <si>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</si>
  <si>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</si>
  <si>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</si>
  <si>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</si>
  <si>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</si>
  <si>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</si>
  <si>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</si>
  <si>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</si>
  <si>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</si>
  <si>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</si>
  <si>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</si>
  <si>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</si>
  <si>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</si>
  <si>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</si>
  <si>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</si>
  <si>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</si>
  <si>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</si>
  <si>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</si>
  <si>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</si>
  <si>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</si>
  <si>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</si>
  <si>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</si>
  <si>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</si>
  <si>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</si>
  <si>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</si>
  <si>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</si>
  <si>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</si>
  <si>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</si>
  <si>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</si>
  <si>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</si>
  <si>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</si>
  <si>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</si>
  <si>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</si>
  <si>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</si>
  <si>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</si>
  <si>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</si>
  <si>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</si>
  <si>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</si>
  <si>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</si>
  <si>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</si>
  <si>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</si>
  <si>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</si>
  <si>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</si>
  <si>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</si>
  <si>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</si>
  <si>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</si>
  <si>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</si>
  <si>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</si>
  <si>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</si>
  <si>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</si>
  <si>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</si>
  <si>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</si>
  <si>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</si>
  <si>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</si>
  <si>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</si>
  <si>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</si>
  <si>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</si>
  <si>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</si>
  <si>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</si>
  <si>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</si>
  <si>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</si>
  <si>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</si>
  <si>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</si>
  <si>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</si>
  <si>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</si>
  <si>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</si>
  <si>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</si>
  <si>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</si>
  <si>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</si>
  <si>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</si>
  <si>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</si>
  <si>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</si>
  <si>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</si>
  <si>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</si>
  <si>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</si>
  <si>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</si>
  <si>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</si>
  <si>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</si>
  <si>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</si>
  <si>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</si>
  <si>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</si>
  <si>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</si>
  <si>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</si>
  <si>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</si>
  <si>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</si>
  <si>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</si>
  <si>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</si>
  <si>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</si>
  <si>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</si>
  <si>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</si>
  <si>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</si>
  <si>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</si>
  <si>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</si>
  <si>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</si>
  <si>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</si>
  <si>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</si>
  <si>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</si>
  <si>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</si>
  <si>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</si>
  <si>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</si>
  <si>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</si>
  <si>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</si>
  <si>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</si>
  <si>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</si>
  <si>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</si>
  <si>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</si>
  <si>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</si>
  <si>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</si>
  <si>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</si>
  <si>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</si>
  <si>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</si>
  <si>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b.9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</si>
</sst>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122</v>
      </c>
      <c r="F80" s="7" t="s">
        <v>17</v>
      </c>
      <c r="G80" s="12" t="s">
        <v>122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127</v>
      </c>
      <c r="F81" s="7" t="s">
        <v>17</v>
      </c>
      <c r="G81" s="12" t="s">
        <v>127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179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128</v>
      </c>
      <c r="F82" s="7" t="s">
        <v>17</v>
      </c>
      <c r="G82" s="12" t="s">
        <v>128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181</v>
      </c>
      <c r="F83" s="7" t="s">
        <v>17</v>
      </c>
      <c r="G83" s="12" t="s">
        <v>181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182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183</v>
      </c>
      <c r="F84" s="7" t="s">
        <v>17</v>
      </c>
      <c r="G84" s="12" t="s">
        <v>183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184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185</v>
      </c>
      <c r="F85" s="7" t="s">
        <v>17</v>
      </c>
      <c r="G85" s="12" t="s">
        <v>185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186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187</v>
      </c>
      <c r="F86" s="7" t="s">
        <v>17</v>
      </c>
      <c r="G86" s="12" t="s">
        <v>187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188</v>
      </c>
      <c r="F87" s="7" t="s">
        <v>17</v>
      </c>
      <c r="G87" s="12" t="s">
        <v>188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189</v>
      </c>
      <c r="F88" s="7" t="s">
        <v>17</v>
      </c>
      <c r="G88" s="12" t="s">
        <v>189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190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190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191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190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193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190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194</v>
      </c>
      <c r="M92" s="8" t="s">
        <v>192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190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195</v>
      </c>
      <c r="M93" s="8" t="s">
        <v>192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196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197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198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199</v>
      </c>
      <c r="M97" s="8" t="s">
        <v>200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201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202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203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204</v>
      </c>
      <c r="M101" s="7" t="s">
        <v>200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205</v>
      </c>
      <c r="F102" s="7" t="s">
        <v>17</v>
      </c>
      <c r="G102" s="7" t="s">
        <v>205</v>
      </c>
      <c r="H102" s="7" t="s">
        <v>83</v>
      </c>
      <c r="I102" s="6" t="str">
        <f>IF(H102="","",VLOOKUP(H102,DB!A:B,2,0))</f>
        <v>CopperHead ProHD 1</v>
      </c>
      <c r="J102" s="6"/>
      <c r="K102" s="6"/>
      <c r="L102" s="7" t="s">
        <v>145</v>
      </c>
      <c r="M102" s="7" t="s">
        <v>206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207</v>
      </c>
      <c r="F103" s="7" t="s">
        <v>17</v>
      </c>
      <c r="G103" s="7" t="s">
        <v>207</v>
      </c>
      <c r="H103" s="7" t="s">
        <v>83</v>
      </c>
      <c r="I103" s="6" t="str">
        <f>IF(H103="","",VLOOKUP(H103,DB!A:B,2,0))</f>
        <v>CopperHead ProHD 1</v>
      </c>
      <c r="J103" s="6"/>
      <c r="K103" s="6"/>
      <c r="L103" s="7" t="s">
        <v>151</v>
      </c>
      <c r="M103" s="7" t="s">
        <v>208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209</v>
      </c>
      <c r="F104" s="7" t="s">
        <v>17</v>
      </c>
      <c r="G104" s="7" t="s">
        <v>209</v>
      </c>
      <c r="H104" s="7" t="s">
        <v>86</v>
      </c>
      <c r="I104" s="6" t="str">
        <f>IF(H104="","",VLOOKUP(H104,DB!A:B,2,0))</f>
        <v>CopperHead ProHD 2</v>
      </c>
      <c r="J104" s="6"/>
      <c r="K104" s="6"/>
      <c r="L104" s="7" t="s">
        <v>145</v>
      </c>
      <c r="M104" s="7" t="s">
        <v>210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211</v>
      </c>
      <c r="F105" s="7" t="s">
        <v>17</v>
      </c>
      <c r="G105" s="7" t="s">
        <v>211</v>
      </c>
      <c r="H105" s="7" t="s">
        <v>86</v>
      </c>
      <c r="I105" s="6" t="str">
        <f>IF(H105="","",VLOOKUP(H105,DB!A:B,2,0))</f>
        <v>CopperHead ProHD 2</v>
      </c>
      <c r="J105" s="6"/>
      <c r="K105" s="6"/>
      <c r="L105" s="7" t="s">
        <v>151</v>
      </c>
      <c r="M105" s="7" t="s">
        <v>212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213</v>
      </c>
      <c r="F106" s="7" t="s">
        <v>17</v>
      </c>
      <c r="G106" s="7" t="s">
        <v>213</v>
      </c>
      <c r="H106" s="7" t="s">
        <v>88</v>
      </c>
      <c r="I106" s="6" t="str">
        <f>IF(H106="","",VLOOKUP(H106,DB!A:B,2,0))</f>
        <v>CopperHead ProHD 3</v>
      </c>
      <c r="J106" s="6"/>
      <c r="K106" s="6"/>
      <c r="L106" s="7" t="s">
        <v>145</v>
      </c>
      <c r="M106" s="7" t="s">
        <v>214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215</v>
      </c>
      <c r="F107" s="7" t="s">
        <v>17</v>
      </c>
      <c r="G107" s="7" t="s">
        <v>215</v>
      </c>
      <c r="H107" s="7" t="s">
        <v>88</v>
      </c>
      <c r="I107" s="6" t="str">
        <f>IF(H107="","",VLOOKUP(H107,DB!A:B,2,0))</f>
        <v>CopperHead ProHD 3</v>
      </c>
      <c r="J107" s="6"/>
      <c r="K107" s="6"/>
      <c r="L107" s="7" t="s">
        <v>151</v>
      </c>
      <c r="M107" s="7" t="s">
        <v>216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217</v>
      </c>
      <c r="F108" s="7" t="s">
        <v>17</v>
      </c>
      <c r="G108" s="7" t="s">
        <v>217</v>
      </c>
      <c r="H108" s="7" t="s">
        <v>64</v>
      </c>
      <c r="I108" s="6" t="str">
        <f>IF(H108="","",VLOOKUP(H108,DB!A:B,2,0))</f>
        <v>Ikegami BS-80 4</v>
      </c>
      <c r="J108" s="6"/>
      <c r="K108" s="6"/>
      <c r="L108" s="7" t="s">
        <v>145</v>
      </c>
      <c r="M108" s="7" t="s">
        <v>218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219</v>
      </c>
      <c r="F109" s="7" t="s">
        <v>17</v>
      </c>
      <c r="G109" s="7" t="s">
        <v>219</v>
      </c>
      <c r="H109" s="7" t="s">
        <v>64</v>
      </c>
      <c r="I109" s="6" t="str">
        <f>IF(H109="","",VLOOKUP(H109,DB!A:B,2,0))</f>
        <v>Ikegami BS-80 4</v>
      </c>
      <c r="J109" s="6"/>
      <c r="K109" s="6"/>
      <c r="L109" s="7" t="s">
        <v>151</v>
      </c>
      <c r="M109" s="7" t="s">
        <v>220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221</v>
      </c>
      <c r="F110" s="7" t="s">
        <v>17</v>
      </c>
      <c r="G110" s="7" t="s">
        <v>221</v>
      </c>
      <c r="H110" s="7" t="s">
        <v>69</v>
      </c>
      <c r="I110" s="6" t="str">
        <f>IF(H110="","",VLOOKUP(H110,DB!A:B,2,0))</f>
        <v>Ikegami BS-80 5</v>
      </c>
      <c r="J110" s="6"/>
      <c r="K110" s="6"/>
      <c r="L110" s="7" t="s">
        <v>145</v>
      </c>
      <c r="M110" s="7" t="s">
        <v>222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223</v>
      </c>
      <c r="F111" s="7" t="s">
        <v>17</v>
      </c>
      <c r="G111" s="7" t="s">
        <v>223</v>
      </c>
      <c r="H111" s="16" t="s">
        <v>69</v>
      </c>
      <c r="I111" s="14" t="str">
        <f>IF(H111="","",VLOOKUP(H111,DB!A:B,2,0))</f>
        <v>Ikegami BS-80 5</v>
      </c>
      <c r="J111" s="14"/>
      <c r="K111" s="14"/>
      <c r="L111" s="7" t="s">
        <v>151</v>
      </c>
      <c r="M111" s="16" t="s">
        <v>224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225</v>
      </c>
      <c r="F112" s="6"/>
      <c r="G112" s="6"/>
      <c r="H112" s="7" t="s">
        <v>226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227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226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228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229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228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228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230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231</v>
      </c>
      <c r="F115" s="6"/>
      <c r="G115" s="6"/>
      <c r="H115" s="7" t="s">
        <v>232</v>
      </c>
      <c r="I115" s="6" t="str">
        <f>IF(H115="","",VLOOKUP(H115,DB!A:B,2,0))</f>
        <v>Monitor Multiview</v>
      </c>
      <c r="J115" s="6"/>
      <c r="K115" s="6"/>
      <c r="L115" s="7" t="s">
        <v>233</v>
      </c>
      <c r="M115" s="8" t="s">
        <v>234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235</v>
      </c>
      <c r="F116" s="6"/>
      <c r="G116" s="6"/>
      <c r="H116" s="7" t="s">
        <v>236</v>
      </c>
      <c r="I116" s="6" t="str">
        <f>IF(H116="","",VLOOKUP(H116,DB!A:B,2,0))</f>
        <v>Monitor Audio L</v>
      </c>
      <c r="J116" s="6"/>
      <c r="K116" s="6"/>
      <c r="L116" s="7" t="s">
        <v>237</v>
      </c>
      <c r="M116" s="8" t="s">
        <v>238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239</v>
      </c>
      <c r="F117" s="6"/>
      <c r="G117" s="6"/>
      <c r="H117" s="7" t="s">
        <v>240</v>
      </c>
      <c r="I117" s="6" t="str">
        <f>IF(H117="","",VLOOKUP(H117,DB!A:B,2,0))</f>
        <v>Monitor Audio R</v>
      </c>
      <c r="J117" s="6"/>
      <c r="K117" s="6"/>
      <c r="L117" s="7" t="s">
        <v>237</v>
      </c>
      <c r="M117" s="8" t="s">
        <v>241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242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243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244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245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246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247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200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248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249</v>
      </c>
      <c r="F123" s="6"/>
      <c r="G123" s="6"/>
      <c r="H123" s="7" t="s">
        <v>250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250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250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251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252</v>
      </c>
      <c r="F127" s="6"/>
      <c r="G127" s="6"/>
      <c r="H127" s="7" t="s">
        <v>253</v>
      </c>
      <c r="I127" s="6" t="str">
        <f>IF(H127="","",VLOOKUP(H127,DB!A:B,2,0))</f>
        <v>RF</v>
      </c>
      <c r="J127" s="6"/>
      <c r="K127" s="6"/>
      <c r="L127" s="7" t="s">
        <v>237</v>
      </c>
      <c r="M127" s="8" t="s">
        <v>254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122</v>
      </c>
      <c r="M149" s="13" t="s">
        <v>178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127</v>
      </c>
      <c r="M150" s="13" t="s">
        <v>179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128</v>
      </c>
      <c r="M151" s="13" t="s">
        <v>180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181</v>
      </c>
      <c r="M152" s="13" t="s">
        <v>182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183</v>
      </c>
      <c r="M153" s="13" t="s">
        <v>184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185</v>
      </c>
      <c r="M154" s="13" t="s">
        <v>186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187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188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189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191</v>
      </c>
      <c r="F158" s="7" t="s">
        <v>17</v>
      </c>
      <c r="G158" s="7" t="s">
        <v>191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192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192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195</v>
      </c>
      <c r="F161" s="7" t="s">
        <v>17</v>
      </c>
      <c r="G161" s="7" t="s">
        <v>195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192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196</v>
      </c>
      <c r="F162" s="7" t="s">
        <v>17</v>
      </c>
      <c r="G162" s="7" t="s">
        <v>196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197</v>
      </c>
      <c r="F163" s="7" t="s">
        <v>17</v>
      </c>
      <c r="G163" s="7" t="s">
        <v>197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198</v>
      </c>
      <c r="F164" s="7" t="s">
        <v>17</v>
      </c>
      <c r="G164" s="7" t="s">
        <v>198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199</v>
      </c>
      <c r="F165" s="7" t="s">
        <v>17</v>
      </c>
      <c r="G165" s="7" t="s">
        <v>199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200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201</v>
      </c>
      <c r="F166" s="7" t="s">
        <v>17</v>
      </c>
      <c r="G166" s="7" t="s">
        <v>201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202</v>
      </c>
      <c r="F167" s="7" t="s">
        <v>17</v>
      </c>
      <c r="G167" s="7" t="s">
        <v>202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203</v>
      </c>
      <c r="F168" s="7" t="s">
        <v>17</v>
      </c>
      <c r="G168" s="7" t="s">
        <v>203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204</v>
      </c>
      <c r="F169" s="7" t="s">
        <v>17</v>
      </c>
      <c r="G169" s="7" t="s">
        <v>204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200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205</v>
      </c>
      <c r="M170" s="7" t="s">
        <v>206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207</v>
      </c>
      <c r="M171" s="7" t="s">
        <v>208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209</v>
      </c>
      <c r="M172" s="7" t="s">
        <v>210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211</v>
      </c>
      <c r="M173" s="7" t="s">
        <v>212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213</v>
      </c>
      <c r="M174" s="7" t="s">
        <v>214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215</v>
      </c>
      <c r="M175" s="7" t="s">
        <v>216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217</v>
      </c>
      <c r="M176" s="7" t="s">
        <v>218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219</v>
      </c>
      <c r="M177" s="7" t="s">
        <v>220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221</v>
      </c>
      <c r="M178" s="7" t="s">
        <v>222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223</v>
      </c>
      <c r="M179" s="16" t="s">
        <v>224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255</v>
      </c>
      <c r="E180" s="7" t="s">
        <v>256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257</v>
      </c>
      <c r="E181" s="7" t="s">
        <v>256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258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259</v>
      </c>
      <c r="B182" s="7" t="str">
        <f>IF(A182="","",VLOOKUP(A182,DB!A:B,2,0))</f>
        <v>PC Audio</v>
      </c>
      <c r="C182" s="7">
        <v>0.0</v>
      </c>
      <c r="D182" s="7" t="s">
        <v>257</v>
      </c>
      <c r="E182" s="7" t="s">
        <v>256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260</v>
      </c>
      <c r="M182" s="8" t="s">
        <v>261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262</v>
      </c>
      <c r="F183" s="6"/>
      <c r="G183" s="6"/>
      <c r="H183" s="7" t="s">
        <v>263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264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262</v>
      </c>
      <c r="F184" s="6"/>
      <c r="G184" s="6"/>
      <c r="H184" s="7" t="s">
        <v>263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265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262</v>
      </c>
      <c r="F185" s="6"/>
      <c r="G185" s="6"/>
      <c r="H185" s="7" t="s">
        <v>263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266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262</v>
      </c>
      <c r="F186" s="6"/>
      <c r="G186" s="6"/>
      <c r="H186" s="7" t="s">
        <v>263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267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262</v>
      </c>
      <c r="F187" s="6"/>
      <c r="G187" s="6"/>
      <c r="H187" s="7" t="s">
        <v>263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268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269</v>
      </c>
      <c r="M188" s="8" t="s">
        <v>270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269</v>
      </c>
      <c r="M189" s="8" t="s">
        <v>270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269</v>
      </c>
      <c r="M190" s="8" t="s">
        <v>270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269</v>
      </c>
      <c r="M191" s="8" t="s">
        <v>270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269</v>
      </c>
      <c r="M192" s="8" t="s">
        <v>270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263</v>
      </c>
      <c r="B193" s="7" t="str">
        <f>IF(A193="","",VLOOKUP(A193,DB!A:B,2,0))</f>
        <v>Mixer Intercom</v>
      </c>
      <c r="C193" s="6"/>
      <c r="D193" s="6"/>
      <c r="E193" s="7" t="s">
        <v>271</v>
      </c>
      <c r="F193" s="6"/>
      <c r="G193" s="6"/>
      <c r="H193" s="7" t="s">
        <v>272</v>
      </c>
      <c r="I193" s="6" t="str">
        <f>IF(H193="","",VLOOKUP(H193,DB!A:B,2,0))</f>
        <v>Headset Director</v>
      </c>
      <c r="J193" s="6"/>
      <c r="K193" s="6"/>
      <c r="L193" s="7" t="s">
        <v>273</v>
      </c>
      <c r="M193" s="8" t="s">
        <v>274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272</v>
      </c>
      <c r="B194" s="7" t="str">
        <f>IF(A194="","",VLOOKUP(A194,DB!A:B,2,0))</f>
        <v>Headset Director</v>
      </c>
      <c r="C194" s="6"/>
      <c r="D194" s="6"/>
      <c r="E194" s="7" t="s">
        <v>275</v>
      </c>
      <c r="F194" s="6"/>
      <c r="G194" s="6"/>
      <c r="H194" s="7" t="s">
        <v>146</v>
      </c>
      <c r="I194" s="6" t="str">
        <f>IF(H194="","",VLOOKUP(H194,DB!A:B,2,0))</f>
        <v>Yamaha MG166</v>
      </c>
      <c r="J194" s="6"/>
      <c r="K194" s="6"/>
      <c r="L194" s="7" t="s">
        <v>47</v>
      </c>
      <c r="M194" s="8" t="s">
        <v>276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277</v>
      </c>
      <c r="B195" s="7" t="str">
        <f>IF(A195="","",VLOOKUP(A195,DB!A:B,2,0))</f>
        <v>Sync Generator</v>
      </c>
      <c r="C195" s="6"/>
      <c r="D195" s="6"/>
      <c r="E195" s="7" t="s">
        <v>278</v>
      </c>
      <c r="F195" s="6"/>
      <c r="G195" s="6"/>
      <c r="H195" s="7" t="s">
        <v>51</v>
      </c>
      <c r="I195" s="6" t="str">
        <f>IF(H195="","",VLOOKUP(H195,DB!A:B,2,0))</f>
        <v>Miranda D3 (Video)</v>
      </c>
      <c r="J195" s="7">
        <v>6.0</v>
      </c>
      <c r="K195" s="7" t="s">
        <v>279</v>
      </c>
      <c r="L195" s="7" t="s">
        <v>280</v>
      </c>
      <c r="M195" s="8" t="s">
        <v>281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277</v>
      </c>
      <c r="B196" s="7" t="str">
        <f>IF(A196="","",VLOOKUP(A196,DB!A:B,2,0))</f>
        <v>Sync Generator</v>
      </c>
      <c r="C196" s="6"/>
      <c r="D196" s="6"/>
      <c r="E196" s="7" t="s">
        <v>282</v>
      </c>
      <c r="F196" s="6"/>
      <c r="G196" s="6"/>
      <c r="H196" s="7" t="s">
        <v>37</v>
      </c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277</v>
      </c>
      <c r="B197" s="7" t="str">
        <f>IF(A197="","",VLOOKUP(A197,DB!A:B,2,0))</f>
        <v>Sync Generator</v>
      </c>
      <c r="C197" s="6"/>
      <c r="D197" s="6"/>
      <c r="E197" s="7" t="s">
        <v>283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277</v>
      </c>
      <c r="B198" s="7" t="str">
        <f>IF(A198="","",VLOOKUP(A198,DB!A:B,2,0))</f>
        <v>Sync Generator</v>
      </c>
      <c r="C198" s="6"/>
      <c r="D198" s="6"/>
      <c r="E198" s="7" t="s">
        <v>284</v>
      </c>
      <c r="F198" s="6"/>
      <c r="G198" s="6"/>
      <c r="H198" s="7" t="s">
        <v>51</v>
      </c>
      <c r="I198" s="6" t="str">
        <f>IF(H198="","",VLOOKUP(H198,DB!A:B,2,0))</f>
        <v>Miranda D3 (Video)</v>
      </c>
      <c r="J198" s="7">
        <v>1.0</v>
      </c>
      <c r="K198" s="7" t="s">
        <v>144</v>
      </c>
      <c r="L198" s="7" t="s">
        <v>285</v>
      </c>
      <c r="M198" s="8" t="s">
        <v>281</v>
      </c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277</v>
      </c>
      <c r="B199" s="7" t="str">
        <f>IF(A199="","",VLOOKUP(A199,DB!A:B,2,0))</f>
        <v>Sync Generator</v>
      </c>
      <c r="C199" s="6"/>
      <c r="D199" s="6"/>
      <c r="E199" s="7" t="s">
        <v>286</v>
      </c>
      <c r="F199" s="6"/>
      <c r="G199" s="6"/>
      <c r="H199" s="7" t="s">
        <v>40</v>
      </c>
      <c r="I199" s="6" t="str">
        <f>IF(H199="","",VLOOKUP(H199,DB!A:B,2,0))</f>
        <v>ATEM 1 M/E</v>
      </c>
      <c r="J199" s="6"/>
      <c r="K199" s="6"/>
      <c r="L199" s="7" t="s">
        <v>285</v>
      </c>
      <c r="M199" s="8" t="s">
        <v>281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277</v>
      </c>
      <c r="B200" s="7" t="str">
        <f>IF(A200="","",VLOOKUP(A200,DB!A:B,2,0))</f>
        <v>Sync Generator</v>
      </c>
      <c r="C200" s="6"/>
      <c r="D200" s="6"/>
      <c r="E200" s="7" t="s">
        <v>287</v>
      </c>
      <c r="F200" s="6"/>
      <c r="G200" s="6"/>
      <c r="H200" s="7" t="s">
        <v>37</v>
      </c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51</v>
      </c>
      <c r="B201" s="7" t="str">
        <f>IF(A201="","",VLOOKUP(A201,DB!A:B,2,0))</f>
        <v>Miranda D3 (Video)</v>
      </c>
      <c r="C201" s="7">
        <v>6.0</v>
      </c>
      <c r="D201" s="7" t="s">
        <v>279</v>
      </c>
      <c r="E201" s="7" t="s">
        <v>16</v>
      </c>
      <c r="F201" s="7" t="s">
        <v>17</v>
      </c>
      <c r="G201" s="7" t="s">
        <v>280</v>
      </c>
      <c r="H201" s="7" t="s">
        <v>69</v>
      </c>
      <c r="I201" s="6" t="str">
        <f>IF(H201="","",VLOOKUP(H201,DB!A:B,2,0))</f>
        <v>Ikegami BS-80 5</v>
      </c>
      <c r="J201" s="6"/>
      <c r="K201" s="6"/>
      <c r="L201" s="7" t="s">
        <v>285</v>
      </c>
      <c r="M201" s="8" t="s">
        <v>281</v>
      </c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279</v>
      </c>
      <c r="E202" s="7" t="s">
        <v>23</v>
      </c>
      <c r="F202" s="7" t="s">
        <v>17</v>
      </c>
      <c r="G202" s="7" t="s">
        <v>280</v>
      </c>
      <c r="H202" s="7" t="s">
        <v>83</v>
      </c>
      <c r="I202" s="6" t="str">
        <f>IF(H202="","",VLOOKUP(H202,DB!A:B,2,0))</f>
        <v>CopperHead ProHD 1</v>
      </c>
      <c r="J202" s="6"/>
      <c r="K202" s="6"/>
      <c r="L202" s="7" t="s">
        <v>285</v>
      </c>
      <c r="M202" s="8" t="s">
        <v>281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279</v>
      </c>
      <c r="E203" s="7" t="s">
        <v>27</v>
      </c>
      <c r="F203" s="7" t="s">
        <v>17</v>
      </c>
      <c r="G203" s="7" t="s">
        <v>280</v>
      </c>
      <c r="H203" s="7" t="s">
        <v>102</v>
      </c>
      <c r="I203" s="6" t="str">
        <f>IF(H203="","",VLOOKUP(H203,DB!A:B,2,0))</f>
        <v>PC CG</v>
      </c>
      <c r="J203" s="7">
        <v>2.0</v>
      </c>
      <c r="K203" s="7" t="s">
        <v>20</v>
      </c>
      <c r="L203" s="7" t="s">
        <v>285</v>
      </c>
      <c r="M203" s="8" t="s">
        <v>281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279</v>
      </c>
      <c r="E204" s="7" t="s">
        <v>35</v>
      </c>
      <c r="F204" s="7" t="s">
        <v>17</v>
      </c>
      <c r="G204" s="7" t="s">
        <v>280</v>
      </c>
      <c r="H204" s="7" t="s">
        <v>64</v>
      </c>
      <c r="I204" s="6" t="str">
        <f>IF(H204="","",VLOOKUP(H204,DB!A:B,2,0))</f>
        <v>Ikegami BS-80 4</v>
      </c>
      <c r="J204" s="6"/>
      <c r="K204" s="6"/>
      <c r="L204" s="7" t="s">
        <v>285</v>
      </c>
      <c r="M204" s="8" t="s">
        <v>281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279</v>
      </c>
      <c r="E205" s="7" t="s">
        <v>38</v>
      </c>
      <c r="F205" s="7" t="s">
        <v>17</v>
      </c>
      <c r="G205" s="7" t="s">
        <v>280</v>
      </c>
      <c r="H205" s="7" t="s">
        <v>19</v>
      </c>
      <c r="I205" s="6" t="str">
        <f>IF(H205="","",VLOOKUP(H205,DB!A:B,2,0))</f>
        <v>PC Video</v>
      </c>
      <c r="J205" s="7">
        <v>2.0</v>
      </c>
      <c r="K205" s="7" t="s">
        <v>20</v>
      </c>
      <c r="L205" s="7" t="s">
        <v>285</v>
      </c>
      <c r="M205" s="8" t="s">
        <v>281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83</v>
      </c>
      <c r="B206" s="7" t="str">
        <f>IF(A206="","",VLOOKUP(A206,DB!A:B,2,0))</f>
        <v>CopperHead ProHD 1</v>
      </c>
      <c r="C206" s="6"/>
      <c r="D206" s="6"/>
      <c r="E206" s="7" t="s">
        <v>288</v>
      </c>
      <c r="F206" s="7" t="s">
        <v>17</v>
      </c>
      <c r="G206" s="7" t="s">
        <v>285</v>
      </c>
      <c r="H206" s="7" t="s">
        <v>86</v>
      </c>
      <c r="I206" s="6" t="str">
        <f>IF(H206="","",VLOOKUP(H206,DB!A:B,2,0))</f>
        <v>CopperHead ProHD 2</v>
      </c>
      <c r="J206" s="6"/>
      <c r="K206" s="6"/>
      <c r="L206" s="7" t="s">
        <v>285</v>
      </c>
      <c r="M206" s="8" t="s">
        <v>281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86</v>
      </c>
      <c r="B207" s="7" t="str">
        <f>IF(A207="","",VLOOKUP(A207,DB!A:B,2,0))</f>
        <v>CopperHead ProHD 2</v>
      </c>
      <c r="C207" s="6"/>
      <c r="D207" s="6"/>
      <c r="E207" s="7" t="s">
        <v>288</v>
      </c>
      <c r="F207" s="7" t="s">
        <v>17</v>
      </c>
      <c r="G207" s="7" t="s">
        <v>285</v>
      </c>
      <c r="H207" s="7" t="s">
        <v>88</v>
      </c>
      <c r="I207" s="6" t="str">
        <f>IF(H207="","",VLOOKUP(H207,DB!A:B,2,0))</f>
        <v>CopperHead ProHD 3</v>
      </c>
      <c r="J207" s="6"/>
      <c r="K207" s="6"/>
      <c r="L207" s="7" t="s">
        <v>285</v>
      </c>
      <c r="M207" s="8" t="s">
        <v>281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88</v>
      </c>
      <c r="B208" s="7" t="str">
        <f>IF(A208="","",VLOOKUP(A208,DB!A:B,2,0))</f>
        <v>CopperHead ProHD 3</v>
      </c>
      <c r="C208" s="6"/>
      <c r="D208" s="6"/>
      <c r="E208" s="7" t="s">
        <v>288</v>
      </c>
      <c r="F208" s="7" t="s">
        <v>17</v>
      </c>
      <c r="G208" s="7" t="s">
        <v>285</v>
      </c>
      <c r="H208" s="7" t="s">
        <v>76</v>
      </c>
      <c r="I208" s="6" t="str">
        <f>IF(H208="","",VLOOKUP(H208,DB!A:B,2,0))</f>
        <v>HyperDeck Studio Pro</v>
      </c>
      <c r="J208" s="6"/>
      <c r="K208" s="6"/>
      <c r="L208" s="7" t="s">
        <v>285</v>
      </c>
      <c r="M208" s="8" t="s">
        <v>281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8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</sheetData>
  <conditionalFormatting sqref="A1:AC489">
    <cfRule type="cellIs" dxfId="0" priority="1" operator="equal">
      <formula>"N/D"</formula>
    </cfRule>
  </conditionalFormatting>
  <conditionalFormatting sqref="A1:AC489">
    <cfRule type="cellIs" dxfId="1" priority="2" operator="equal">
      <formula>"N/C"</formula>
    </cfRule>
  </conditionalFormatting>
  <conditionalFormatting sqref="A1:AC489">
    <cfRule type="expression" dxfId="2" priority="3">
      <formula>ISEVEN(ROW())</formula>
    </cfRule>
  </conditionalFormatting>
  <dataValidations>
    <dataValidation type="list" allowBlank="1" showErrorMessage="1" sqref="A2:A489 H2:H489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289</v>
      </c>
      <c r="B1" s="18" t="s">
        <v>290</v>
      </c>
      <c r="C1" s="19" t="s">
        <v>291</v>
      </c>
      <c r="D1" s="20" t="s">
        <v>292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293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297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298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299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277</v>
      </c>
      <c r="B13" s="12" t="s">
        <v>301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253</v>
      </c>
      <c r="B14" s="12" t="s">
        <v>254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302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303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304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259</v>
      </c>
      <c r="B20" s="7" t="s">
        <v>307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308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236</v>
      </c>
      <c r="B23" s="23" t="s">
        <v>309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263</v>
      </c>
      <c r="B24" s="10" t="s">
        <v>310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272</v>
      </c>
      <c r="B25" s="16" t="s">
        <v>311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226</v>
      </c>
      <c r="B26" s="12" t="s">
        <v>312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228</v>
      </c>
      <c r="B27" s="16" t="s">
        <v>313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314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232</v>
      </c>
      <c r="B29" s="14" t="s">
        <v>315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240</v>
      </c>
      <c r="B30" s="10" t="s">
        <v>316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317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318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319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320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250</v>
      </c>
      <c r="B42" s="16" t="s">
        <v>321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322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190</v>
      </c>
      <c r="B44" s="7" t="s">
        <v>323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Conexiones!A2:O489,
    IF(A2="""", ROW(Conexiones!A2:A489)^0, ISNUMBER(SEARCH(A2, Conexiones!A2:A489))),
    IF(B2="""", ROW(Conexiones!B2:B489)^0, ISNUMBER(SEARCH(B2, Conexiones!B2:B489))),
    IF(C2="""", ROW(Conexiones!C2:C489)^0, "&amp;"ISNUMBER(SEARCH(C2, Conexiones!C2:C489))),
    IF(D2="""", ROW(Conexiones!D2:D489)^0, ISNUMBER(SEARCH(D2, Conexiones!D2:D489))),
    IF(E2="""", ROW(Conexiones!E2:E489)^0, ISNUMBER(SEARCH(E2, Conexiones!E2:E489))),
    IF(L2="""", ROW(Conexiones!L2:L489)^"&amp;"0, ISNUMBER(SEARCH(L2, Conexiones!L2:L489))),
    IF(F2="""", ROW(Conexiones!F2:F489)^0, ISNUMBER(SEARCH(F2, Conexiones!F2:F489))),
    IF(G2="""", ROW(Conexiones!G2:G489)^0, ISNUMBER(SEARCH(G2, Conexiones!G2:G489))),
    IF(H2="""", ROW(Conexiones!H2:H48"&amp;"9)^0, ISNUMBER(SEARCH(H2, Conexiones!H2:H489))),
    IF(B2="""", ROW(Conexiones!H2:H489)^0, ISNUMBER(SEARCH(B2, Conexiones!H2:H489))),
    IF(I2="""", ROW(Conexiones!I2:I489)^0, ISNUMBER(SEARCH(I2, Conexiones!I2:I489))),
    IF(J2="""", ROW(Conexiones!J2:"&amp;"J489)^0, ISNUMBER(SEARCH(J2, Conexiones!J2:J489))),
    IF(K2="""", ROW(Conexiones!L2:L489)^0, ISNUMBER(SEARCH(K2, Conexiones!L2:L489))),
    IF(M2="""", ROW(Conexiones!M2:M489)^0, ISNUMBER(SEARCH(M2, Conexiones!M2:M489))),
    IF(N2="""", ROW(Conexiones!"&amp;"N2:N489)^0, ISNUMBER(SEARCH(N2, Conexiones!N2:N489))),
    IF(O2="""", ROW(Conexiones!O2:O489)^0, ISNUMBER(SEARCH(O2, Conexiones!O2:O489)))
  ),
  Q2,
  TRUE
)"),"B.9")</f>
        <v>B.9</v>
      </c>
      <c r="B3" s="6" t="str">
        <f>IFERROR(__xludf.DUMMYFUNCTION("""COMPUTED_VALUE"""),"PC CG")</f>
        <v>PC CG</v>
      </c>
      <c r="C3" s="6">
        <f>IFERROR(__xludf.DUMMYFUNCTION("""COMPUTED_VALUE"""),2.0)</f>
        <v>2</v>
      </c>
      <c r="D3" s="6" t="str">
        <f>IFERROR(__xludf.DUMMYFUNCTION("""COMPUTED_VALUE"""),"DeckLink")</f>
        <v>DeckLink</v>
      </c>
      <c r="E3" s="6" t="str">
        <f>IFERROR(__xludf.DUMMYFUNCTION("""COMPUTED_VALUE"""),"P1")</f>
        <v>P1</v>
      </c>
      <c r="F3" s="6"/>
      <c r="G3" s="6"/>
      <c r="H3" s="6" t="str">
        <f>IFERROR(__xludf.DUMMYFUNCTION("""COMPUTED_VALUE"""),"B.1")</f>
        <v>B.1</v>
      </c>
      <c r="I3" s="6" t="str">
        <f>IFERROR(__xludf.DUMMYFUNCTION("""COMPUTED_VALUE"""),"Patch panel")</f>
        <v>Patch panel</v>
      </c>
      <c r="J3" s="6"/>
      <c r="K3" s="6"/>
      <c r="L3" s="6" t="str">
        <f>IFERROR(__xludf.DUMMYFUNCTION("""COMPUTED_VALUE"""),"In 15")</f>
        <v>In 15</v>
      </c>
      <c r="M3" s="9" t="str">
        <f>IFERROR(__xludf.DUMMYFUNCTION("""COMPUTED_VALUE"""),"PC CG")</f>
        <v>PC CG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IFERROR(__xludf.DUMMYFUNCTION("""COMPUTED_VALUE"""),"B.9")</f>
        <v>B.9</v>
      </c>
      <c r="B4" s="6" t="str">
        <f>IFERROR(__xludf.DUMMYFUNCTION("""COMPUTED_VALUE"""),"PC CG")</f>
        <v>PC CG</v>
      </c>
      <c r="C4" s="6">
        <f>IFERROR(__xludf.DUMMYFUNCTION("""COMPUTED_VALUE"""),2.0)</f>
        <v>2</v>
      </c>
      <c r="D4" s="6" t="str">
        <f>IFERROR(__xludf.DUMMYFUNCTION("""COMPUTED_VALUE"""),"DeckLink")</f>
        <v>DeckLink</v>
      </c>
      <c r="E4" s="6" t="str">
        <f>IFERROR(__xludf.DUMMYFUNCTION("""COMPUTED_VALUE"""),"P2")</f>
        <v>P2</v>
      </c>
      <c r="F4" s="6"/>
      <c r="G4" s="6"/>
      <c r="H4" s="6" t="str">
        <f>IFERROR(__xludf.DUMMYFUNCTION("""COMPUTED_VALUE"""),"B.7")</f>
        <v>B.7</v>
      </c>
      <c r="I4" s="6" t="str">
        <f>IFERROR(__xludf.DUMMYFUNCTION("""COMPUTED_VALUE"""),"SmartView (AIRE/PGM)")</f>
        <v>SmartView (AIRE/PGM)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IFERROR(__xludf.DUMMYFUNCTION("""COMPUTED_VALUE"""),"AIRE")</f>
        <v>AIRE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IFERROR(__xludf.DUMMYFUNCTION("""COMPUTED_VALUE"""),"B.9")</f>
        <v>B.9</v>
      </c>
      <c r="B5" s="6" t="str">
        <f>IFERROR(__xludf.DUMMYFUNCTION("""COMPUTED_VALUE"""),"PC CG")</f>
        <v>PC CG</v>
      </c>
      <c r="C5" s="6">
        <f>IFERROR(__xludf.DUMMYFUNCTION("""COMPUTED_VALUE"""),1.0)</f>
        <v>1</v>
      </c>
      <c r="D5" s="6" t="str">
        <f>IFERROR(__xludf.DUMMYFUNCTION("""COMPUTED_VALUE"""),"Soundcard")</f>
        <v>Soundcard</v>
      </c>
      <c r="E5" s="6" t="str">
        <f>IFERROR(__xludf.DUMMYFUNCTION("""COMPUTED_VALUE"""),"Speaker Out")</f>
        <v>Speaker Out</v>
      </c>
      <c r="F5" s="6"/>
      <c r="G5" s="6"/>
      <c r="H5" s="6" t="str">
        <f>IFERROR(__xludf.DUMMYFUNCTION("""COMPUTED_VALUE"""),"D.1")</f>
        <v>D.1</v>
      </c>
      <c r="I5" s="6" t="str">
        <f>IFERROR(__xludf.DUMMYFUNCTION("""COMPUTED_VALUE"""),"Yamaha MG166")</f>
        <v>Yamaha MG166</v>
      </c>
      <c r="J5" s="6"/>
      <c r="K5" s="6"/>
      <c r="L5" s="6" t="str">
        <f>IFERROR(__xludf.DUMMYFUNCTION("""COMPUTED_VALUE"""),"PC CG")</f>
        <v>PC CG</v>
      </c>
      <c r="M5" s="9" t="str">
        <f>IFERROR(__xludf.DUMMYFUNCTION("""COMPUTED_VALUE"""),"AIRE")</f>
        <v>AIRE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