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<sst xmlns="http://schemas.openxmlformats.org/spreadsheetml/2006/main" count="961" uniqueCount="268">
  <si>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</si>
  <si>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</si>
  <si>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</si>
  <si>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</si>
  <si>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</si>
  <si>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</si>
  <si>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</si>
  <si>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</si>
  <si>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</si>
  <si>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</si>
  <si>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</si>
  <si>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</si>
  <si>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</si>
  <si>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</si>
  <si>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</si>
  <si>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</si>
  <si>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</si>
  <si>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</si>
  <si>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</si>
  <si>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</si>
  <si>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</si>
  <si>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</si>
  <si>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</si>
  <si>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</si>
  <si>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</si>
  <si>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</si>
  <si>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</si>
  <si>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</si>
  <si>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</si>
  <si>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</si>
  <si>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</si>
  <si>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</si>
  <si>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</si>
  <si>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</si>
  <si>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</si>
  <si>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</si>
  <si>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</si>
  <si>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</si>
  <si>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</si>
  <si>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</si>
  <si>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</si>
  <si>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</si>
  <si>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</si>
  <si>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</si>
  <si>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</si>
  <si>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</si>
  <si>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</si>
  <si>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</si>
  <si>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</si>
  <si>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</si>
  <si>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</si>
  <si>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</si>
  <si>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</si>
  <si>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</si>
  <si>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</si>
  <si>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</si>
  <si>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</si>
  <si>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</si>
  <si>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</si>
  <si>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</si>
  <si>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</si>
  <si>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</si>
  <si>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</si>
  <si>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</si>
  <si>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</si>
  <si>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</si>
  <si>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</si>
  <si>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</si>
  <si>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</si>
  <si>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</si>
  <si>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</si>
  <si>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</si>
  <si>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</si>
  <si>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</si>
  <si>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</si>
  <si>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</si>
  <si>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</si>
  <si>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</si>
  <si>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</si>
  <si>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</si>
  <si>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</si>
  <si>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Out 18</t>
  </si>
  <si>
    <t>In 18</t>
  </si>
  <si>
    <t>Ext.1</t>
  </si>
  <si>
    <t>V4</t>
  </si>
  <si>
    <t>I/O 10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</si>
  <si>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</si>
  <si>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</si>
  <si>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</si>
  <si>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</si>
  <si>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</si>
  <si>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</si>
  <si>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</si>
  <si>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</si>
  <si>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</si>
  <si>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</si>
  <si>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</si>
  <si>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</si>
  <si>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</si>
  <si>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</si>
  <si>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V3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</si>
  <si>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</si>
  <si>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</si>
  <si>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</si>
  <si>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</si>
  <si>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</si>
  <si>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</si>
  <si>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</si>
  <si>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</si>
  <si>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</si>
  <si>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</si>
  <si>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</si>
  <si>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</si>
  <si>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</si>
  <si>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Embedder</t>
  </si>
  <si>
    <t>SDI In 3</t>
  </si>
  <si>
    <t>SDI In 4</t>
  </si>
  <si>
    <t>B.7</t>
  </si>
  <si>
    <t>SDI In 1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</si>
  <si>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</si>
  <si>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</si>
  <si>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</si>
  <si>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</si>
  <si>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</si>
  <si>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</si>
  <si>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</si>
  <si>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</si>
  <si>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V11</t>
  </si>
  <si>
    <t>B1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</si>
  <si>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</si>
  <si>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</si>
  <si>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</si>
  <si>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</si>
  <si>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</si>
  <si>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</si>
  <si>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</si>
  <si>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</si>
  <si>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</si>
  <si>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</si>
  <si>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</si>
  <si>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</si>
  <si>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</si>
  <si>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</si>
  <si>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</si>
  <si>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</si>
  <si>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</si>
  <si>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</si>
  <si>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</si>
  <si>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</si>
  <si>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</si>
  <si>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</si>
  <si>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</si>
  <si>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</si>
  <si>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</si>
  <si>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</si>
  <si>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</si>
  <si>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</si>
  <si>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</si>
  <si>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</si>
  <si>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</si>
  <si>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</si>
  <si>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</si>
  <si>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</si>
  <si>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</si>
  <si>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</si>
  <si>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</si>
  <si>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</si>
  <si>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</si>
  <si>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IN 7</t>
  </si>
  <si>
    <t>V2</t>
  </si>
  <si>
    <t>IN 8</t>
  </si>
  <si>
    <t>Ext.2</t>
  </si>
  <si>
    <t>IN 1</t>
  </si>
  <si>
    <t>IN 2</t>
  </si>
  <si>
    <t>IN 3</t>
  </si>
  <si>
    <t>IN 4</t>
  </si>
  <si>
    <t>IN 5</t>
  </si>
  <si>
    <t>IN 6</t>
  </si>
  <si>
    <t>IN 9</t>
  </si>
  <si>
    <t>XLR Orden 1</t>
  </si>
  <si>
    <t>Orden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</si>
  <si>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</si>
  <si>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</si>
  <si>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</si>
  <si>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</si>
  <si>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</si>
  <si>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</si>
  <si>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</si>
  <si>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</si>
  <si>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</si>
  <si>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</si>
  <si>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</si>
  <si>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</si>
  <si>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</si>
  <si>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</si>
  <si>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</si>
  <si>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</si>
  <si>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Preview</t>
  </si>
  <si>
    <t>D.5</t>
  </si>
  <si>
    <t>D.6</t>
  </si>
  <si>
    <t>AIRE OUT</t>
  </si>
  <si>
    <t>AUX 1</t>
  </si>
  <si>
    <t>AUX 2</t>
  </si>
  <si>
    <t>AUX 3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</si>
  <si>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</si>
  <si>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</si>
  <si>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</si>
  <si>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</si>
  <si>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</si>
  <si>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</si>
  <si>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</si>
  <si>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</si>
  <si>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</si>
  <si>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</si>
  <si>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</si>
  <si>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</si>
  <si>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</si>
  <si>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</si>
  <si>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</si>
  <si>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</si>
  <si>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</si>
  <si>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</si>
  <si>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</si>
  <si>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</si>
  <si>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</si>
  <si>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</si>
  <si>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</si>
  <si>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</si>
  <si>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</si>
  <si>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</si>
  <si>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</si>
  <si>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</si>
  <si>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</si>
  <si>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</si>
  <si>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</si>
  <si>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</si>
  <si>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Remoto CCU 1</t>
  </si>
  <si>
    <t>D.10</t>
  </si>
  <si>
    <t>Remoto CCU 2</t>
  </si>
  <si>
    <t>D.11</t>
  </si>
  <si>
    <t>Remoto CCU 3</t>
  </si>
  <si>
    <t>D.12</t>
  </si>
  <si>
    <t>Remoto CCU 4</t>
  </si>
  <si>
    <t>D.13</t>
  </si>
  <si>
    <t>Remoto CCU 5</t>
  </si>
  <si>
    <t>D.14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</si>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</sst>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15</v>
      </c>
      <c r="B19" s="7" t="str">
        <f>IF(A19="","",VLOOKUP(A19,DB!A:B,2,0))</f>
        <v>Patch panel</v>
      </c>
      <c r="C19" s="6"/>
      <c r="D19" s="6"/>
      <c r="E19" s="7" t="s">
        <v>81</v>
      </c>
      <c r="F19" s="7" t="s">
        <v>17</v>
      </c>
      <c r="G19" s="7" t="s">
        <v>82</v>
      </c>
      <c r="H19" s="7" t="s">
        <v>83</v>
      </c>
      <c r="I19" s="6" t="str">
        <f>IF(H19="","",VLOOKUP(H19,DB!A:B,2,0))</f>
        <v>Patchera Externa Video</v>
      </c>
      <c r="J19" s="6"/>
      <c r="K19" s="6"/>
      <c r="L19" s="7" t="s">
        <v>84</v>
      </c>
      <c r="M19" s="8" t="s">
        <v>85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65</v>
      </c>
      <c r="B20" s="7" t="str">
        <f>IF(A20="","",VLOOKUP(A20,DB!A:B,2,0))</f>
        <v>Ikegami BS-80 4</v>
      </c>
      <c r="C20" s="6"/>
      <c r="D20" s="6"/>
      <c r="E20" s="7" t="s">
        <v>86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18</v>
      </c>
      <c r="M20" s="8" t="s">
        <v>87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70</v>
      </c>
      <c r="B21" s="7" t="str">
        <f>IF(A21="","",VLOOKUP(A21,DB!A:B,2,0))</f>
        <v>Ikegami BS-80 5</v>
      </c>
      <c r="C21" s="6"/>
      <c r="D21" s="6"/>
      <c r="E21" s="7" t="s">
        <v>86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24</v>
      </c>
      <c r="M21" s="8" t="s">
        <v>88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89</v>
      </c>
      <c r="B22" s="7" t="str">
        <f>IF(A22="","",VLOOKUP(A22,DB!A:B,2,0))</f>
        <v>Telecast CopperHead ProHD 1</v>
      </c>
      <c r="C22" s="6"/>
      <c r="D22" s="6"/>
      <c r="E22" s="7" t="s">
        <v>90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28</v>
      </c>
      <c r="M22" s="8" t="s">
        <v>91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92</v>
      </c>
      <c r="B23" s="7" t="str">
        <f>IF(A23="","",VLOOKUP(A23,DB!A:B,2,0))</f>
        <v>Telecast CopperHead ProHD 2</v>
      </c>
      <c r="C23" s="6"/>
      <c r="D23" s="6"/>
      <c r="E23" s="7" t="s">
        <v>90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32</v>
      </c>
      <c r="M23" s="8" t="s">
        <v>93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94</v>
      </c>
      <c r="B24" s="7" t="str">
        <f>IF(A24="","",VLOOKUP(A24,DB!A:B,2,0))</f>
        <v>Telecast CopperHead ProHD 3</v>
      </c>
      <c r="C24" s="6"/>
      <c r="D24" s="6"/>
      <c r="E24" s="7" t="s">
        <v>90</v>
      </c>
      <c r="F24" s="6"/>
      <c r="G24" s="6"/>
      <c r="H24" s="7" t="s">
        <v>15</v>
      </c>
      <c r="I24" s="6" t="str">
        <f>IF(H24="","",VLOOKUP(H24,DB!A:B,2,0))</f>
        <v>Patch panel</v>
      </c>
      <c r="J24" s="6"/>
      <c r="K24" s="6"/>
      <c r="L24" s="7" t="s">
        <v>36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Miranda Densite3</v>
      </c>
      <c r="C25" s="7">
        <v>5.0</v>
      </c>
      <c r="D25" s="7" t="s">
        <v>97</v>
      </c>
      <c r="E25" s="7" t="s">
        <v>98</v>
      </c>
      <c r="F25" s="7" t="s">
        <v>17</v>
      </c>
      <c r="G25" s="7" t="s">
        <v>99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39</v>
      </c>
      <c r="M25" s="8" t="s">
        <v>41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96</v>
      </c>
      <c r="B26" s="7" t="str">
        <f>IF(A26="","",VLOOKUP(A26,DB!A:B,2,0))</f>
        <v>Miranda Densite3</v>
      </c>
      <c r="C26" s="7">
        <v>6.0</v>
      </c>
      <c r="D26" s="7" t="s">
        <v>97</v>
      </c>
      <c r="E26" s="7" t="s">
        <v>98</v>
      </c>
      <c r="F26" s="7" t="s">
        <v>17</v>
      </c>
      <c r="G26" s="7" t="s">
        <v>99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41</v>
      </c>
      <c r="M26" s="8" t="s">
        <v>44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83</v>
      </c>
      <c r="B27" s="7" t="str">
        <f>IF(A27="","",VLOOKUP(A27,DB!A:B,2,0))</f>
        <v>Patchera Externa Video</v>
      </c>
      <c r="C27" s="6"/>
      <c r="D27" s="6"/>
      <c r="E27" s="7" t="s">
        <v>100</v>
      </c>
      <c r="F27" s="7" t="s">
        <v>17</v>
      </c>
      <c r="G27" s="7" t="s">
        <v>100</v>
      </c>
      <c r="H27" s="7" t="s">
        <v>15</v>
      </c>
      <c r="I27" s="6" t="str">
        <f>IF(H27="","",VLOOKUP(H27,DB!A:B,2,0))</f>
        <v>Patch panel</v>
      </c>
      <c r="J27" s="6"/>
      <c r="K27" s="6"/>
      <c r="L27" s="7" t="s">
        <v>44</v>
      </c>
      <c r="M27" s="8" t="s">
        <v>47</v>
      </c>
      <c r="N27" s="8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37</v>
      </c>
      <c r="B28" s="7" t="str">
        <f>IF(A28="","",VLOOKUP(A28,DB!A:B,2,0))</f>
        <v/>
      </c>
      <c r="C28" s="6"/>
      <c r="D28" s="6"/>
      <c r="E28" s="6"/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47</v>
      </c>
      <c r="M28" s="8"/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101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51</v>
      </c>
      <c r="M29" s="8" t="s">
        <v>102</v>
      </c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103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57</v>
      </c>
      <c r="M30" s="8" t="s">
        <v>104</v>
      </c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40</v>
      </c>
      <c r="B31" s="7" t="str">
        <f>IF(A31="","",VLOOKUP(A31,DB!A:B,2,0))</f>
        <v>ATEM 1 Production Studio</v>
      </c>
      <c r="C31" s="6"/>
      <c r="D31" s="6"/>
      <c r="E31" s="7" t="s">
        <v>105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61</v>
      </c>
      <c r="M31" s="8" t="s">
        <v>106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64</v>
      </c>
      <c r="M32" s="8"/>
      <c r="N32" s="9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37</v>
      </c>
      <c r="B33" s="7" t="str">
        <f>IF(A33="","",VLOOKUP(A33,DB!A:B,2,0))</f>
        <v/>
      </c>
      <c r="C33" s="7"/>
      <c r="D33" s="7"/>
      <c r="E33" s="7"/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69</v>
      </c>
      <c r="M33" s="8"/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107</v>
      </c>
      <c r="B34" s="7" t="str">
        <f>IF(A34="","",VLOOKUP(A34,DB!A:B,2,0))</f>
        <v>PC CG</v>
      </c>
      <c r="C34" s="7">
        <v>1.0</v>
      </c>
      <c r="D34" s="7" t="s">
        <v>20</v>
      </c>
      <c r="E34" s="7" t="s">
        <v>21</v>
      </c>
      <c r="F34" s="6"/>
      <c r="G34" s="6"/>
      <c r="H34" s="7" t="s">
        <v>15</v>
      </c>
      <c r="I34" s="6" t="str">
        <f>IF(H34="","",VLOOKUP(H34,DB!A:B,2,0))</f>
        <v>Patch panel</v>
      </c>
      <c r="J34" s="6"/>
      <c r="K34" s="6"/>
      <c r="L34" s="7" t="s">
        <v>73</v>
      </c>
      <c r="M34" s="8" t="s">
        <v>108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109</v>
      </c>
      <c r="B35" s="7" t="str">
        <f>IF(A35="","",VLOOKUP(A35,DB!A:B,2,0))</f>
        <v>Blackmagic SmartScope Duo</v>
      </c>
      <c r="C35" s="6"/>
      <c r="D35" s="6"/>
      <c r="E35" s="7" t="s">
        <v>86</v>
      </c>
      <c r="F35" s="7" t="s">
        <v>17</v>
      </c>
      <c r="G35" s="7" t="s">
        <v>110</v>
      </c>
      <c r="H35" s="7" t="s">
        <v>15</v>
      </c>
      <c r="I35" s="6" t="str">
        <f>IF(H35="","",VLOOKUP(H35,DB!A:B,2,0))</f>
        <v>Patch panel</v>
      </c>
      <c r="J35" s="6"/>
      <c r="K35" s="6"/>
      <c r="L35" s="7" t="s">
        <v>76</v>
      </c>
      <c r="M35" s="8" t="s">
        <v>111</v>
      </c>
      <c r="N35" s="8" t="s">
        <v>111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77</v>
      </c>
      <c r="B36" s="7" t="str">
        <f>IF(A36="","",VLOOKUP(A36,DB!A:B,2,0))</f>
        <v>Blackmagic HyperDeck Studio Pro</v>
      </c>
      <c r="C36" s="7"/>
      <c r="D36" s="7"/>
      <c r="E36" s="7" t="s">
        <v>112</v>
      </c>
      <c r="F36" s="6"/>
      <c r="G36" s="6"/>
      <c r="H36" s="7" t="s">
        <v>15</v>
      </c>
      <c r="I36" s="6" t="str">
        <f>IF(H36="","",VLOOKUP(H36,DB!A:B,2,0))</f>
        <v>Patch panel</v>
      </c>
      <c r="J36" s="6"/>
      <c r="K36" s="6"/>
      <c r="L36" s="7" t="s">
        <v>80</v>
      </c>
      <c r="M36" s="8" t="s">
        <v>113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37</v>
      </c>
      <c r="B37" s="7" t="str">
        <f>IF(A37="","",VLOOKUP(A37,DB!A:B,2,0))</f>
        <v/>
      </c>
      <c r="C37" s="7"/>
      <c r="D37" s="7"/>
      <c r="E37" s="7"/>
      <c r="F37" s="6"/>
      <c r="G37" s="6"/>
      <c r="H37" s="7" t="s">
        <v>15</v>
      </c>
      <c r="I37" s="6" t="str">
        <f>IF(H37="","",VLOOKUP(H37,DB!A:B,2,0))</f>
        <v>Patch panel</v>
      </c>
      <c r="J37" s="6"/>
      <c r="K37" s="6"/>
      <c r="L37" s="7" t="s">
        <v>82</v>
      </c>
      <c r="M37" s="8"/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40</v>
      </c>
      <c r="B38" s="7" t="str">
        <f>IF(A38="","",VLOOKUP(A38,DB!A:B,2,0))</f>
        <v>ATEM 1 Production Studio</v>
      </c>
      <c r="C38" s="6"/>
      <c r="D38" s="6"/>
      <c r="E38" s="7" t="s">
        <v>90</v>
      </c>
      <c r="F38" s="6"/>
      <c r="G38" s="6"/>
      <c r="H38" s="7" t="s">
        <v>96</v>
      </c>
      <c r="I38" s="6" t="str">
        <f>IF(H38="","",VLOOKUP(H38,DB!A:B,2,0))</f>
        <v>Miranda Densite3</v>
      </c>
      <c r="J38" s="7">
        <v>1.0</v>
      </c>
      <c r="K38" s="7" t="s">
        <v>114</v>
      </c>
      <c r="L38" s="7" t="s">
        <v>99</v>
      </c>
      <c r="M38" s="9"/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89</v>
      </c>
      <c r="B39" s="7" t="str">
        <f>IF(A39="","",VLOOKUP(A39,DB!A:B,2,0))</f>
        <v>Telecast CopperHead ProHD 1</v>
      </c>
      <c r="C39" s="6"/>
      <c r="D39" s="6"/>
      <c r="E39" s="7" t="s">
        <v>86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110</v>
      </c>
      <c r="M39" s="9"/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92</v>
      </c>
      <c r="B40" s="7" t="str">
        <f>IF(A40="","",VLOOKUP(A40,DB!A:B,2,0))</f>
        <v>Telecast CopperHead ProHD 2</v>
      </c>
      <c r="C40" s="6"/>
      <c r="D40" s="6"/>
      <c r="E40" s="7" t="s">
        <v>86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115</v>
      </c>
      <c r="M40" s="9"/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94</v>
      </c>
      <c r="B41" s="7" t="str">
        <f>IF(A41="","",VLOOKUP(A41,DB!A:B,2,0))</f>
        <v>Telecast CopperHead ProHD 3</v>
      </c>
      <c r="C41" s="6"/>
      <c r="D41" s="6"/>
      <c r="E41" s="7" t="s">
        <v>86</v>
      </c>
      <c r="F41" s="6"/>
      <c r="G41" s="6"/>
      <c r="H41" s="7" t="s">
        <v>40</v>
      </c>
      <c r="I41" s="6" t="str">
        <f>IF(H41="","",VLOOKUP(H41,DB!A:B,2,0))</f>
        <v>ATEM 1 Production Studio</v>
      </c>
      <c r="J41" s="6"/>
      <c r="K41" s="6"/>
      <c r="L41" s="7" t="s">
        <v>116</v>
      </c>
      <c r="M41" s="9"/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117</v>
      </c>
      <c r="B42" s="7" t="str">
        <f>IF(A42="","",VLOOKUP(A42,DB!A:B,2,0))</f>
        <v>Blackmagic SmartView Duo</v>
      </c>
      <c r="C42" s="6"/>
      <c r="D42" s="6"/>
      <c r="E42" s="7" t="s">
        <v>86</v>
      </c>
      <c r="F42" s="7" t="s">
        <v>17</v>
      </c>
      <c r="G42" s="7" t="s">
        <v>110</v>
      </c>
      <c r="H42" s="7" t="s">
        <v>109</v>
      </c>
      <c r="I42" s="6" t="str">
        <f>IF(H42="","",VLOOKUP(H42,DB!A:B,2,0))</f>
        <v>Blackmagic SmartScope Duo</v>
      </c>
      <c r="J42" s="6"/>
      <c r="K42" s="6"/>
      <c r="L42" s="7" t="s">
        <v>118</v>
      </c>
      <c r="M42" s="9"/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19</v>
      </c>
      <c r="B43" s="7" t="str">
        <f>IF(A43="","",VLOOKUP(A43,DB!A:B,2,0))</f>
        <v>PC Video</v>
      </c>
      <c r="C43" s="7">
        <v>1.0</v>
      </c>
      <c r="D43" s="7" t="s">
        <v>119</v>
      </c>
      <c r="E43" s="7" t="s">
        <v>120</v>
      </c>
      <c r="F43" s="6"/>
      <c r="G43" s="6"/>
      <c r="H43" s="7" t="s">
        <v>40</v>
      </c>
      <c r="I43" s="6" t="str">
        <f>IF(H43="","",VLOOKUP(H43,DB!A:B,2,0))</f>
        <v>ATEM 1 Production Studio</v>
      </c>
      <c r="J43" s="6"/>
      <c r="K43" s="6"/>
      <c r="L43" s="7" t="s">
        <v>121</v>
      </c>
      <c r="M43" s="9"/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107</v>
      </c>
      <c r="B44" s="7" t="str">
        <f>IF(A44="","",VLOOKUP(A44,DB!A:B,2,0))</f>
        <v>PC CG</v>
      </c>
      <c r="C44" s="7">
        <v>1.0</v>
      </c>
      <c r="D44" s="7" t="s">
        <v>20</v>
      </c>
      <c r="E44" s="7" t="s">
        <v>25</v>
      </c>
      <c r="F44" s="6"/>
      <c r="G44" s="6"/>
      <c r="H44" s="7" t="s">
        <v>117</v>
      </c>
      <c r="I44" s="6" t="str">
        <f>IF(H44="","",VLOOKUP(H44,DB!A:B,2,0))</f>
        <v>Blackmagic SmartView Duo</v>
      </c>
      <c r="J44" s="6"/>
      <c r="K44" s="6"/>
      <c r="L44" s="7" t="s">
        <v>118</v>
      </c>
      <c r="M44" s="9"/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52</v>
      </c>
      <c r="B45" s="7" t="str">
        <f>IF(A45="","",VLOOKUP(A45,DB!A:B,2,0))</f>
        <v>Miranda Densite3</v>
      </c>
      <c r="C45" s="7">
        <v>7.0</v>
      </c>
      <c r="D45" s="7" t="s">
        <v>53</v>
      </c>
      <c r="E45" s="7" t="s">
        <v>122</v>
      </c>
      <c r="F45" s="7" t="s">
        <v>17</v>
      </c>
      <c r="G45" s="7" t="s">
        <v>54</v>
      </c>
      <c r="H45" s="7" t="s">
        <v>65</v>
      </c>
      <c r="I45" s="6" t="str">
        <f>IF(H45="","",VLOOKUP(H45,DB!A:B,2,0))</f>
        <v>Ikegami BS-80 4</v>
      </c>
      <c r="J45" s="6"/>
      <c r="K45" s="6"/>
      <c r="L45" s="7" t="s">
        <v>123</v>
      </c>
      <c r="M45" s="9"/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8.0</v>
      </c>
      <c r="D46" s="7" t="s">
        <v>53</v>
      </c>
      <c r="E46" s="7" t="s">
        <v>122</v>
      </c>
      <c r="F46" s="7" t="s">
        <v>17</v>
      </c>
      <c r="G46" s="7" t="s">
        <v>54</v>
      </c>
      <c r="H46" s="7" t="s">
        <v>94</v>
      </c>
      <c r="I46" s="6" t="str">
        <f>IF(H46="","",VLOOKUP(H46,DB!A:B,2,0))</f>
        <v>Telecast CopperHead ProHD 3</v>
      </c>
      <c r="J46" s="6"/>
      <c r="K46" s="6"/>
      <c r="L46" s="7" t="s">
        <v>99</v>
      </c>
      <c r="M46" s="9"/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5.0</v>
      </c>
      <c r="D47" s="7" t="s">
        <v>124</v>
      </c>
      <c r="E47" s="7" t="s">
        <v>122</v>
      </c>
      <c r="F47" s="7" t="s">
        <v>17</v>
      </c>
      <c r="G47" s="7" t="s">
        <v>54</v>
      </c>
      <c r="H47" s="7" t="s">
        <v>117</v>
      </c>
      <c r="I47" s="6" t="str">
        <f>IF(H47="","",VLOOKUP(H47,DB!A:B,2,0))</f>
        <v>Blackmagic SmartView Duo</v>
      </c>
      <c r="J47" s="6"/>
      <c r="K47" s="6"/>
      <c r="L47" s="7" t="s">
        <v>110</v>
      </c>
      <c r="M47" s="9"/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7.0</v>
      </c>
      <c r="D48" s="7" t="s">
        <v>53</v>
      </c>
      <c r="E48" s="7" t="s">
        <v>125</v>
      </c>
      <c r="F48" s="7" t="s">
        <v>17</v>
      </c>
      <c r="G48" s="7" t="s">
        <v>54</v>
      </c>
      <c r="H48" s="7" t="s">
        <v>89</v>
      </c>
      <c r="I48" s="6" t="str">
        <f>IF(H48="","",VLOOKUP(H48,DB!A:B,2,0))</f>
        <v>Telecast CopperHead ProHD 1</v>
      </c>
      <c r="J48" s="6"/>
      <c r="K48" s="6"/>
      <c r="L48" s="7" t="s">
        <v>99</v>
      </c>
      <c r="M48" s="9"/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5.0</v>
      </c>
      <c r="D49" s="7" t="s">
        <v>124</v>
      </c>
      <c r="E49" s="7" t="s">
        <v>125</v>
      </c>
      <c r="F49" s="7" t="s">
        <v>17</v>
      </c>
      <c r="G49" s="7" t="s">
        <v>54</v>
      </c>
      <c r="H49" s="7" t="s">
        <v>107</v>
      </c>
      <c r="I49" s="6" t="str">
        <f>IF(H49="","",VLOOKUP(H49,DB!A:B,2,0))</f>
        <v>PC CG</v>
      </c>
      <c r="J49" s="7">
        <v>1.0</v>
      </c>
      <c r="K49" s="7" t="s">
        <v>20</v>
      </c>
      <c r="L49" s="7" t="s">
        <v>29</v>
      </c>
      <c r="M49" s="9"/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7.0</v>
      </c>
      <c r="D50" s="7" t="s">
        <v>53</v>
      </c>
      <c r="E50" s="7" t="s">
        <v>126</v>
      </c>
      <c r="F50" s="7" t="s">
        <v>17</v>
      </c>
      <c r="G50" s="7" t="s">
        <v>54</v>
      </c>
      <c r="H50" s="7" t="s">
        <v>83</v>
      </c>
      <c r="I50" s="6" t="str">
        <f>IF(H50="","",VLOOKUP(H50,DB!A:B,2,0))</f>
        <v>Patchera Externa Video</v>
      </c>
      <c r="J50" s="6"/>
      <c r="K50" s="6"/>
      <c r="L50" s="7" t="s">
        <v>127</v>
      </c>
      <c r="M50" s="7" t="s">
        <v>101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8.0</v>
      </c>
      <c r="D51" s="7" t="s">
        <v>53</v>
      </c>
      <c r="E51" s="7" t="s">
        <v>128</v>
      </c>
      <c r="F51" s="7" t="s">
        <v>17</v>
      </c>
      <c r="G51" s="7" t="s">
        <v>58</v>
      </c>
      <c r="H51" s="7" t="s">
        <v>70</v>
      </c>
      <c r="I51" s="6" t="str">
        <f>IF(H51="","",VLOOKUP(H51,DB!A:B,2,0))</f>
        <v>Ikegami BS-80 5</v>
      </c>
      <c r="J51" s="6"/>
      <c r="K51" s="6"/>
      <c r="L51" s="7" t="s">
        <v>123</v>
      </c>
      <c r="M51" s="9"/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8.0</v>
      </c>
      <c r="D52" s="7" t="s">
        <v>53</v>
      </c>
      <c r="E52" s="7" t="s">
        <v>129</v>
      </c>
      <c r="F52" s="7" t="s">
        <v>17</v>
      </c>
      <c r="G52" s="7" t="s">
        <v>58</v>
      </c>
      <c r="H52" s="7" t="s">
        <v>92</v>
      </c>
      <c r="I52" s="6" t="str">
        <f>IF(H52="","",VLOOKUP(H52,DB!A:B,2,0))</f>
        <v>Telecast CopperHead ProHD 2</v>
      </c>
      <c r="J52" s="6"/>
      <c r="K52" s="6"/>
      <c r="L52" s="7" t="s">
        <v>99</v>
      </c>
      <c r="M52" s="9"/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5.0</v>
      </c>
      <c r="D53" s="7" t="s">
        <v>124</v>
      </c>
      <c r="E53" s="7" t="s">
        <v>129</v>
      </c>
      <c r="F53" s="7" t="s">
        <v>17</v>
      </c>
      <c r="G53" s="7" t="s">
        <v>54</v>
      </c>
      <c r="H53" s="7" t="s">
        <v>83</v>
      </c>
      <c r="I53" s="6" t="str">
        <f>IF(H53="","",VLOOKUP(H53,DB!A:B,2,0))</f>
        <v>Patchera Externa Video</v>
      </c>
      <c r="J53" s="6"/>
      <c r="K53" s="6"/>
      <c r="L53" s="7" t="s">
        <v>130</v>
      </c>
      <c r="M53" s="8" t="s">
        <v>111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7.0</v>
      </c>
      <c r="D54" s="7" t="s">
        <v>53</v>
      </c>
      <c r="E54" s="7" t="s">
        <v>129</v>
      </c>
      <c r="F54" s="7" t="s">
        <v>17</v>
      </c>
      <c r="G54" s="7" t="s">
        <v>58</v>
      </c>
      <c r="H54" s="7" t="s">
        <v>83</v>
      </c>
      <c r="I54" s="6" t="str">
        <f>IF(H54="","",VLOOKUP(H54,DB!A:B,2,0))</f>
        <v>Patchera Externa Video</v>
      </c>
      <c r="J54" s="6"/>
      <c r="K54" s="6"/>
      <c r="L54" s="7" t="s">
        <v>131</v>
      </c>
      <c r="M54" s="7" t="s">
        <v>132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5.0</v>
      </c>
      <c r="D55" s="7" t="s">
        <v>124</v>
      </c>
      <c r="E55" s="7" t="s">
        <v>133</v>
      </c>
      <c r="F55" s="7" t="s">
        <v>17</v>
      </c>
      <c r="G55" s="7" t="s">
        <v>54</v>
      </c>
      <c r="H55" s="7" t="s">
        <v>83</v>
      </c>
      <c r="I55" s="6" t="str">
        <f>IF(H55="","",VLOOKUP(H55,DB!A:B,2,0))</f>
        <v>Patchera Externa Video</v>
      </c>
      <c r="J55" s="6"/>
      <c r="K55" s="6"/>
      <c r="L55" s="7" t="s">
        <v>134</v>
      </c>
      <c r="M55" s="8" t="s">
        <v>111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7.0</v>
      </c>
      <c r="D56" s="7" t="s">
        <v>53</v>
      </c>
      <c r="E56" s="7" t="s">
        <v>133</v>
      </c>
      <c r="F56" s="7" t="s">
        <v>17</v>
      </c>
      <c r="G56" s="7" t="s">
        <v>58</v>
      </c>
      <c r="H56" s="7" t="s">
        <v>83</v>
      </c>
      <c r="I56" s="6" t="str">
        <f>IF(H56="","",VLOOKUP(H56,DB!A:B,2,0))</f>
        <v>Patchera Externa Video</v>
      </c>
      <c r="J56" s="6"/>
      <c r="K56" s="6"/>
      <c r="L56" s="7" t="s">
        <v>135</v>
      </c>
      <c r="M56" s="7" t="s">
        <v>132</v>
      </c>
      <c r="N56" s="9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8.0</v>
      </c>
      <c r="D57" s="7" t="s">
        <v>53</v>
      </c>
      <c r="E57" s="7" t="s">
        <v>133</v>
      </c>
      <c r="F57" s="7" t="s">
        <v>17</v>
      </c>
      <c r="G57" s="7" t="s">
        <v>58</v>
      </c>
      <c r="H57" s="7" t="s">
        <v>83</v>
      </c>
      <c r="I57" s="6" t="str">
        <f>IF(H57="","",VLOOKUP(H57,DB!A:B,2,0))</f>
        <v>Patchera Externa Video</v>
      </c>
      <c r="J57" s="6"/>
      <c r="K57" s="6"/>
      <c r="L57" s="7" t="s">
        <v>136</v>
      </c>
      <c r="M57" s="7" t="s">
        <v>103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5.0</v>
      </c>
      <c r="D58" s="7" t="s">
        <v>124</v>
      </c>
      <c r="E58" s="7" t="s">
        <v>137</v>
      </c>
      <c r="F58" s="7" t="s">
        <v>17</v>
      </c>
      <c r="G58" s="7" t="s">
        <v>54</v>
      </c>
      <c r="H58" s="7" t="s">
        <v>83</v>
      </c>
      <c r="I58" s="6" t="str">
        <f>IF(H58="","",VLOOKUP(H58,DB!A:B,2,0))</f>
        <v>Patchera Externa Video</v>
      </c>
      <c r="J58" s="6"/>
      <c r="K58" s="6"/>
      <c r="L58" s="7" t="s">
        <v>138</v>
      </c>
      <c r="M58" s="8" t="s">
        <v>111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7.0</v>
      </c>
      <c r="D59" s="7" t="s">
        <v>53</v>
      </c>
      <c r="E59" s="7" t="s">
        <v>137</v>
      </c>
      <c r="F59" s="7" t="s">
        <v>17</v>
      </c>
      <c r="G59" s="7" t="s">
        <v>58</v>
      </c>
      <c r="H59" s="7" t="s">
        <v>139</v>
      </c>
      <c r="I59" s="6" t="str">
        <f>IF(H59="","",VLOOKUP(H59,DB!A:B,2,0))</f>
        <v>Monitor Aire</v>
      </c>
      <c r="J59" s="6"/>
      <c r="K59" s="6"/>
      <c r="L59" s="7" t="s">
        <v>99</v>
      </c>
      <c r="M59" s="9"/>
      <c r="N59" s="9"/>
      <c r="O59" s="7" t="s">
        <v>140</v>
      </c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52</v>
      </c>
      <c r="B60" s="7" t="str">
        <f>IF(A60="","",VLOOKUP(A60,DB!A:B,2,0))</f>
        <v>Miranda Densite3</v>
      </c>
      <c r="C60" s="7">
        <v>1.0</v>
      </c>
      <c r="D60" s="7" t="s">
        <v>141</v>
      </c>
      <c r="E60" s="7" t="s">
        <v>98</v>
      </c>
      <c r="F60" s="7" t="s">
        <v>17</v>
      </c>
      <c r="G60" s="7" t="s">
        <v>99</v>
      </c>
      <c r="H60" s="7" t="s">
        <v>52</v>
      </c>
      <c r="I60" s="6" t="str">
        <f>IF(H60="","",VLOOKUP(H60,DB!A:B,2,0))</f>
        <v>Miranda Densite3</v>
      </c>
      <c r="J60" s="7">
        <v>5.0</v>
      </c>
      <c r="K60" s="7" t="s">
        <v>124</v>
      </c>
      <c r="L60" s="7" t="s">
        <v>122</v>
      </c>
      <c r="M60" s="9"/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65</v>
      </c>
      <c r="B61" s="7" t="str">
        <f>IF(A61="","",VLOOKUP(A61,DB!A:B,2,0))</f>
        <v>Ikegami BS-80 4</v>
      </c>
      <c r="C61" s="6"/>
      <c r="D61" s="6"/>
      <c r="E61" s="7" t="s">
        <v>90</v>
      </c>
      <c r="F61" s="6"/>
      <c r="G61" s="6"/>
      <c r="H61" s="7" t="s">
        <v>40</v>
      </c>
      <c r="I61" s="6" t="str">
        <f>IF(H61="","",VLOOKUP(H61,DB!A:B,2,0))</f>
        <v>ATEM 1 Production Studio</v>
      </c>
      <c r="J61" s="6"/>
      <c r="K61" s="6"/>
      <c r="L61" s="7" t="s">
        <v>142</v>
      </c>
      <c r="M61" s="9"/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70</v>
      </c>
      <c r="B62" s="7" t="str">
        <f>IF(A62="","",VLOOKUP(A62,DB!A:B,2,0))</f>
        <v>Ikegami BS-80 5</v>
      </c>
      <c r="C62" s="6"/>
      <c r="D62" s="6"/>
      <c r="E62" s="7" t="s">
        <v>90</v>
      </c>
      <c r="F62" s="6"/>
      <c r="G62" s="6"/>
      <c r="H62" s="7" t="s">
        <v>40</v>
      </c>
      <c r="I62" s="6" t="str">
        <f>IF(H62="","",VLOOKUP(H62,DB!A:B,2,0))</f>
        <v>ATEM 1 Production Studio</v>
      </c>
      <c r="J62" s="6"/>
      <c r="K62" s="6"/>
      <c r="L62" s="7" t="s">
        <v>143</v>
      </c>
      <c r="M62" s="9"/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96</v>
      </c>
      <c r="B63" s="7" t="str">
        <f>IF(A63="","",VLOOKUP(A63,DB!A:B,2,0))</f>
        <v>Miranda Densite3</v>
      </c>
      <c r="C63" s="7">
        <v>5.0</v>
      </c>
      <c r="D63" s="7" t="s">
        <v>97</v>
      </c>
      <c r="E63" s="7" t="s">
        <v>144</v>
      </c>
      <c r="F63" s="7" t="s">
        <v>17</v>
      </c>
      <c r="G63" s="7" t="s">
        <v>99</v>
      </c>
      <c r="H63" s="7" t="s">
        <v>145</v>
      </c>
      <c r="I63" s="6" t="str">
        <f>IF(H63="","",VLOOKUP(H63,DB!A:B,2,0))</f>
        <v>Yamaha MG166</v>
      </c>
      <c r="J63" s="6"/>
      <c r="K63" s="6"/>
      <c r="L63" s="7" t="s">
        <v>146</v>
      </c>
      <c r="M63" s="9"/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96</v>
      </c>
      <c r="B64" s="7" t="str">
        <f>IF(A64="","",VLOOKUP(A64,DB!A:B,2,0))</f>
        <v>Miranda Densite3</v>
      </c>
      <c r="C64" s="7">
        <v>6.0</v>
      </c>
      <c r="D64" s="7" t="s">
        <v>97</v>
      </c>
      <c r="E64" s="7" t="s">
        <v>144</v>
      </c>
      <c r="F64" s="7" t="s">
        <v>17</v>
      </c>
      <c r="G64" s="7" t="s">
        <v>99</v>
      </c>
      <c r="H64" s="7" t="s">
        <v>145</v>
      </c>
      <c r="I64" s="6" t="str">
        <f>IF(H64="","",VLOOKUP(H64,DB!A:B,2,0))</f>
        <v>Yamaha MG166</v>
      </c>
      <c r="J64" s="6"/>
      <c r="K64" s="6"/>
      <c r="L64" s="7" t="s">
        <v>147</v>
      </c>
      <c r="M64" s="9"/>
      <c r="N64" s="9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96</v>
      </c>
      <c r="B65" s="7" t="str">
        <f>IF(A65="","",VLOOKUP(A65,DB!A:B,2,0))</f>
        <v>Miranda Densite3</v>
      </c>
      <c r="C65" s="7">
        <v>5.0</v>
      </c>
      <c r="D65" s="7" t="s">
        <v>97</v>
      </c>
      <c r="E65" s="7" t="s">
        <v>148</v>
      </c>
      <c r="F65" s="7" t="s">
        <v>17</v>
      </c>
      <c r="G65" s="7" t="s">
        <v>99</v>
      </c>
      <c r="H65" s="7" t="s">
        <v>145</v>
      </c>
      <c r="I65" s="6" t="str">
        <f>IF(H65="","",VLOOKUP(H65,DB!A:B,2,0))</f>
        <v>Yamaha MG166</v>
      </c>
      <c r="J65" s="6"/>
      <c r="K65" s="6"/>
      <c r="L65" s="7" t="s">
        <v>149</v>
      </c>
      <c r="M65" s="9"/>
      <c r="N65" s="9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96</v>
      </c>
      <c r="B66" s="7" t="str">
        <f>IF(A66="","",VLOOKUP(A66,DB!A:B,2,0))</f>
        <v>Miranda Densite3</v>
      </c>
      <c r="C66" s="7">
        <v>6.0</v>
      </c>
      <c r="D66" s="7" t="s">
        <v>97</v>
      </c>
      <c r="E66" s="7" t="s">
        <v>148</v>
      </c>
      <c r="F66" s="7" t="s">
        <v>17</v>
      </c>
      <c r="G66" s="7" t="s">
        <v>99</v>
      </c>
      <c r="H66" s="7" t="s">
        <v>145</v>
      </c>
      <c r="I66" s="6" t="str">
        <f>IF(H66="","",VLOOKUP(H66,DB!A:B,2,0))</f>
        <v>Yamaha MG166</v>
      </c>
      <c r="J66" s="6"/>
      <c r="K66" s="6"/>
      <c r="L66" s="7" t="s">
        <v>150</v>
      </c>
      <c r="M66" s="9"/>
      <c r="N66" s="9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96</v>
      </c>
      <c r="B67" s="7" t="str">
        <f>IF(A67="","",VLOOKUP(A67,DB!A:B,2,0))</f>
        <v>Miranda Densite3</v>
      </c>
      <c r="C67" s="7">
        <v>7.0</v>
      </c>
      <c r="D67" s="7" t="s">
        <v>151</v>
      </c>
      <c r="E67" s="7" t="s">
        <v>16</v>
      </c>
      <c r="F67" s="7" t="s">
        <v>17</v>
      </c>
      <c r="G67" s="7" t="s">
        <v>18</v>
      </c>
      <c r="H67" s="7" t="s">
        <v>96</v>
      </c>
      <c r="I67" s="6" t="str">
        <f>IF(H67="","",VLOOKUP(H67,DB!A:B,2,0))</f>
        <v>Miranda Densite3</v>
      </c>
      <c r="J67" s="7">
        <v>1.0</v>
      </c>
      <c r="K67" s="7" t="s">
        <v>114</v>
      </c>
      <c r="L67" s="7" t="s">
        <v>152</v>
      </c>
      <c r="M67" s="9"/>
      <c r="N67" s="8" t="s">
        <v>111</v>
      </c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96</v>
      </c>
      <c r="B68" s="7" t="str">
        <f>IF(A68="","",VLOOKUP(A68,DB!A:B,2,0))</f>
        <v>Miranda Densite3</v>
      </c>
      <c r="C68" s="7">
        <v>7.0</v>
      </c>
      <c r="D68" s="7" t="s">
        <v>151</v>
      </c>
      <c r="E68" s="7" t="s">
        <v>35</v>
      </c>
      <c r="F68" s="7" t="s">
        <v>17</v>
      </c>
      <c r="G68" s="7" t="s">
        <v>24</v>
      </c>
      <c r="H68" s="7" t="s">
        <v>96</v>
      </c>
      <c r="I68" s="6" t="str">
        <f>IF(H68="","",VLOOKUP(H68,DB!A:B,2,0))</f>
        <v>Miranda Densite3</v>
      </c>
      <c r="J68" s="7">
        <v>1.0</v>
      </c>
      <c r="K68" s="7" t="s">
        <v>114</v>
      </c>
      <c r="L68" s="7" t="s">
        <v>153</v>
      </c>
      <c r="M68" s="9"/>
      <c r="N68" s="8" t="s">
        <v>111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96</v>
      </c>
      <c r="B69" s="7" t="str">
        <f>IF(A69="","",VLOOKUP(A69,DB!A:B,2,0))</f>
        <v>Miranda Densite3</v>
      </c>
      <c r="C69" s="7">
        <v>8.0</v>
      </c>
      <c r="D69" s="7" t="s">
        <v>151</v>
      </c>
      <c r="E69" s="7" t="s">
        <v>35</v>
      </c>
      <c r="F69" s="7" t="s">
        <v>17</v>
      </c>
      <c r="G69" s="7" t="s">
        <v>24</v>
      </c>
      <c r="H69" s="7" t="s">
        <v>96</v>
      </c>
      <c r="I69" s="6" t="str">
        <f>IF(H69="","",VLOOKUP(H69,DB!A:B,2,0))</f>
        <v>Miranda Densite3</v>
      </c>
      <c r="J69" s="7">
        <v>1.0</v>
      </c>
      <c r="K69" s="7" t="s">
        <v>114</v>
      </c>
      <c r="L69" s="7" t="s">
        <v>154</v>
      </c>
      <c r="M69" s="9"/>
      <c r="N69" s="8" t="s">
        <v>155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96</v>
      </c>
      <c r="B70" s="7" t="str">
        <f>IF(A70="","",VLOOKUP(A70,DB!A:B,2,0))</f>
        <v>Miranda Densite3</v>
      </c>
      <c r="C70" s="7">
        <v>8.0</v>
      </c>
      <c r="D70" s="7" t="s">
        <v>151</v>
      </c>
      <c r="E70" s="7" t="s">
        <v>35</v>
      </c>
      <c r="F70" s="7" t="s">
        <v>17</v>
      </c>
      <c r="G70" s="7" t="s">
        <v>24</v>
      </c>
      <c r="H70" s="7" t="s">
        <v>96</v>
      </c>
      <c r="I70" s="6" t="str">
        <f>IF(H70="","",VLOOKUP(H70,DB!A:B,2,0))</f>
        <v>Miranda Densite3</v>
      </c>
      <c r="J70" s="7">
        <v>1.0</v>
      </c>
      <c r="K70" s="7" t="s">
        <v>114</v>
      </c>
      <c r="L70" s="7" t="s">
        <v>156</v>
      </c>
      <c r="M70" s="9"/>
      <c r="N70" s="8" t="s">
        <v>155</v>
      </c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Miranda Densite3</v>
      </c>
      <c r="C71" s="7">
        <v>1.0</v>
      </c>
      <c r="D71" s="7" t="s">
        <v>114</v>
      </c>
      <c r="E71" s="7" t="s">
        <v>90</v>
      </c>
      <c r="F71" s="7" t="s">
        <v>17</v>
      </c>
      <c r="G71" s="7" t="s">
        <v>99</v>
      </c>
      <c r="H71" s="7" t="s">
        <v>52</v>
      </c>
      <c r="I71" s="6" t="str">
        <f>IF(H71="","",VLOOKUP(H71,DB!A:B,2,0))</f>
        <v>Miranda Densite3</v>
      </c>
      <c r="J71" s="7">
        <v>1.0</v>
      </c>
      <c r="K71" s="7" t="s">
        <v>141</v>
      </c>
      <c r="L71" s="7" t="s">
        <v>99</v>
      </c>
      <c r="M71" s="9"/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Miranda Densite3</v>
      </c>
      <c r="C72" s="7">
        <v>1.0</v>
      </c>
      <c r="D72" s="7" t="s">
        <v>114</v>
      </c>
      <c r="E72" s="7" t="s">
        <v>86</v>
      </c>
      <c r="F72" s="7" t="s">
        <v>17</v>
      </c>
      <c r="G72" s="7" t="s">
        <v>99</v>
      </c>
      <c r="H72" s="7" t="s">
        <v>83</v>
      </c>
      <c r="I72" s="6" t="str">
        <f>IF(H72="","",VLOOKUP(H72,DB!A:B,2,0))</f>
        <v>Patchera Externa Video</v>
      </c>
      <c r="J72" s="6"/>
      <c r="K72" s="6"/>
      <c r="L72" s="7" t="s">
        <v>157</v>
      </c>
      <c r="M72" s="7" t="s">
        <v>158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Miranda Densite3</v>
      </c>
      <c r="C73" s="7">
        <v>1.0</v>
      </c>
      <c r="D73" s="7" t="s">
        <v>114</v>
      </c>
      <c r="E73" s="7" t="s">
        <v>90</v>
      </c>
      <c r="F73" s="7" t="s">
        <v>17</v>
      </c>
      <c r="G73" s="7" t="s">
        <v>152</v>
      </c>
      <c r="H73" s="7"/>
      <c r="I73" s="6" t="str">
        <f>IF(H73="","",VLOOKUP(H73,DB!A:B,2,0))</f>
        <v/>
      </c>
      <c r="J73" s="6"/>
      <c r="K73" s="6"/>
      <c r="L73" s="7"/>
      <c r="M73" s="9"/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Miranda Densite3</v>
      </c>
      <c r="C74" s="7">
        <v>1.0</v>
      </c>
      <c r="D74" s="7" t="s">
        <v>114</v>
      </c>
      <c r="E74" s="7" t="s">
        <v>90</v>
      </c>
      <c r="F74" s="7" t="s">
        <v>17</v>
      </c>
      <c r="G74" s="7" t="s">
        <v>153</v>
      </c>
      <c r="H74" s="7"/>
      <c r="I74" s="6" t="str">
        <f>IF(H74="","",VLOOKUP(H74,DB!A:B,2,0))</f>
        <v/>
      </c>
      <c r="J74" s="6"/>
      <c r="K74" s="6"/>
      <c r="L74" s="7"/>
      <c r="M74" s="9"/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Miranda Densite3</v>
      </c>
      <c r="C75" s="7">
        <v>1.0</v>
      </c>
      <c r="D75" s="7" t="s">
        <v>114</v>
      </c>
      <c r="E75" s="7" t="s">
        <v>90</v>
      </c>
      <c r="F75" s="7" t="s">
        <v>17</v>
      </c>
      <c r="G75" s="7" t="s">
        <v>154</v>
      </c>
      <c r="H75" s="7"/>
      <c r="I75" s="6" t="str">
        <f>IF(H75="","",VLOOKUP(H75,DB!A:B,2,0))</f>
        <v/>
      </c>
      <c r="J75" s="6"/>
      <c r="K75" s="6"/>
      <c r="L75" s="7"/>
      <c r="M75" s="9"/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Miranda Densite3</v>
      </c>
      <c r="C76" s="7">
        <v>1.0</v>
      </c>
      <c r="D76" s="7" t="s">
        <v>114</v>
      </c>
      <c r="E76" s="7" t="s">
        <v>90</v>
      </c>
      <c r="F76" s="7" t="s">
        <v>17</v>
      </c>
      <c r="G76" s="7" t="s">
        <v>156</v>
      </c>
      <c r="H76" s="7"/>
      <c r="I76" s="6" t="str">
        <f>IF(H76="","",VLOOKUP(H76,DB!A:B,2,0))</f>
        <v/>
      </c>
      <c r="J76" s="6"/>
      <c r="K76" s="6"/>
      <c r="L76" s="7"/>
      <c r="M76" s="9"/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109</v>
      </c>
      <c r="B77" s="7" t="str">
        <f>IF(A77="","",VLOOKUP(A77,DB!A:B,2,0))</f>
        <v>Blackmagic SmartScope Duo</v>
      </c>
      <c r="C77" s="6"/>
      <c r="D77" s="6"/>
      <c r="E77" s="7" t="s">
        <v>90</v>
      </c>
      <c r="F77" s="7" t="s">
        <v>17</v>
      </c>
      <c r="G77" s="7" t="s">
        <v>118</v>
      </c>
      <c r="H77" s="7" t="s">
        <v>109</v>
      </c>
      <c r="I77" s="6" t="str">
        <f>IF(H77="","",VLOOKUP(H77,DB!A:B,2,0))</f>
        <v>Blackmagic SmartScope Duo</v>
      </c>
      <c r="J77" s="6"/>
      <c r="K77" s="6"/>
      <c r="L77" s="7" t="s">
        <v>110</v>
      </c>
      <c r="M77" s="9"/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83</v>
      </c>
      <c r="B78" s="7" t="str">
        <f>IF(A78="","",VLOOKUP(A78,DB!A:B,2,0))</f>
        <v>Patchera Externa Video</v>
      </c>
      <c r="C78" s="6"/>
      <c r="D78" s="6"/>
      <c r="E78" s="7" t="s">
        <v>159</v>
      </c>
      <c r="F78" s="7" t="s">
        <v>17</v>
      </c>
      <c r="G78" s="7" t="s">
        <v>159</v>
      </c>
      <c r="H78" s="7" t="s">
        <v>52</v>
      </c>
      <c r="I78" s="6" t="str">
        <f>IF(H78="","",VLOOKUP(H78,DB!A:B,2,0))</f>
        <v>Miranda Densite3</v>
      </c>
      <c r="J78" s="7">
        <v>7.0</v>
      </c>
      <c r="K78" s="7" t="s">
        <v>53</v>
      </c>
      <c r="L78" s="7" t="s">
        <v>58</v>
      </c>
      <c r="M78" s="8" t="s">
        <v>160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83</v>
      </c>
      <c r="B79" s="7" t="str">
        <f>IF(A79="","",VLOOKUP(A79,DB!A:B,2,0))</f>
        <v>Patchera Externa Video</v>
      </c>
      <c r="C79" s="6"/>
      <c r="D79" s="6"/>
      <c r="E79" s="7" t="s">
        <v>161</v>
      </c>
      <c r="F79" s="7" t="s">
        <v>17</v>
      </c>
      <c r="G79" s="7" t="s">
        <v>161</v>
      </c>
      <c r="H79" s="7" t="s">
        <v>65</v>
      </c>
      <c r="I79" s="6" t="str">
        <f>IF(H79="","",VLOOKUP(H79,DB!A:B,2,0))</f>
        <v>Ikegami BS-80 4</v>
      </c>
      <c r="J79" s="6"/>
      <c r="K79" s="6"/>
      <c r="L79" s="7" t="s">
        <v>162</v>
      </c>
      <c r="M79" s="8" t="s">
        <v>87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83</v>
      </c>
      <c r="B80" s="7" t="str">
        <f>IF(A80="","",VLOOKUP(A80,DB!A:B,2,0))</f>
        <v>Patchera Externa Video</v>
      </c>
      <c r="C80" s="6"/>
      <c r="D80" s="6"/>
      <c r="E80" s="7" t="s">
        <v>163</v>
      </c>
      <c r="F80" s="7" t="s">
        <v>17</v>
      </c>
      <c r="G80" s="7" t="s">
        <v>163</v>
      </c>
      <c r="H80" s="7" t="s">
        <v>70</v>
      </c>
      <c r="I80" s="6" t="str">
        <f>IF(H80="","",VLOOKUP(H80,DB!A:B,2,0))</f>
        <v>Ikegami BS-80 5</v>
      </c>
      <c r="J80" s="6"/>
      <c r="K80" s="6"/>
      <c r="L80" s="7" t="s">
        <v>162</v>
      </c>
      <c r="M80" s="8" t="s">
        <v>88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83</v>
      </c>
      <c r="B81" s="7" t="str">
        <f>IF(A81="","",VLOOKUP(A81,DB!A:B,2,0))</f>
        <v>Patchera Externa Video</v>
      </c>
      <c r="C81" s="6"/>
      <c r="D81" s="6"/>
      <c r="E81" s="7" t="s">
        <v>164</v>
      </c>
      <c r="F81" s="7" t="s">
        <v>17</v>
      </c>
      <c r="G81" s="7" t="s">
        <v>164</v>
      </c>
      <c r="H81" s="7" t="s">
        <v>89</v>
      </c>
      <c r="I81" s="6" t="str">
        <f>IF(H81="","",VLOOKUP(H81,DB!A:B,2,0))</f>
        <v>Telecast CopperHead ProHD 1</v>
      </c>
      <c r="J81" s="6"/>
      <c r="K81" s="6"/>
      <c r="L81" s="7" t="s">
        <v>162</v>
      </c>
      <c r="M81" s="8" t="s">
        <v>91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83</v>
      </c>
      <c r="B82" s="7" t="str">
        <f>IF(A82="","",VLOOKUP(A82,DB!A:B,2,0))</f>
        <v>Patchera Externa Video</v>
      </c>
      <c r="C82" s="6"/>
      <c r="D82" s="6"/>
      <c r="E82" s="7" t="s">
        <v>165</v>
      </c>
      <c r="F82" s="7" t="s">
        <v>17</v>
      </c>
      <c r="G82" s="7" t="s">
        <v>165</v>
      </c>
      <c r="H82" s="7" t="s">
        <v>92</v>
      </c>
      <c r="I82" s="6" t="str">
        <f>IF(H82="","",VLOOKUP(H82,DB!A:B,2,0))</f>
        <v>Telecast CopperHead ProHD 2</v>
      </c>
      <c r="J82" s="6"/>
      <c r="K82" s="6"/>
      <c r="L82" s="7" t="s">
        <v>162</v>
      </c>
      <c r="M82" s="8" t="s">
        <v>93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83</v>
      </c>
      <c r="B83" s="7" t="str">
        <f>IF(A83="","",VLOOKUP(A83,DB!A:B,2,0))</f>
        <v>Patchera Externa Video</v>
      </c>
      <c r="C83" s="6"/>
      <c r="D83" s="6"/>
      <c r="E83" s="7" t="s">
        <v>166</v>
      </c>
      <c r="F83" s="7" t="s">
        <v>17</v>
      </c>
      <c r="G83" s="7" t="s">
        <v>166</v>
      </c>
      <c r="H83" s="7" t="s">
        <v>94</v>
      </c>
      <c r="I83" s="6" t="str">
        <f>IF(H83="","",VLOOKUP(H83,DB!A:B,2,0))</f>
        <v>Telecast CopperHead ProHD 3</v>
      </c>
      <c r="J83" s="6"/>
      <c r="K83" s="6"/>
      <c r="L83" s="7" t="s">
        <v>162</v>
      </c>
      <c r="M83" s="8" t="s">
        <v>95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83</v>
      </c>
      <c r="B84" s="7" t="str">
        <f>IF(A84="","",VLOOKUP(A84,DB!A:B,2,0))</f>
        <v>Patchera Externa Video</v>
      </c>
      <c r="C84" s="6"/>
      <c r="D84" s="6"/>
      <c r="E84" s="7" t="s">
        <v>167</v>
      </c>
      <c r="F84" s="7" t="s">
        <v>17</v>
      </c>
      <c r="G84" s="7" t="s">
        <v>167</v>
      </c>
      <c r="H84" s="7" t="s">
        <v>96</v>
      </c>
      <c r="I84" s="6" t="str">
        <f>IF(H84="","",VLOOKUP(H84,DB!A:B,2,0))</f>
        <v>Miranda Densite3</v>
      </c>
      <c r="J84" s="7">
        <v>5.0</v>
      </c>
      <c r="K84" s="7" t="s">
        <v>97</v>
      </c>
      <c r="L84" s="7" t="s">
        <v>99</v>
      </c>
      <c r="M84" s="8" t="s">
        <v>168</v>
      </c>
      <c r="N84" s="8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83</v>
      </c>
      <c r="B85" s="7" t="str">
        <f>IF(A85="","",VLOOKUP(A85,DB!A:B,2,0))</f>
        <v>Patchera Externa Video</v>
      </c>
      <c r="C85" s="6"/>
      <c r="D85" s="6"/>
      <c r="E85" s="7" t="s">
        <v>169</v>
      </c>
      <c r="F85" s="7" t="s">
        <v>17</v>
      </c>
      <c r="G85" s="7" t="s">
        <v>169</v>
      </c>
      <c r="H85" s="7" t="s">
        <v>96</v>
      </c>
      <c r="I85" s="6" t="str">
        <f>IF(H85="","",VLOOKUP(H85,DB!A:B,2,0))</f>
        <v>Miranda Densite3</v>
      </c>
      <c r="J85" s="7">
        <v>6.0</v>
      </c>
      <c r="K85" s="7" t="s">
        <v>97</v>
      </c>
      <c r="L85" s="7" t="s">
        <v>99</v>
      </c>
      <c r="M85" s="8" t="s">
        <v>170</v>
      </c>
      <c r="N85" s="8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171</v>
      </c>
      <c r="B86" s="10" t="str">
        <f>IF(A86="","",VLOOKUP(A86,DB!A:B,2,0))</f>
        <v>Patchera Externa Audio</v>
      </c>
      <c r="C86" s="11"/>
      <c r="D86" s="10"/>
      <c r="E86" s="12" t="s">
        <v>18</v>
      </c>
      <c r="F86" s="10"/>
      <c r="G86" s="10"/>
      <c r="H86" s="12" t="s">
        <v>145</v>
      </c>
      <c r="I86" s="10" t="str">
        <f>IF(H86="","",VLOOKUP(H86,DB!A:B,2,0))</f>
        <v>Yamaha MG166</v>
      </c>
      <c r="J86" s="10"/>
      <c r="K86" s="10"/>
      <c r="L86" s="12" t="s">
        <v>18</v>
      </c>
      <c r="M86" s="13" t="s">
        <v>172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171</v>
      </c>
      <c r="B87" s="14" t="str">
        <f>IF(A87="","",VLOOKUP(A87,DB!A:B,2,0))</f>
        <v>Patchera Externa Audio</v>
      </c>
      <c r="C87" s="14"/>
      <c r="D87" s="14"/>
      <c r="E87" s="12" t="s">
        <v>24</v>
      </c>
      <c r="F87" s="14"/>
      <c r="G87" s="14"/>
      <c r="H87" s="12" t="s">
        <v>145</v>
      </c>
      <c r="I87" s="14" t="str">
        <f>IF(H87="","",VLOOKUP(H87,DB!A:B,2,0))</f>
        <v>Yamaha MG166</v>
      </c>
      <c r="J87" s="14"/>
      <c r="K87" s="14"/>
      <c r="L87" s="12" t="s">
        <v>24</v>
      </c>
      <c r="M87" s="13" t="s">
        <v>173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171</v>
      </c>
      <c r="B88" s="14" t="str">
        <f>IF(A88="","",VLOOKUP(A88,DB!A:B,2,0))</f>
        <v>Patchera Externa Audio</v>
      </c>
      <c r="C88" s="14"/>
      <c r="D88" s="14"/>
      <c r="E88" s="12" t="s">
        <v>28</v>
      </c>
      <c r="F88" s="14"/>
      <c r="G88" s="14"/>
      <c r="H88" s="12" t="s">
        <v>145</v>
      </c>
      <c r="I88" s="14" t="str">
        <f>IF(H88="","",VLOOKUP(H88,DB!A:B,2,0))</f>
        <v>Yamaha MG166</v>
      </c>
      <c r="J88" s="14"/>
      <c r="K88" s="14"/>
      <c r="L88" s="12" t="s">
        <v>28</v>
      </c>
      <c r="M88" s="13" t="s">
        <v>174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171</v>
      </c>
      <c r="B89" s="14" t="str">
        <f>IF(A89="","",VLOOKUP(A89,DB!A:B,2,0))</f>
        <v>Patchera Externa Audio</v>
      </c>
      <c r="C89" s="14"/>
      <c r="D89" s="14"/>
      <c r="E89" s="12" t="s">
        <v>32</v>
      </c>
      <c r="F89" s="14"/>
      <c r="G89" s="14"/>
      <c r="H89" s="12" t="s">
        <v>145</v>
      </c>
      <c r="I89" s="14" t="str">
        <f>IF(H89="","",VLOOKUP(H89,DB!A:B,2,0))</f>
        <v>Yamaha MG166</v>
      </c>
      <c r="J89" s="14"/>
      <c r="K89" s="14"/>
      <c r="L89" s="12" t="s">
        <v>32</v>
      </c>
      <c r="M89" s="13" t="s">
        <v>175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171</v>
      </c>
      <c r="B90" s="10" t="str">
        <f>IF(A90="","",VLOOKUP(A90,DB!A:B,2,0))</f>
        <v>Patchera Externa Audio</v>
      </c>
      <c r="C90" s="10"/>
      <c r="D90" s="10"/>
      <c r="E90" s="12" t="s">
        <v>36</v>
      </c>
      <c r="F90" s="10"/>
      <c r="G90" s="10"/>
      <c r="H90" s="12" t="s">
        <v>145</v>
      </c>
      <c r="I90" s="10" t="str">
        <f>IF(H90="","",VLOOKUP(H90,DB!A:B,2,0))</f>
        <v>Yamaha MG166</v>
      </c>
      <c r="J90" s="10"/>
      <c r="K90" s="10"/>
      <c r="L90" s="12" t="s">
        <v>36</v>
      </c>
      <c r="M90" s="13" t="s">
        <v>176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171</v>
      </c>
      <c r="B91" s="14" t="str">
        <f>IF(A91="","",VLOOKUP(A91,DB!A:B,2,0))</f>
        <v>Patchera Externa Audio</v>
      </c>
      <c r="C91" s="14"/>
      <c r="D91" s="14"/>
      <c r="E91" s="12" t="s">
        <v>39</v>
      </c>
      <c r="F91" s="14"/>
      <c r="G91" s="14"/>
      <c r="H91" s="12" t="s">
        <v>145</v>
      </c>
      <c r="I91" s="14" t="str">
        <f>IF(H91="","",VLOOKUP(H91,DB!A:B,2,0))</f>
        <v>Yamaha MG166</v>
      </c>
      <c r="J91" s="14"/>
      <c r="K91" s="14"/>
      <c r="L91" s="12" t="s">
        <v>39</v>
      </c>
      <c r="M91" s="13" t="s">
        <v>177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171</v>
      </c>
      <c r="B92" s="7" t="str">
        <f>IF(A92="","",VLOOKUP(A92,DB!A:B,2,0))</f>
        <v>Patchera Externa Audio</v>
      </c>
      <c r="C92" s="6"/>
      <c r="D92" s="6"/>
      <c r="E92" s="12" t="s">
        <v>41</v>
      </c>
      <c r="F92" s="6"/>
      <c r="G92" s="6"/>
      <c r="H92" s="12" t="s">
        <v>145</v>
      </c>
      <c r="I92" s="6" t="str">
        <f>IF(H92="","",VLOOKUP(H92,DB!A:B,2,0))</f>
        <v>Yamaha MG166</v>
      </c>
      <c r="J92" s="6"/>
      <c r="K92" s="6"/>
      <c r="L92" s="12" t="s">
        <v>41</v>
      </c>
      <c r="M92" s="13" t="s">
        <v>168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171</v>
      </c>
      <c r="B93" s="7" t="str">
        <f>IF(A93="","",VLOOKUP(A93,DB!A:B,2,0))</f>
        <v>Patchera Externa Audio</v>
      </c>
      <c r="C93" s="6"/>
      <c r="D93" s="6"/>
      <c r="E93" s="12" t="s">
        <v>44</v>
      </c>
      <c r="F93" s="6"/>
      <c r="G93" s="6"/>
      <c r="H93" s="12" t="s">
        <v>145</v>
      </c>
      <c r="I93" s="6" t="str">
        <f>IF(H93="","",VLOOKUP(H93,DB!A:B,2,0))</f>
        <v>Yamaha MG166</v>
      </c>
      <c r="J93" s="6"/>
      <c r="K93" s="6"/>
      <c r="L93" s="12" t="s">
        <v>44</v>
      </c>
      <c r="M93" s="13" t="s">
        <v>170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171</v>
      </c>
      <c r="B94" s="7" t="str">
        <f>IF(A94="","",VLOOKUP(A94,DB!A:B,2,0))</f>
        <v>Patchera Externa Audio</v>
      </c>
      <c r="C94" s="6"/>
      <c r="D94" s="6"/>
      <c r="E94" s="12" t="s">
        <v>47</v>
      </c>
      <c r="F94" s="6"/>
      <c r="G94" s="6"/>
      <c r="H94" s="7" t="s">
        <v>145</v>
      </c>
      <c r="I94" s="6" t="str">
        <f>IF(H94="","",VLOOKUP(H94,DB!A:B,2,0))</f>
        <v>Yamaha MG166</v>
      </c>
      <c r="J94" s="6"/>
      <c r="K94" s="6"/>
      <c r="L94" s="12" t="s">
        <v>47</v>
      </c>
      <c r="M94" s="13" t="s">
        <v>178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171</v>
      </c>
      <c r="B95" s="7" t="str">
        <f>IF(A95="","",VLOOKUP(A95,DB!A:B,2,0))</f>
        <v>Patchera Externa Audio</v>
      </c>
      <c r="C95" s="6"/>
      <c r="D95" s="6"/>
      <c r="E95" s="12" t="s">
        <v>51</v>
      </c>
      <c r="F95" s="6"/>
      <c r="G95" s="6"/>
      <c r="H95" s="7" t="s">
        <v>37</v>
      </c>
      <c r="I95" s="6"/>
      <c r="J95" s="6"/>
      <c r="K95" s="6"/>
      <c r="L95" s="6"/>
      <c r="M95" s="9"/>
      <c r="N95" s="9"/>
      <c r="O95" s="6"/>
      <c r="P95" s="15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171</v>
      </c>
      <c r="B96" s="7" t="str">
        <f>IF(A96="","",VLOOKUP(A96,DB!A:B,2,0))</f>
        <v>Patchera Externa Audio</v>
      </c>
      <c r="C96" s="6"/>
      <c r="D96" s="6"/>
      <c r="E96" s="12" t="s">
        <v>57</v>
      </c>
      <c r="F96" s="6"/>
      <c r="G96" s="6"/>
      <c r="H96" s="7" t="s">
        <v>37</v>
      </c>
      <c r="I96" s="6"/>
      <c r="J96" s="6"/>
      <c r="K96" s="6"/>
      <c r="L96" s="6"/>
      <c r="M96" s="9"/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171</v>
      </c>
      <c r="B97" s="7" t="str">
        <f>IF(A97="","",VLOOKUP(A97,DB!A:B,2,0))</f>
        <v>Patchera Externa Audio</v>
      </c>
      <c r="C97" s="6"/>
      <c r="D97" s="6"/>
      <c r="E97" s="12" t="s">
        <v>61</v>
      </c>
      <c r="F97" s="6"/>
      <c r="G97" s="6"/>
      <c r="H97" s="7" t="s">
        <v>37</v>
      </c>
      <c r="I97" s="6"/>
      <c r="J97" s="6"/>
      <c r="K97" s="6"/>
      <c r="L97" s="6"/>
      <c r="M97" s="9"/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96</v>
      </c>
      <c r="B98" s="7" t="str">
        <f>IF(A98="","",VLOOKUP(A98,DB!A:B,2,0))</f>
        <v>Miranda Densite3</v>
      </c>
      <c r="C98" s="7">
        <v>10.0</v>
      </c>
      <c r="D98" s="7" t="s">
        <v>151</v>
      </c>
      <c r="E98" s="7" t="s">
        <v>46</v>
      </c>
      <c r="F98" s="7" t="s">
        <v>17</v>
      </c>
      <c r="G98" s="7" t="s">
        <v>18</v>
      </c>
      <c r="H98" s="7" t="s">
        <v>171</v>
      </c>
      <c r="I98" s="6" t="str">
        <f>IF(H98="","",VLOOKUP(H98,DB!A:B,2,0))</f>
        <v>Patchera Externa Audio</v>
      </c>
      <c r="J98" s="6"/>
      <c r="K98" s="6"/>
      <c r="L98" s="7" t="s">
        <v>179</v>
      </c>
      <c r="M98" s="8" t="s">
        <v>180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96</v>
      </c>
      <c r="B99" s="7" t="str">
        <f>IF(A99="","",VLOOKUP(A99,DB!A:B,2,0))</f>
        <v>Miranda Densite3</v>
      </c>
      <c r="C99" s="7">
        <v>10.0</v>
      </c>
      <c r="D99" s="7" t="s">
        <v>151</v>
      </c>
      <c r="E99" s="7" t="s">
        <v>46</v>
      </c>
      <c r="F99" s="7" t="s">
        <v>17</v>
      </c>
      <c r="G99" s="7" t="s">
        <v>18</v>
      </c>
      <c r="H99" s="7" t="s">
        <v>171</v>
      </c>
      <c r="I99" s="6" t="str">
        <f>IF(H99="","",VLOOKUP(H99,DB!A:B,2,0))</f>
        <v>Patchera Externa Audio</v>
      </c>
      <c r="J99" s="6"/>
      <c r="K99" s="6"/>
      <c r="L99" s="7" t="s">
        <v>181</v>
      </c>
      <c r="M99" s="8" t="s">
        <v>180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96</v>
      </c>
      <c r="B100" s="7" t="str">
        <f>IF(A100="","",VLOOKUP(A100,DB!A:B,2,0))</f>
        <v>Miranda Densite3</v>
      </c>
      <c r="C100" s="7">
        <v>10.0</v>
      </c>
      <c r="D100" s="7" t="s">
        <v>151</v>
      </c>
      <c r="E100" s="7" t="s">
        <v>46</v>
      </c>
      <c r="F100" s="7" t="s">
        <v>17</v>
      </c>
      <c r="G100" s="7" t="s">
        <v>18</v>
      </c>
      <c r="H100" s="7" t="s">
        <v>171</v>
      </c>
      <c r="I100" s="6" t="str">
        <f>IF(H100="","",VLOOKUP(H100,DB!A:B,2,0))</f>
        <v>Patchera Externa Audio</v>
      </c>
      <c r="J100" s="6"/>
      <c r="K100" s="6"/>
      <c r="L100" s="7" t="s">
        <v>182</v>
      </c>
      <c r="M100" s="8" t="s">
        <v>180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96</v>
      </c>
      <c r="B101" s="7" t="str">
        <f>IF(A101="","",VLOOKUP(A101,DB!A:B,2,0))</f>
        <v>Miranda Densite3</v>
      </c>
      <c r="C101" s="7">
        <v>10.0</v>
      </c>
      <c r="D101" s="7" t="s">
        <v>151</v>
      </c>
      <c r="E101" s="7" t="s">
        <v>46</v>
      </c>
      <c r="F101" s="7" t="s">
        <v>17</v>
      </c>
      <c r="G101" s="7" t="s">
        <v>18</v>
      </c>
      <c r="H101" s="7" t="s">
        <v>171</v>
      </c>
      <c r="I101" s="6" t="str">
        <f>IF(H101="","",VLOOKUP(H101,DB!A:B,2,0))</f>
        <v>Patchera Externa Audio</v>
      </c>
      <c r="J101" s="6"/>
      <c r="K101" s="6"/>
      <c r="L101" s="7" t="s">
        <v>183</v>
      </c>
      <c r="M101" s="8" t="s">
        <v>180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96</v>
      </c>
      <c r="B102" s="7" t="str">
        <f>IF(A102="","",VLOOKUP(A102,DB!A:B,2,0))</f>
        <v>Miranda Densite3</v>
      </c>
      <c r="C102" s="7">
        <v>7.0</v>
      </c>
      <c r="D102" s="7" t="s">
        <v>151</v>
      </c>
      <c r="E102" s="7" t="s">
        <v>23</v>
      </c>
      <c r="F102" s="7" t="s">
        <v>17</v>
      </c>
      <c r="G102" s="7" t="s">
        <v>18</v>
      </c>
      <c r="H102" s="7" t="s">
        <v>171</v>
      </c>
      <c r="I102" s="6" t="str">
        <f>IF(H102="","",VLOOKUP(H102,DB!A:B,2,0))</f>
        <v>Patchera Externa Audio</v>
      </c>
      <c r="J102" s="6"/>
      <c r="K102" s="6"/>
      <c r="L102" s="7" t="s">
        <v>184</v>
      </c>
      <c r="M102" s="8" t="s">
        <v>111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96</v>
      </c>
      <c r="B103" s="7" t="str">
        <f>IF(A103="","",VLOOKUP(A103,DB!A:B,2,0))</f>
        <v>Miranda Densite3</v>
      </c>
      <c r="C103" s="7">
        <v>7.0</v>
      </c>
      <c r="D103" s="7" t="s">
        <v>151</v>
      </c>
      <c r="E103" s="7" t="s">
        <v>38</v>
      </c>
      <c r="F103" s="7" t="s">
        <v>17</v>
      </c>
      <c r="G103" s="7" t="s">
        <v>24</v>
      </c>
      <c r="H103" s="7" t="s">
        <v>171</v>
      </c>
      <c r="I103" s="6" t="str">
        <f>IF(H103="","",VLOOKUP(H103,DB!A:B,2,0))</f>
        <v>Patchera Externa Audio</v>
      </c>
      <c r="J103" s="6"/>
      <c r="K103" s="6"/>
      <c r="L103" s="7" t="s">
        <v>185</v>
      </c>
      <c r="M103" s="8" t="s">
        <v>111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96</v>
      </c>
      <c r="B104" s="7" t="str">
        <f>IF(A104="","",VLOOKUP(A104,DB!A:B,2,0))</f>
        <v>Miranda Densite3</v>
      </c>
      <c r="C104" s="7">
        <v>8.0</v>
      </c>
      <c r="D104" s="7" t="s">
        <v>151</v>
      </c>
      <c r="E104" s="7" t="s">
        <v>38</v>
      </c>
      <c r="F104" s="6"/>
      <c r="G104" s="6"/>
      <c r="H104" s="7" t="s">
        <v>171</v>
      </c>
      <c r="I104" s="6" t="str">
        <f>IF(H104="","",VLOOKUP(H104,DB!A:B,2,0))</f>
        <v>Patchera Externa Audio</v>
      </c>
      <c r="J104" s="6"/>
      <c r="K104" s="6"/>
      <c r="L104" s="7" t="s">
        <v>155</v>
      </c>
      <c r="M104" s="8" t="s">
        <v>155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96</v>
      </c>
      <c r="B105" s="6" t="str">
        <f>IF(A105="","",VLOOKUP(A105,DB!A:B,2,0))</f>
        <v>Miranda Densite3</v>
      </c>
      <c r="C105" s="7">
        <v>8.0</v>
      </c>
      <c r="D105" s="7" t="s">
        <v>151</v>
      </c>
      <c r="E105" s="7" t="s">
        <v>16</v>
      </c>
      <c r="F105" s="6"/>
      <c r="G105" s="6"/>
      <c r="H105" s="7" t="s">
        <v>171</v>
      </c>
      <c r="I105" s="7" t="str">
        <f>IF(H105="","",VLOOKUP(H105,DB!A:B,2,0))</f>
        <v>Patchera Externa Audio</v>
      </c>
      <c r="J105" s="6"/>
      <c r="K105" s="6"/>
      <c r="L105" s="7" t="s">
        <v>186</v>
      </c>
      <c r="M105" s="8" t="s">
        <v>186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96</v>
      </c>
      <c r="B106" s="6" t="str">
        <f>IF(A106="","",VLOOKUP(A106,DB!A:B,2,0))</f>
        <v>Miranda Densite3</v>
      </c>
      <c r="C106" s="7">
        <v>9.0</v>
      </c>
      <c r="D106" s="7" t="s">
        <v>151</v>
      </c>
      <c r="E106" s="7" t="s">
        <v>35</v>
      </c>
      <c r="F106" s="6"/>
      <c r="G106" s="6"/>
      <c r="H106" s="7" t="s">
        <v>171</v>
      </c>
      <c r="I106" s="7" t="str">
        <f>IF(H106="","",VLOOKUP(H106,DB!A:B,2,0))</f>
        <v>Patchera Externa Audio</v>
      </c>
      <c r="J106" s="6"/>
      <c r="K106" s="6"/>
      <c r="L106" s="7" t="s">
        <v>101</v>
      </c>
      <c r="M106" s="8" t="s">
        <v>101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96</v>
      </c>
      <c r="B107" s="6" t="str">
        <f>IF(A107="","",VLOOKUP(A107,DB!A:B,2,0))</f>
        <v>Miranda Densite3</v>
      </c>
      <c r="C107" s="7">
        <v>9.0</v>
      </c>
      <c r="D107" s="7" t="s">
        <v>151</v>
      </c>
      <c r="E107" s="7" t="s">
        <v>16</v>
      </c>
      <c r="F107" s="6"/>
      <c r="G107" s="6"/>
      <c r="H107" s="7" t="s">
        <v>171</v>
      </c>
      <c r="I107" s="7" t="str">
        <f>IF(H107="","",VLOOKUP(H107,DB!A:B,2,0))</f>
        <v>Patchera Externa Audio</v>
      </c>
      <c r="J107" s="6"/>
      <c r="K107" s="6"/>
      <c r="L107" s="7" t="s">
        <v>105</v>
      </c>
      <c r="M107" s="7" t="s">
        <v>105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96</v>
      </c>
      <c r="B108" s="6" t="str">
        <f>IF(A108="","",VLOOKUP(A108,DB!A:B,2,0))</f>
        <v>Miranda Densite3</v>
      </c>
      <c r="C108" s="7">
        <v>9.0</v>
      </c>
      <c r="D108" s="7" t="s">
        <v>151</v>
      </c>
      <c r="E108" s="7" t="s">
        <v>38</v>
      </c>
      <c r="F108" s="6"/>
      <c r="G108" s="6"/>
      <c r="H108" s="7" t="s">
        <v>171</v>
      </c>
      <c r="I108" s="7" t="str">
        <f>IF(H108="","",VLOOKUP(H108,DB!A:B,2,0))</f>
        <v>Patchera Externa Audio</v>
      </c>
      <c r="J108" s="6"/>
      <c r="K108" s="6"/>
      <c r="L108" s="7" t="s">
        <v>101</v>
      </c>
      <c r="M108" s="7" t="s">
        <v>101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96</v>
      </c>
      <c r="B109" s="6" t="str">
        <f>IF(A109="","",VLOOKUP(A109,DB!A:B,2,0))</f>
        <v>Miranda Densite3</v>
      </c>
      <c r="C109" s="7">
        <v>8.0</v>
      </c>
      <c r="D109" s="7" t="s">
        <v>151</v>
      </c>
      <c r="E109" s="7" t="s">
        <v>23</v>
      </c>
      <c r="F109" s="6"/>
      <c r="G109" s="6"/>
      <c r="H109" s="7" t="s">
        <v>171</v>
      </c>
      <c r="I109" s="7" t="str">
        <f>IF(H109="","",VLOOKUP(H109,DB!A:B,2,0))</f>
        <v>Patchera Externa Audio</v>
      </c>
      <c r="J109" s="6"/>
      <c r="K109" s="6"/>
      <c r="L109" s="7" t="s">
        <v>186</v>
      </c>
      <c r="M109" s="7" t="s">
        <v>186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171</v>
      </c>
      <c r="B110" s="7" t="str">
        <f>IF(A110="","",VLOOKUP(A110,DB!A:B,2,0))</f>
        <v>Patchera Externa Audio</v>
      </c>
      <c r="C110" s="6"/>
      <c r="D110" s="6"/>
      <c r="E110" s="7" t="s">
        <v>187</v>
      </c>
      <c r="F110" s="6"/>
      <c r="G110" s="6"/>
      <c r="H110" s="7" t="s">
        <v>89</v>
      </c>
      <c r="I110" s="6" t="str">
        <f>IF(H110="","",VLOOKUP(H110,DB!A:B,2,0))</f>
        <v>Telecast CopperHead ProHD 1</v>
      </c>
      <c r="J110" s="6"/>
      <c r="K110" s="6"/>
      <c r="L110" s="7" t="s">
        <v>144</v>
      </c>
      <c r="M110" s="7" t="s">
        <v>187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171</v>
      </c>
      <c r="B111" s="7" t="str">
        <f>IF(A111="","",VLOOKUP(A111,DB!A:B,2,0))</f>
        <v>Patchera Externa Audio</v>
      </c>
      <c r="C111" s="6"/>
      <c r="D111" s="6"/>
      <c r="E111" s="7" t="s">
        <v>188</v>
      </c>
      <c r="F111" s="6"/>
      <c r="G111" s="6"/>
      <c r="H111" s="7" t="s">
        <v>89</v>
      </c>
      <c r="I111" s="6" t="str">
        <f>IF(H111="","",VLOOKUP(H111,DB!A:B,2,0))</f>
        <v>Telecast CopperHead ProHD 1</v>
      </c>
      <c r="J111" s="6"/>
      <c r="K111" s="6"/>
      <c r="L111" s="7" t="s">
        <v>148</v>
      </c>
      <c r="M111" s="7" t="s">
        <v>188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171</v>
      </c>
      <c r="B112" s="7" t="str">
        <f>IF(A112="","",VLOOKUP(A112,DB!A:B,2,0))</f>
        <v>Patchera Externa Audio</v>
      </c>
      <c r="C112" s="6"/>
      <c r="D112" s="6"/>
      <c r="E112" s="7" t="s">
        <v>189</v>
      </c>
      <c r="F112" s="6"/>
      <c r="G112" s="6"/>
      <c r="H112" s="7" t="s">
        <v>92</v>
      </c>
      <c r="I112" s="6" t="str">
        <f>IF(H112="","",VLOOKUP(H112,DB!A:B,2,0))</f>
        <v>Telecast CopperHead ProHD 2</v>
      </c>
      <c r="J112" s="6"/>
      <c r="K112" s="6"/>
      <c r="L112" s="7" t="s">
        <v>144</v>
      </c>
      <c r="M112" s="7" t="s">
        <v>189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171</v>
      </c>
      <c r="B113" s="7" t="str">
        <f>IF(A113="","",VLOOKUP(A113,DB!A:B,2,0))</f>
        <v>Patchera Externa Audio</v>
      </c>
      <c r="C113" s="6"/>
      <c r="D113" s="6"/>
      <c r="E113" s="7" t="s">
        <v>190</v>
      </c>
      <c r="F113" s="6"/>
      <c r="G113" s="6"/>
      <c r="H113" s="7" t="s">
        <v>92</v>
      </c>
      <c r="I113" s="6" t="str">
        <f>IF(H113="","",VLOOKUP(H113,DB!A:B,2,0))</f>
        <v>Telecast CopperHead ProHD 2</v>
      </c>
      <c r="J113" s="6"/>
      <c r="K113" s="6"/>
      <c r="L113" s="7" t="s">
        <v>148</v>
      </c>
      <c r="M113" s="7" t="s">
        <v>190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171</v>
      </c>
      <c r="B114" s="7" t="str">
        <f>IF(A114="","",VLOOKUP(A114,DB!A:B,2,0))</f>
        <v>Patchera Externa Audio</v>
      </c>
      <c r="C114" s="6"/>
      <c r="D114" s="6"/>
      <c r="E114" s="7" t="s">
        <v>191</v>
      </c>
      <c r="F114" s="6"/>
      <c r="G114" s="6"/>
      <c r="H114" s="7" t="s">
        <v>94</v>
      </c>
      <c r="I114" s="6" t="str">
        <f>IF(H114="","",VLOOKUP(H114,DB!A:B,2,0))</f>
        <v>Telecast CopperHead ProHD 3</v>
      </c>
      <c r="J114" s="6"/>
      <c r="K114" s="6"/>
      <c r="L114" s="7" t="s">
        <v>144</v>
      </c>
      <c r="M114" s="7" t="s">
        <v>191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171</v>
      </c>
      <c r="B115" s="7" t="str">
        <f>IF(A115="","",VLOOKUP(A115,DB!A:B,2,0))</f>
        <v>Patchera Externa Audio</v>
      </c>
      <c r="C115" s="6"/>
      <c r="D115" s="6"/>
      <c r="E115" s="7" t="s">
        <v>192</v>
      </c>
      <c r="F115" s="6"/>
      <c r="G115" s="6"/>
      <c r="H115" s="7" t="s">
        <v>94</v>
      </c>
      <c r="I115" s="6" t="str">
        <f>IF(H115="","",VLOOKUP(H115,DB!A:B,2,0))</f>
        <v>Telecast CopperHead ProHD 3</v>
      </c>
      <c r="J115" s="6"/>
      <c r="K115" s="6"/>
      <c r="L115" s="7" t="s">
        <v>148</v>
      </c>
      <c r="M115" s="7" t="s">
        <v>192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171</v>
      </c>
      <c r="B116" s="7" t="str">
        <f>IF(A116="","",VLOOKUP(A116,DB!A:B,2,0))</f>
        <v>Patchera Externa Audio</v>
      </c>
      <c r="C116" s="6"/>
      <c r="D116" s="6"/>
      <c r="E116" s="7" t="s">
        <v>193</v>
      </c>
      <c r="F116" s="6"/>
      <c r="G116" s="6"/>
      <c r="H116" s="7" t="s">
        <v>65</v>
      </c>
      <c r="I116" s="6" t="str">
        <f>IF(H116="","",VLOOKUP(H116,DB!A:B,2,0))</f>
        <v>Ikegami BS-80 4</v>
      </c>
      <c r="J116" s="6"/>
      <c r="K116" s="6"/>
      <c r="L116" s="7" t="s">
        <v>144</v>
      </c>
      <c r="M116" s="7" t="s">
        <v>193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171</v>
      </c>
      <c r="B117" s="7" t="str">
        <f>IF(A117="","",VLOOKUP(A117,DB!A:B,2,0))</f>
        <v>Patchera Externa Audio</v>
      </c>
      <c r="C117" s="6"/>
      <c r="D117" s="6"/>
      <c r="E117" s="7" t="s">
        <v>194</v>
      </c>
      <c r="F117" s="6"/>
      <c r="G117" s="6"/>
      <c r="H117" s="7" t="s">
        <v>65</v>
      </c>
      <c r="I117" s="6" t="str">
        <f>IF(H117="","",VLOOKUP(H117,DB!A:B,2,0))</f>
        <v>Ikegami BS-80 4</v>
      </c>
      <c r="J117" s="6"/>
      <c r="K117" s="6"/>
      <c r="L117" s="7" t="s">
        <v>148</v>
      </c>
      <c r="M117" s="7" t="s">
        <v>194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171</v>
      </c>
      <c r="B118" s="7" t="str">
        <f>IF(A118="","",VLOOKUP(A118,DB!A:B,2,0))</f>
        <v>Patchera Externa Audio</v>
      </c>
      <c r="C118" s="6"/>
      <c r="D118" s="6"/>
      <c r="E118" s="7" t="s">
        <v>195</v>
      </c>
      <c r="F118" s="6"/>
      <c r="G118" s="6"/>
      <c r="H118" s="7" t="s">
        <v>70</v>
      </c>
      <c r="I118" s="6" t="str">
        <f>IF(H118="","",VLOOKUP(H118,DB!A:B,2,0))</f>
        <v>Ikegami BS-80 5</v>
      </c>
      <c r="J118" s="6"/>
      <c r="K118" s="6"/>
      <c r="L118" s="7" t="s">
        <v>144</v>
      </c>
      <c r="M118" s="7" t="s">
        <v>195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171</v>
      </c>
      <c r="B119" s="14" t="str">
        <f>IF(A119="","",VLOOKUP(A119,DB!A:B,2,0))</f>
        <v>Patchera Externa Audio</v>
      </c>
      <c r="C119" s="16"/>
      <c r="D119" s="14"/>
      <c r="E119" s="17" t="s">
        <v>196</v>
      </c>
      <c r="F119" s="14"/>
      <c r="G119" s="14"/>
      <c r="H119" s="17" t="s">
        <v>70</v>
      </c>
      <c r="I119" s="14" t="str">
        <f>IF(H119="","",VLOOKUP(H119,DB!A:B,2,0))</f>
        <v>Ikegami BS-80 5</v>
      </c>
      <c r="J119" s="14"/>
      <c r="K119" s="14"/>
      <c r="L119" s="7" t="s">
        <v>148</v>
      </c>
      <c r="M119" s="17" t="s">
        <v>196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40</v>
      </c>
      <c r="B120" s="7" t="str">
        <f>IF(A120="","",VLOOKUP(A120,DB!A:B,2,0))</f>
        <v>ATEM 1 Production Studio</v>
      </c>
      <c r="C120" s="6"/>
      <c r="D120" s="6"/>
      <c r="E120" s="7" t="s">
        <v>197</v>
      </c>
      <c r="F120" s="6"/>
      <c r="G120" s="6"/>
      <c r="H120" s="7" t="s">
        <v>198</v>
      </c>
      <c r="I120" s="6" t="str">
        <f>IF(H120="","",VLOOKUP(H120,DB!A:B,2,0))</f>
        <v>Blackmagic SmartView HD</v>
      </c>
      <c r="J120" s="6"/>
      <c r="K120" s="6"/>
      <c r="L120" s="7" t="s">
        <v>99</v>
      </c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198</v>
      </c>
      <c r="B121" s="7" t="str">
        <f>IF(A121="","",VLOOKUP(A121,DB!A:B,2,0))</f>
        <v>Blackmagic SmartView HD</v>
      </c>
      <c r="C121" s="6"/>
      <c r="D121" s="6"/>
      <c r="E121" s="7" t="s">
        <v>98</v>
      </c>
      <c r="F121" s="7" t="s">
        <v>17</v>
      </c>
      <c r="G121" s="7" t="s">
        <v>99</v>
      </c>
      <c r="H121" s="7" t="s">
        <v>199</v>
      </c>
      <c r="I121" s="6" t="str">
        <f>IF(H121="","",VLOOKUP(H121,DB!A:B,2,0))</f>
        <v>Blackmagic SmartScope Duo</v>
      </c>
      <c r="J121" s="6"/>
      <c r="K121" s="6"/>
      <c r="L121" s="7" t="s">
        <v>118</v>
      </c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199</v>
      </c>
      <c r="B122" s="7" t="str">
        <f>IF(A122="","",VLOOKUP(A122,DB!A:B,2,0))</f>
        <v>Blackmagic SmartScope Duo</v>
      </c>
      <c r="C122" s="6"/>
      <c r="D122" s="6"/>
      <c r="E122" s="7" t="s">
        <v>90</v>
      </c>
      <c r="F122" s="7" t="s">
        <v>17</v>
      </c>
      <c r="G122" s="7" t="s">
        <v>118</v>
      </c>
      <c r="H122" s="7" t="s">
        <v>199</v>
      </c>
      <c r="I122" s="6" t="str">
        <f>IF(H122="","",VLOOKUP(H122,DB!A:B,2,0))</f>
        <v>Blackmagic SmartScope Duo</v>
      </c>
      <c r="J122" s="6"/>
      <c r="K122" s="6"/>
      <c r="L122" s="7" t="s">
        <v>110</v>
      </c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6"/>
      <c r="B128" s="7" t="str">
        <f>IF(A128="","",VLOOKUP(A128,DB!A:B,2,0))</f>
        <v/>
      </c>
      <c r="C128" s="6"/>
      <c r="D128" s="6"/>
      <c r="E128" s="6"/>
      <c r="F128" s="6"/>
      <c r="G128" s="6"/>
      <c r="H128" s="6"/>
      <c r="I128" s="6" t="str">
        <f>IF(H128="","",VLOOKUP(H128,DB!A:B,2,0))</f>
        <v/>
      </c>
      <c r="J128" s="6"/>
      <c r="K128" s="6"/>
      <c r="L128" s="6"/>
      <c r="M128" s="9"/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83</v>
      </c>
      <c r="I129" s="6" t="str">
        <f>IF(H129="","",VLOOKUP(H129,DB!A:B,2,0))</f>
        <v>Patchera Externa Video</v>
      </c>
      <c r="J129" s="6"/>
      <c r="K129" s="6"/>
      <c r="L129" s="7" t="s">
        <v>167</v>
      </c>
      <c r="M129" s="8" t="s">
        <v>168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83</v>
      </c>
      <c r="I130" s="6" t="str">
        <f>IF(H130="","",VLOOKUP(H130,DB!A:B,2,0))</f>
        <v>Patchera Externa Video</v>
      </c>
      <c r="J130" s="6"/>
      <c r="K130" s="6"/>
      <c r="L130" s="7" t="s">
        <v>169</v>
      </c>
      <c r="M130" s="8" t="s">
        <v>170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37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83</v>
      </c>
      <c r="I131" s="6" t="str">
        <f>IF(H131="","",VLOOKUP(H131,DB!A:B,2,0))</f>
        <v>Patchera Externa Video</v>
      </c>
      <c r="J131" s="6"/>
      <c r="K131" s="6"/>
      <c r="L131" s="7" t="s">
        <v>100</v>
      </c>
      <c r="M131" s="8" t="s">
        <v>178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83</v>
      </c>
      <c r="B132" s="7" t="str">
        <f>IF(A132="","",VLOOKUP(A132,DB!A:B,2,0))</f>
        <v>Patchera Externa Video</v>
      </c>
      <c r="C132" s="6"/>
      <c r="D132" s="6"/>
      <c r="E132" s="7" t="s">
        <v>84</v>
      </c>
      <c r="F132" s="7" t="s">
        <v>17</v>
      </c>
      <c r="G132" s="7" t="s">
        <v>84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85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37</v>
      </c>
      <c r="B133" s="7" t="str">
        <f>IF(A133="","",VLOOKUP(A133,DB!A:B,2,0))</f>
        <v/>
      </c>
      <c r="C133" s="6"/>
      <c r="D133" s="6"/>
      <c r="E133" s="6"/>
      <c r="F133" s="6"/>
      <c r="G133" s="6"/>
      <c r="H133" s="7" t="s">
        <v>83</v>
      </c>
      <c r="I133" s="6" t="str">
        <f>IF(H133="","",VLOOKUP(H133,DB!A:B,2,0))</f>
        <v>Patchera Externa Video</v>
      </c>
      <c r="J133" s="6"/>
      <c r="K133" s="6"/>
      <c r="L133" s="7" t="s">
        <v>159</v>
      </c>
      <c r="M133" s="8" t="s">
        <v>160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83</v>
      </c>
      <c r="B134" s="7" t="str">
        <f>IF(A134="","",VLOOKUP(A134,DB!A:B,2,0))</f>
        <v>Patchera Externa Video</v>
      </c>
      <c r="C134" s="6"/>
      <c r="D134" s="6"/>
      <c r="E134" s="7" t="s">
        <v>130</v>
      </c>
      <c r="F134" s="7" t="s">
        <v>17</v>
      </c>
      <c r="G134" s="7" t="s">
        <v>130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111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83</v>
      </c>
      <c r="B135" s="7" t="str">
        <f>IF(A135="","",VLOOKUP(A135,DB!A:B,2,0))</f>
        <v>Patchera Externa Video</v>
      </c>
      <c r="C135" s="6"/>
      <c r="D135" s="6"/>
      <c r="E135" s="7" t="s">
        <v>134</v>
      </c>
      <c r="F135" s="7" t="s">
        <v>17</v>
      </c>
      <c r="G135" s="7" t="s">
        <v>134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111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83</v>
      </c>
      <c r="B136" s="7" t="str">
        <f>IF(A136="","",VLOOKUP(A136,DB!A:B,2,0))</f>
        <v>Patchera Externa Video</v>
      </c>
      <c r="C136" s="6"/>
      <c r="D136" s="6"/>
      <c r="E136" s="7" t="s">
        <v>138</v>
      </c>
      <c r="F136" s="7" t="s">
        <v>17</v>
      </c>
      <c r="G136" s="7" t="s">
        <v>138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111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83</v>
      </c>
      <c r="B137" s="7" t="str">
        <f>IF(A137="","",VLOOKUP(A137,DB!A:B,2,0))</f>
        <v>Patchera Externa Video</v>
      </c>
      <c r="C137" s="6"/>
      <c r="D137" s="6"/>
      <c r="E137" s="7" t="s">
        <v>157</v>
      </c>
      <c r="F137" s="7" t="s">
        <v>17</v>
      </c>
      <c r="G137" s="7" t="s">
        <v>157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158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83</v>
      </c>
      <c r="B138" s="7" t="str">
        <f>IF(A138="","",VLOOKUP(A138,DB!A:B,2,0))</f>
        <v>Patchera Externa Video</v>
      </c>
      <c r="C138" s="6"/>
      <c r="D138" s="6"/>
      <c r="E138" s="7" t="s">
        <v>131</v>
      </c>
      <c r="F138" s="7" t="s">
        <v>17</v>
      </c>
      <c r="G138" s="7" t="s">
        <v>131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200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83</v>
      </c>
      <c r="B139" s="7" t="str">
        <f>IF(A139="","",VLOOKUP(A139,DB!A:B,2,0))</f>
        <v>Patchera Externa Video</v>
      </c>
      <c r="C139" s="6"/>
      <c r="D139" s="6"/>
      <c r="E139" s="7" t="s">
        <v>127</v>
      </c>
      <c r="F139" s="7" t="s">
        <v>17</v>
      </c>
      <c r="G139" s="7" t="s">
        <v>127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201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83</v>
      </c>
      <c r="B140" s="7" t="str">
        <f>IF(A140="","",VLOOKUP(A140,DB!A:B,2,0))</f>
        <v>Patchera Externa Video</v>
      </c>
      <c r="C140" s="6"/>
      <c r="D140" s="6"/>
      <c r="E140" s="7" t="s">
        <v>136</v>
      </c>
      <c r="F140" s="7" t="s">
        <v>17</v>
      </c>
      <c r="G140" s="7" t="s">
        <v>136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202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83</v>
      </c>
      <c r="B141" s="7" t="str">
        <f>IF(A141="","",VLOOKUP(A141,DB!A:B,2,0))</f>
        <v>Patchera Externa Video</v>
      </c>
      <c r="C141" s="6"/>
      <c r="D141" s="6"/>
      <c r="E141" s="7" t="s">
        <v>135</v>
      </c>
      <c r="F141" s="7" t="s">
        <v>17</v>
      </c>
      <c r="G141" s="7" t="s">
        <v>135</v>
      </c>
      <c r="H141" s="7" t="s">
        <v>37</v>
      </c>
      <c r="I141" s="6" t="str">
        <f>IF(H141="","",VLOOKUP(H141,DB!A:B,2,0))</f>
        <v/>
      </c>
      <c r="J141" s="6"/>
      <c r="K141" s="6"/>
      <c r="L141" s="6"/>
      <c r="M141" s="8" t="s">
        <v>203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83</v>
      </c>
      <c r="I142" s="6" t="str">
        <f>IF(H142="","",VLOOKUP(H142,DB!A:B,2,0))</f>
        <v>Patchera Externa Video</v>
      </c>
      <c r="J142" s="6"/>
      <c r="K142" s="6"/>
      <c r="L142" s="7" t="s">
        <v>161</v>
      </c>
      <c r="M142" s="8" t="s">
        <v>87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83</v>
      </c>
      <c r="I143" s="6" t="str">
        <f>IF(H143="","",VLOOKUP(H143,DB!A:B,2,0))</f>
        <v>Patchera Externa Video</v>
      </c>
      <c r="J143" s="6"/>
      <c r="K143" s="6"/>
      <c r="L143" s="7" t="s">
        <v>163</v>
      </c>
      <c r="M143" s="8" t="s">
        <v>88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83</v>
      </c>
      <c r="I144" s="6" t="str">
        <f>IF(H144="","",VLOOKUP(H144,DB!A:B,2,0))</f>
        <v>Patchera Externa Video</v>
      </c>
      <c r="J144" s="6"/>
      <c r="K144" s="6"/>
      <c r="L144" s="7" t="s">
        <v>164</v>
      </c>
      <c r="M144" s="8" t="s">
        <v>91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83</v>
      </c>
      <c r="I145" s="6" t="str">
        <f>IF(H145="","",VLOOKUP(H145,DB!A:B,2,0))</f>
        <v>Patchera Externa Video</v>
      </c>
      <c r="J145" s="6"/>
      <c r="K145" s="6"/>
      <c r="L145" s="7" t="s">
        <v>165</v>
      </c>
      <c r="M145" s="8" t="s">
        <v>93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83</v>
      </c>
      <c r="I146" s="6" t="str">
        <f>IF(H146="","",VLOOKUP(H146,DB!A:B,2,0))</f>
        <v>Patchera Externa Video</v>
      </c>
      <c r="J146" s="6"/>
      <c r="K146" s="6"/>
      <c r="L146" s="7" t="s">
        <v>166</v>
      </c>
      <c r="M146" s="8" t="s">
        <v>95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6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6"/>
      <c r="K296" s="6"/>
      <c r="L296" s="6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6"/>
      <c r="E302" s="6"/>
      <c r="F302" s="6"/>
      <c r="G302" s="6"/>
      <c r="H302" s="6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9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9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7"/>
      <c r="B493" s="7" t="str">
        <f>IF(A493="","",VLOOKUP(A493,DB!A:B,2,0))</f>
        <v/>
      </c>
      <c r="C493" s="6"/>
      <c r="D493" s="7"/>
      <c r="E493" s="7"/>
      <c r="F493" s="6"/>
      <c r="G493" s="6"/>
      <c r="H493" s="7"/>
      <c r="I493" s="6" t="str">
        <f>IF(H493="","",VLOOKUP(H493,DB!A:B,2,0))</f>
        <v/>
      </c>
      <c r="J493" s="7"/>
      <c r="K493" s="7"/>
      <c r="L493" s="7"/>
      <c r="M493" s="9"/>
      <c r="N493" s="9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</sheetData>
  <conditionalFormatting sqref="A1:AC493">
    <cfRule type="cellIs" dxfId="0" priority="1" operator="equal">
      <formula>"N/D"</formula>
    </cfRule>
  </conditionalFormatting>
  <conditionalFormatting sqref="A1:AC493">
    <cfRule type="cellIs" dxfId="1" priority="2" operator="equal">
      <formula>"N/C"</formula>
    </cfRule>
  </conditionalFormatting>
  <conditionalFormatting sqref="A1:AC493">
    <cfRule type="expression" dxfId="2" priority="3">
      <formula>ISEVEN(ROW())</formula>
    </cfRule>
  </conditionalFormatting>
  <dataValidations>
    <dataValidation type="list" allowBlank="1" showErrorMessage="1" sqref="H2:H94 A2:A493 H98:H493">
      <formula1>DB!$A$2:$A$1015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204</v>
      </c>
      <c r="B1" s="19" t="s">
        <v>205</v>
      </c>
      <c r="C1" s="20" t="s">
        <v>206</v>
      </c>
      <c r="D1" s="21" t="s">
        <v>207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208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209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89</v>
      </c>
      <c r="B5" s="10" t="s">
        <v>210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92</v>
      </c>
      <c r="B6" s="24" t="s">
        <v>211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94</v>
      </c>
      <c r="B7" s="10" t="s">
        <v>212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77</v>
      </c>
      <c r="B8" s="14" t="s">
        <v>213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117</v>
      </c>
      <c r="B9" s="10" t="s">
        <v>214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215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107</v>
      </c>
      <c r="B11" s="12" t="s">
        <v>108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216</v>
      </c>
      <c r="B13" s="12" t="s">
        <v>217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52</v>
      </c>
      <c r="B14" s="25" t="s">
        <v>218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65</v>
      </c>
      <c r="B15" s="14" t="s">
        <v>219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70</v>
      </c>
      <c r="B16" s="10" t="s">
        <v>220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96</v>
      </c>
      <c r="B17" s="14" t="s">
        <v>218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109</v>
      </c>
      <c r="B18" s="14" t="s">
        <v>221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222</v>
      </c>
      <c r="B19" s="7" t="s">
        <v>223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145</v>
      </c>
      <c r="B21" s="14" t="s">
        <v>224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225</v>
      </c>
      <c r="B22" s="24" t="s">
        <v>226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227</v>
      </c>
      <c r="B23" s="10" t="s">
        <v>228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229</v>
      </c>
      <c r="B24" s="14" t="s">
        <v>230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198</v>
      </c>
      <c r="B25" s="10" t="s">
        <v>231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199</v>
      </c>
      <c r="B26" s="14" t="s">
        <v>221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139</v>
      </c>
      <c r="B27" s="10" t="s">
        <v>232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233</v>
      </c>
      <c r="B28" s="14" t="s">
        <v>234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235</v>
      </c>
      <c r="B29" s="10" t="s">
        <v>236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237</v>
      </c>
      <c r="B30" s="14" t="s">
        <v>238</v>
      </c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4" t="s">
        <v>239</v>
      </c>
      <c r="B31" s="10" t="s">
        <v>240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241</v>
      </c>
      <c r="B32" s="14" t="s">
        <v>242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 t="s">
        <v>243</v>
      </c>
      <c r="B33" s="10" t="s">
        <v>244</v>
      </c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245</v>
      </c>
      <c r="B34" s="10" t="s">
        <v>246</v>
      </c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83</v>
      </c>
      <c r="B36" s="12" t="s">
        <v>247</v>
      </c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171</v>
      </c>
      <c r="B37" s="12" t="s">
        <v>248</v>
      </c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4"/>
      <c r="B38" s="14"/>
      <c r="C38" s="23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249</v>
      </c>
      <c r="B39" s="10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 t="s">
        <v>250</v>
      </c>
      <c r="B40" s="14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251</v>
      </c>
      <c r="B41" s="10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 t="s">
        <v>252</v>
      </c>
      <c r="B42" s="14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253</v>
      </c>
      <c r="B43" s="10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4" t="s">
        <v>254</v>
      </c>
      <c r="B44" s="14"/>
      <c r="C44" s="14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255</v>
      </c>
      <c r="B45" s="10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4" t="s">
        <v>256</v>
      </c>
      <c r="B46" s="14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257</v>
      </c>
      <c r="B47" s="10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4" t="s">
        <v>258</v>
      </c>
      <c r="B48" s="14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0" t="s">
        <v>259</v>
      </c>
      <c r="B49" s="10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4" t="s">
        <v>260</v>
      </c>
      <c r="B50" s="14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0" t="s">
        <v>261</v>
      </c>
      <c r="B51" s="25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4" t="s">
        <v>262</v>
      </c>
      <c r="B52" s="24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0" t="s">
        <v>263</v>
      </c>
      <c r="B53" s="25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 t="s">
        <v>264</v>
      </c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0"/>
      <c r="B55" s="10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 t="s">
        <v>265</v>
      </c>
      <c r="B56" s="14"/>
      <c r="C56" s="23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0"/>
      <c r="B57" s="10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6" t="s">
        <v>266</v>
      </c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5"/>
      <c r="B59" s="25"/>
      <c r="C59" s="23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4" t="s">
        <v>37</v>
      </c>
      <c r="B60" s="24"/>
      <c r="C60" s="23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17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7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7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7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7"/>
      <c r="B71" s="6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7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7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7"/>
      <c r="B89" s="17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2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4"/>
      <c r="B92" s="14"/>
      <c r="C92" s="22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7"/>
      <c r="B93" s="17"/>
      <c r="C93" s="22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22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22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</sheetData>
  <conditionalFormatting sqref="B97:B100">
    <cfRule type="cellIs" dxfId="1" priority="1" operator="equal">
      <formula>"N/C"</formula>
    </cfRule>
  </conditionalFormatting>
  <conditionalFormatting sqref="A1:Y1015">
    <cfRule type="cellIs" dxfId="0" priority="2" operator="equal">
      <formula>"N/D"</formula>
    </cfRule>
  </conditionalFormatting>
  <conditionalFormatting sqref="A1:Y101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267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131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Conexiones!A2:O493,
    IF(A2="""", ROW(Conexiones!A2:A493)^0, ISNUMBER(SEARCH(A2, Conexiones!A2:A493))),
    IF(B2="""", ROW(Conexiones!B2:B493)^0, ISNUMBER(SEARCH(B2, Conexiones!B2:B493))),
    IF(C2="""", ROW(Conexiones!C2:C493)^0, "&amp;"ISNUMBER(SEARCH(C2, Conexiones!C2:C493))),
    IF(D2="""", ROW(Conexiones!D2:D493)^0, ISNUMBER(SEARCH(D2, Conexiones!D2:D493))),
    IF(E2="""", ROW(Conexiones!E2:E493)^0, ISNUMBER(SEARCH(E2, Conexiones!E2:E493))),
    IF(L2="""", ROW(Conexiones!L2:L493)^"&amp;"0, ISNUMBER(SEARCH(L2, Conexiones!L2:L493))),
    IF(F2="""", ROW(Conexiones!F2:F493)^0, ISNUMBER(SEARCH(F2, Conexiones!F2:F493))),
    IF(G2="""", ROW(Conexiones!G2:G493)^0, ISNUMBER(SEARCH(G2, Conexiones!G2:G493))),
    IF(H2="""", ROW(Conexiones!H2:H49"&amp;"3)^0, ISNUMBER(SEARCH(H2, Conexiones!H2:H493))),
    IF(B2="""", ROW(Conexiones!H2:H493)^0, ISNUMBER(SEARCH(B2, Conexiones!H2:H493))),
    IF(I2="""", ROW(Conexiones!I2:I493)^0, ISNUMBER(SEARCH(I2, Conexiones!I2:I493))),
    IF(J2="""", ROW(Conexiones!J2:"&amp;"J493)^0, ISNUMBER(SEARCH(J2, Conexiones!J2:J493))),
    IF(K2="""", ROW(Conexiones!L2:L493)^0, ISNUMBER(SEARCH(K2, Conexiones!L2:L493))),
    IF(M2="""", ROW(Conexiones!M2:M493)^0, ISNUMBER(SEARCH(M2, Conexiones!M2:M493))),
    IF(N2="""", ROW(Conexiones!"&amp;"N2:N493)^0, ISNUMBER(SEARCH(N2, Conexiones!N2:N493))),
    IF(O2="""", ROW(Conexiones!O2:O493)^0, ISNUMBER(SEARCH(O2, Conexiones!O2:O493)))
  ),
  Q2,
  TRUE
)"),"C.2")</f>
        <v>C.2</v>
      </c>
      <c r="B3" s="6" t="str">
        <f>IFERROR(__xludf.DUMMYFUNCTION("""COMPUTED_VALUE"""),"Miranda Densite3")</f>
        <v>Miranda Densite3</v>
      </c>
      <c r="C3" s="6">
        <f>IFERROR(__xludf.DUMMYFUNCTION("""COMPUTED_VALUE"""),7.0)</f>
        <v>7</v>
      </c>
      <c r="D3" s="6" t="str">
        <f>IFERROR(__xludf.DUMMYFUNCTION("""COMPUTED_VALUE"""),"Dist. Amp. 2x4")</f>
        <v>Dist. Amp. 2x4</v>
      </c>
      <c r="E3" s="6" t="str">
        <f>IFERROR(__xludf.DUMMYFUNCTION("""COMPUTED_VALUE"""),"B2")</f>
        <v>B2</v>
      </c>
      <c r="F3" s="6" t="str">
        <f>IFERROR(__xludf.DUMMYFUNCTION("""COMPUTED_VALUE"""),"T")</f>
        <v>T</v>
      </c>
      <c r="G3" s="6" t="str">
        <f>IFERROR(__xludf.DUMMYFUNCTION("""COMPUTED_VALUE"""),"In B")</f>
        <v>In B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IFERROR(__xludf.DUMMYFUNCTION("""COMPUTED_VALUE"""),"V10")</f>
        <v>V10</v>
      </c>
      <c r="M3" s="6" t="str">
        <f>IFERROR(__xludf.DUMMYFUNCTION("""COMPUTED_VALUE"""),"AIRE Out")</f>
        <v>AIRE Out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DB!$B$2:$B$414</formula1>
    </dataValidation>
  </dataValidations>
  <drawing r:id="rId1"/>
</worksheet>
</file>