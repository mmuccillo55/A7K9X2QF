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<sst xmlns="http://schemas.openxmlformats.org/spreadsheetml/2006/main" count="1363" uniqueCount="328">
  <si>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</si>
  <si>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</si>
  <si>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</si>
  <si>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</si>
  <si>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</si>
  <si>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</si>
  <si>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</si>
  <si>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</si>
  <si>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</si>
  <si>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</si>
  <si>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</si>
  <si>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</si>
  <si>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</si>
  <si>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</si>
  <si>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</si>
  <si>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</si>
  <si>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</si>
  <si>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</si>
  <si>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</si>
  <si>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</si>
  <si>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</si>
  <si>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</si>
  <si>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</si>
  <si>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</si>
  <si>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</si>
  <si>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</si>
  <si>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</si>
  <si>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</si>
  <si>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</si>
  <si>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</si>
  <si>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</si>
  <si>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</si>
  <si>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</si>
  <si>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</si>
  <si>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</si>
  <si>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</si>
  <si>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</si>
  <si>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</si>
  <si>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</si>
  <si>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</si>
  <si>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</si>
  <si>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</si>
  <si>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</si>
  <si>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</si>
  <si>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</si>
  <si>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</si>
  <si>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</si>
  <si>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</si>
  <si>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</si>
  <si>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</si>
  <si>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</si>
  <si>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</si>
  <si>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</si>
  <si>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</si>
  <si>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</si>
  <si>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</si>
  <si>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</si>
  <si>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</si>
  <si>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</si>
  <si>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</si>
  <si>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</si>
  <si>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</si>
  <si>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</si>
  <si>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</si>
  <si>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</si>
  <si>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</si>
  <si>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</si>
  <si>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</si>
  <si>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</si>
  <si>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</si>
  <si>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</si>
  <si>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</si>
  <si>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</si>
  <si>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</si>
  <si>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</si>
  <si>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</si>
  <si>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</si>
  <si>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</si>
  <si>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</si>
  <si>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</si>
  <si>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</si>
  <si>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</si>
  <si>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</si>
  <si>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</si>
  <si>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</si>
  <si>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</si>
  <si>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</si>
  <si>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</si>
  <si>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</si>
  <si>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</si>
  <si>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</si>
  <si>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</si>
  <si>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</si>
  <si>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</si>
  <si>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</si>
  <si>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</si>
  <si>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</si>
  <si>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</si>
  <si>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</si>
  <si>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</si>
  <si>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</si>
  <si>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</si>
  <si>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</si>
  <si>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</si>
  <si>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</si>
  <si>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</si>
  <si>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</si>
  <si>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</si>
  <si>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</si>
  <si>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</si>
  <si>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</si>
  <si>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</si>
  <si>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</si>
  <si>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</si>
  <si>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</si>
  <si>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</si>
  <si>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</si>
  <si>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</si>
  <si>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</si>
  <si>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</si>
  <si>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</si>
  <si>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</si>
  <si>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</si>
  <si>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</si>
  <si>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</si>
  <si>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</si>
  <si>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</si>
  <si>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</si>
  <si>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</si>
  <si>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</si>
  <si>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</si>
  <si>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</si>
  <si>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</si>
  <si>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</si>
  <si>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</si>
  <si>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</si>
  <si>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</si>
  <si>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</si>
  <si>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</si>
  <si>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</si>
  <si>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</si>
  <si>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</si>
  <si>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</si>
  <si>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</si>
  <si>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</si>
  <si>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</si>
  <si>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</si>
  <si>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</si>
  <si>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</si>
  <si>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</si>
  <si>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</si>
  <si>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</si>
  <si>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</si>
  <si>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</si>
  <si>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</si>
  <si>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</si>
  <si>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</si>
  <si>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</si>
  <si>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</si>
  <si>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Out 5a</t>
  </si>
  <si>
    <t>Audio In 3</t>
  </si>
  <si>
    <t>SUB 1</t>
  </si>
  <si>
    <t>Out 5b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</si>
  <si>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</si>
  <si>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</si>
  <si>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</si>
  <si>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</si>
  <si>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</si>
  <si>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</si>
  <si>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</si>
  <si>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</si>
  <si>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</si>
  <si>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</si>
  <si>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</si>
  <si>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</si>
  <si>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</si>
  <si>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</si>
  <si>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</si>
  <si>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</si>
  <si>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</si>
  <si>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</si>
  <si>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</si>
  <si>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</si>
  <si>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</si>
  <si>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</si>
  <si>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</si>
  <si>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</si>
  <si>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</si>
  <si>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</si>
  <si>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</si>
  <si>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Out 8a</t>
  </si>
  <si>
    <t>A13</t>
  </si>
  <si>
    <t>ORDEN</t>
  </si>
  <si>
    <t>Out 8b</t>
  </si>
  <si>
    <t>A14</t>
  </si>
  <si>
    <t>Out 8c</t>
  </si>
  <si>
    <t>A15</t>
  </si>
  <si>
    <t>Out 8d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</si>
  <si>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</si>
  <si>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</si>
  <si>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</si>
  <si>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</si>
  <si>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</si>
  <si>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</si>
  <si>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</si>
  <si>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</si>
  <si>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</si>
  <si>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</si>
  <si>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</si>
  <si>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</si>
  <si>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</si>
  <si>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</si>
  <si>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</si>
  <si>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</si>
  <si>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</si>
  <si>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</si>
  <si>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</si>
  <si>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</si>
  <si>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</si>
  <si>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</si>
  <si>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</si>
  <si>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</si>
  <si>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</si>
  <si>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</si>
  <si>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</si>
  <si>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</si>
  <si>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</si>
  <si>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</si>
  <si>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</si>
  <si>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</si>
  <si>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</si>
  <si>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</si>
  <si>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</si>
  <si>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</si>
  <si>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</si>
  <si>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</si>
  <si>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</si>
  <si>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</si>
  <si>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</si>
  <si>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</si>
  <si>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</si>
  <si>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</si>
  <si>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</si>
  <si>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</si>
  <si>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</si>
  <si>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</si>
  <si>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</si>
  <si>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</si>
  <si>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</si>
  <si>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</si>
  <si>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</si>
  <si>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</si>
  <si>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2a</t>
  </si>
  <si>
    <t>Aux Out 2b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</si>
  <si>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</si>
  <si>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</si>
  <si>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</si>
  <si>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</si>
  <si>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</si>
  <si>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</si>
  <si>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</si>
  <si>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</si>
  <si>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</si>
  <si>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</si>
  <si>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</si>
  <si>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</si>
  <si>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</si>
  <si>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</si>
  <si>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</si>
  <si>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</si>
  <si>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</si>
  <si>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</si>
  <si>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</si>
  <si>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</si>
  <si>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</si>
  <si>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</si>
  <si>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</si>
  <si>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</si>
  <si>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</si>
  <si>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</si>
  <si>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</si>
  <si>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</si>
  <si>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</si>
  <si>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</si>
  <si>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</si>
  <si>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</si>
  <si>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</si>
  <si>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</si>
  <si>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</si>
  <si>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</si>
  <si>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</si>
  <si>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</si>
  <si>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</si>
  <si>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</si>
  <si>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</si>
  <si>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</si>
  <si>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</si>
  <si>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</si>
  <si>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</si>
  <si>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</si>
  <si>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</si>
  <si>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</si>
  <si>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</si>
  <si>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</si>
  <si>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</si>
  <si>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</si>
  <si>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</si>
  <si>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</si>
  <si>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</si>
  <si>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</si>
  <si>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</si>
  <si>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</si>
  <si>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</si>
  <si>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</si>
  <si>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</si>
  <si>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</si>
  <si>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</si>
  <si>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</si>
  <si>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</si>
  <si>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</si>
  <si>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</si>
  <si>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</si>
  <si>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</si>
  <si>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</si>
  <si>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GL</t>
  </si>
  <si>
    <t>GENLOCK</t>
  </si>
  <si>
    <t>Ordenar por Columna:</t>
  </si>
  <si>
    <t>b.9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</si>
</sst>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2.0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(PGM)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(AIRE/PGM)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(PGM)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2.0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(AIRE/PGM)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(AIRE/PGM)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2.0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159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D3 (Audio)</v>
      </c>
      <c r="J66" s="7">
        <v>1.0</v>
      </c>
      <c r="K66" s="7" t="s">
        <v>113</v>
      </c>
      <c r="L66" s="7" t="s">
        <v>160</v>
      </c>
      <c r="M66" s="8" t="s">
        <v>161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D3 (Audio)</v>
      </c>
      <c r="C67" s="7">
        <v>8.0</v>
      </c>
      <c r="D67" s="7" t="s">
        <v>154</v>
      </c>
      <c r="E67" s="7" t="s">
        <v>162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163</v>
      </c>
      <c r="M67" s="8" t="s">
        <v>161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D3 (Audio)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D3 (Video)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164</v>
      </c>
      <c r="M69" s="7" t="s">
        <v>165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104</v>
      </c>
      <c r="B70" s="7" t="str">
        <f>IF(A70="","",VLOOKUP(A70,DB!A:B,2,0))</f>
        <v>SmartScope (PGM)</v>
      </c>
      <c r="C70" s="6"/>
      <c r="D70" s="6"/>
      <c r="E70" s="7" t="s">
        <v>84</v>
      </c>
      <c r="F70" s="7" t="s">
        <v>17</v>
      </c>
      <c r="G70" s="7" t="s">
        <v>115</v>
      </c>
      <c r="H70" s="7" t="s">
        <v>104</v>
      </c>
      <c r="I70" s="6" t="str">
        <f>IF(H70="","",VLOOKUP(H70,DB!A:B,2,0))</f>
        <v>SmartScope (PGM)</v>
      </c>
      <c r="J70" s="6"/>
      <c r="K70" s="6"/>
      <c r="L70" s="7" t="s">
        <v>105</v>
      </c>
      <c r="M70" s="8" t="s">
        <v>166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Patch Ext. Video</v>
      </c>
      <c r="C71" s="6"/>
      <c r="D71" s="6"/>
      <c r="E71" s="7" t="s">
        <v>167</v>
      </c>
      <c r="F71" s="7" t="s">
        <v>17</v>
      </c>
      <c r="G71" s="7" t="s">
        <v>167</v>
      </c>
      <c r="H71" s="7" t="s">
        <v>51</v>
      </c>
      <c r="I71" s="6" t="str">
        <f>IF(H71="","",VLOOKUP(H71,DB!A:B,2,0))</f>
        <v>Miranda D3 (Video)</v>
      </c>
      <c r="J71" s="7">
        <v>7.0</v>
      </c>
      <c r="K71" s="7" t="s">
        <v>52</v>
      </c>
      <c r="L71" s="7" t="s">
        <v>57</v>
      </c>
      <c r="M71" s="8" t="s">
        <v>168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169</v>
      </c>
      <c r="F72" s="7" t="s">
        <v>17</v>
      </c>
      <c r="G72" s="7" t="s">
        <v>169</v>
      </c>
      <c r="H72" s="7" t="s">
        <v>64</v>
      </c>
      <c r="I72" s="6" t="str">
        <f>IF(H72="","",VLOOKUP(H72,DB!A:B,2,0))</f>
        <v>Ikegami BS-80 4</v>
      </c>
      <c r="J72" s="6"/>
      <c r="K72" s="6"/>
      <c r="L72" s="7" t="s">
        <v>170</v>
      </c>
      <c r="M72" s="8" t="s">
        <v>81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171</v>
      </c>
      <c r="F73" s="7" t="s">
        <v>17</v>
      </c>
      <c r="G73" s="7" t="s">
        <v>171</v>
      </c>
      <c r="H73" s="7" t="s">
        <v>69</v>
      </c>
      <c r="I73" s="6" t="str">
        <f>IF(H73="","",VLOOKUP(H73,DB!A:B,2,0))</f>
        <v>Ikegami BS-80 5</v>
      </c>
      <c r="J73" s="6"/>
      <c r="K73" s="6"/>
      <c r="L73" s="7" t="s">
        <v>170</v>
      </c>
      <c r="M73" s="8" t="s">
        <v>82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172</v>
      </c>
      <c r="F74" s="7" t="s">
        <v>17</v>
      </c>
      <c r="G74" s="7" t="s">
        <v>172</v>
      </c>
      <c r="H74" s="7" t="s">
        <v>83</v>
      </c>
      <c r="I74" s="6" t="str">
        <f>IF(H74="","",VLOOKUP(H74,DB!A:B,2,0))</f>
        <v>CopperHead ProHD 1</v>
      </c>
      <c r="J74" s="6"/>
      <c r="K74" s="6"/>
      <c r="L74" s="7" t="s">
        <v>170</v>
      </c>
      <c r="M74" s="8" t="s">
        <v>85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173</v>
      </c>
      <c r="F75" s="7" t="s">
        <v>17</v>
      </c>
      <c r="G75" s="7" t="s">
        <v>173</v>
      </c>
      <c r="H75" s="7" t="s">
        <v>86</v>
      </c>
      <c r="I75" s="6" t="str">
        <f>IF(H75="","",VLOOKUP(H75,DB!A:B,2,0))</f>
        <v>CopperHead ProHD 2</v>
      </c>
      <c r="J75" s="6"/>
      <c r="K75" s="6"/>
      <c r="L75" s="7" t="s">
        <v>170</v>
      </c>
      <c r="M75" s="8" t="s">
        <v>87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174</v>
      </c>
      <c r="F76" s="7" t="s">
        <v>17</v>
      </c>
      <c r="G76" s="7" t="s">
        <v>174</v>
      </c>
      <c r="H76" s="7" t="s">
        <v>88</v>
      </c>
      <c r="I76" s="6" t="str">
        <f>IF(H76="","",VLOOKUP(H76,DB!A:B,2,0))</f>
        <v>CopperHead ProHD 3</v>
      </c>
      <c r="J76" s="6"/>
      <c r="K76" s="6"/>
      <c r="L76" s="7" t="s">
        <v>170</v>
      </c>
      <c r="M76" s="8" t="s">
        <v>89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175</v>
      </c>
      <c r="F77" s="7" t="s">
        <v>17</v>
      </c>
      <c r="G77" s="7" t="s">
        <v>175</v>
      </c>
      <c r="H77" s="7" t="s">
        <v>90</v>
      </c>
      <c r="I77" s="6" t="str">
        <f>IF(H77="","",VLOOKUP(H77,DB!A:B,2,0))</f>
        <v>Miranda D3 (Audio)</v>
      </c>
      <c r="J77" s="7">
        <v>5.0</v>
      </c>
      <c r="K77" s="7" t="s">
        <v>91</v>
      </c>
      <c r="L77" s="7" t="s">
        <v>93</v>
      </c>
      <c r="M77" s="8" t="s">
        <v>94</v>
      </c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176</v>
      </c>
      <c r="F78" s="7" t="s">
        <v>17</v>
      </c>
      <c r="G78" s="7" t="s">
        <v>176</v>
      </c>
      <c r="H78" s="7" t="s">
        <v>90</v>
      </c>
      <c r="I78" s="6" t="str">
        <f>IF(H78="","",VLOOKUP(H78,DB!A:B,2,0))</f>
        <v>Miranda D3 (Audio)</v>
      </c>
      <c r="J78" s="7">
        <v>6.0</v>
      </c>
      <c r="K78" s="7" t="s">
        <v>91</v>
      </c>
      <c r="L78" s="7" t="s">
        <v>93</v>
      </c>
      <c r="M78" s="8" t="s">
        <v>95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177</v>
      </c>
      <c r="B79" s="10" t="str">
        <f>IF(A79="","",VLOOKUP(A79,DB!A:B,2,0))</f>
        <v>Patch Ext. Audio</v>
      </c>
      <c r="C79" s="11"/>
      <c r="D79" s="10"/>
      <c r="E79" s="12" t="s">
        <v>122</v>
      </c>
      <c r="F79" s="7" t="s">
        <v>17</v>
      </c>
      <c r="G79" s="12" t="s">
        <v>122</v>
      </c>
      <c r="H79" s="12" t="s">
        <v>146</v>
      </c>
      <c r="I79" s="10" t="str">
        <f>IF(H79="","",VLOOKUP(H79,DB!A:B,2,0))</f>
        <v>Yamaha MG166</v>
      </c>
      <c r="J79" s="10"/>
      <c r="K79" s="10"/>
      <c r="L79" s="12" t="s">
        <v>18</v>
      </c>
      <c r="M79" s="13" t="s">
        <v>178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4" t="str">
        <f>IF(A80="","",VLOOKUP(A80,DB!A:B,2,0))</f>
        <v>Patch Ext. Audio</v>
      </c>
      <c r="C80" s="14"/>
      <c r="D80" s="14"/>
      <c r="E80" s="12" t="s">
        <v>127</v>
      </c>
      <c r="F80" s="7" t="s">
        <v>17</v>
      </c>
      <c r="G80" s="12" t="s">
        <v>127</v>
      </c>
      <c r="H80" s="12" t="s">
        <v>146</v>
      </c>
      <c r="I80" s="14" t="str">
        <f>IF(H80="","",VLOOKUP(H80,DB!A:B,2,0))</f>
        <v>Yamaha MG166</v>
      </c>
      <c r="J80" s="14"/>
      <c r="K80" s="14"/>
      <c r="L80" s="12" t="s">
        <v>24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128</v>
      </c>
      <c r="F81" s="7" t="s">
        <v>17</v>
      </c>
      <c r="G81" s="12" t="s">
        <v>128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28</v>
      </c>
      <c r="M81" s="13" t="s">
        <v>180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181</v>
      </c>
      <c r="F82" s="7" t="s">
        <v>17</v>
      </c>
      <c r="G82" s="12" t="s">
        <v>181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32</v>
      </c>
      <c r="M82" s="13" t="s">
        <v>182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0" t="str">
        <f>IF(A83="","",VLOOKUP(A83,DB!A:B,2,0))</f>
        <v>Patch Ext. Audio</v>
      </c>
      <c r="C83" s="10"/>
      <c r="D83" s="10"/>
      <c r="E83" s="12" t="s">
        <v>183</v>
      </c>
      <c r="F83" s="7" t="s">
        <v>17</v>
      </c>
      <c r="G83" s="12" t="s">
        <v>183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36</v>
      </c>
      <c r="M83" s="13" t="s">
        <v>184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4" t="str">
        <f>IF(A84="","",VLOOKUP(A84,DB!A:B,2,0))</f>
        <v>Patch Ext. Audio</v>
      </c>
      <c r="C84" s="14"/>
      <c r="D84" s="14"/>
      <c r="E84" s="12" t="s">
        <v>185</v>
      </c>
      <c r="F84" s="7" t="s">
        <v>17</v>
      </c>
      <c r="G84" s="12" t="s">
        <v>185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39</v>
      </c>
      <c r="M84" s="13" t="s">
        <v>186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7" t="str">
        <f>IF(A85="","",VLOOKUP(A85,DB!A:B,2,0))</f>
        <v>Patch Ext. Audio</v>
      </c>
      <c r="C85" s="6"/>
      <c r="D85" s="6"/>
      <c r="E85" s="12" t="s">
        <v>187</v>
      </c>
      <c r="F85" s="7" t="s">
        <v>17</v>
      </c>
      <c r="G85" s="12" t="s">
        <v>187</v>
      </c>
      <c r="H85" s="12" t="s">
        <v>146</v>
      </c>
      <c r="I85" s="6" t="str">
        <f>IF(H85="","",VLOOKUP(H85,DB!A:B,2,0))</f>
        <v>Yamaha MG166</v>
      </c>
      <c r="J85" s="6"/>
      <c r="K85" s="6"/>
      <c r="L85" s="12" t="s">
        <v>41</v>
      </c>
      <c r="M85" s="13" t="s">
        <v>94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188</v>
      </c>
      <c r="F86" s="7" t="s">
        <v>17</v>
      </c>
      <c r="G86" s="12" t="s">
        <v>188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44</v>
      </c>
      <c r="M86" s="13" t="s">
        <v>95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189</v>
      </c>
      <c r="F87" s="7" t="s">
        <v>17</v>
      </c>
      <c r="G87" s="12" t="s">
        <v>189</v>
      </c>
      <c r="H87" s="7" t="s">
        <v>146</v>
      </c>
      <c r="I87" s="6" t="str">
        <f>IF(H87="","",VLOOKUP(H87,DB!A:B,2,0))</f>
        <v>Yamaha MG166</v>
      </c>
      <c r="J87" s="6"/>
      <c r="K87" s="6"/>
      <c r="L87" s="12" t="s">
        <v>47</v>
      </c>
      <c r="M87" s="13" t="s">
        <v>98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90</v>
      </c>
      <c r="B88" s="7" t="str">
        <f>IF(A88="","",VLOOKUP(A88,DB!A:B,2,0))</f>
        <v>Miranda D3 (Audio)</v>
      </c>
      <c r="C88" s="7">
        <v>10.0</v>
      </c>
      <c r="D88" s="7" t="s">
        <v>154</v>
      </c>
      <c r="E88" s="7" t="s">
        <v>190</v>
      </c>
      <c r="F88" s="7" t="s">
        <v>17</v>
      </c>
      <c r="G88" s="7" t="s">
        <v>24</v>
      </c>
      <c r="H88" s="7" t="s">
        <v>177</v>
      </c>
      <c r="I88" s="6" t="str">
        <f>IF(H88="","",VLOOKUP(H88,DB!A:B,2,0))</f>
        <v>Patch Ext. Audio</v>
      </c>
      <c r="J88" s="6"/>
      <c r="K88" s="6"/>
      <c r="L88" s="7" t="s">
        <v>191</v>
      </c>
      <c r="M88" s="8" t="s">
        <v>192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193</v>
      </c>
      <c r="F89" s="7" t="s">
        <v>17</v>
      </c>
      <c r="G89" s="7" t="s">
        <v>24</v>
      </c>
      <c r="H89" s="7" t="s">
        <v>177</v>
      </c>
      <c r="I89" s="6" t="str">
        <f>IF(H89="","",VLOOKUP(H89,DB!A:B,2,0))</f>
        <v>Patch Ext. Audio</v>
      </c>
      <c r="J89" s="6"/>
      <c r="K89" s="6"/>
      <c r="L89" s="7" t="s">
        <v>194</v>
      </c>
      <c r="M89" s="8" t="s">
        <v>192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90</v>
      </c>
      <c r="B90" s="7" t="str">
        <f>IF(A90="","",VLOOKUP(A90,DB!A:B,2,0))</f>
        <v>Miranda D3 (Audio)</v>
      </c>
      <c r="C90" s="7">
        <v>10.0</v>
      </c>
      <c r="D90" s="7" t="s">
        <v>154</v>
      </c>
      <c r="E90" s="7" t="s">
        <v>195</v>
      </c>
      <c r="F90" s="7" t="s">
        <v>17</v>
      </c>
      <c r="G90" s="7" t="s">
        <v>24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196</v>
      </c>
      <c r="M90" s="8" t="s">
        <v>192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90</v>
      </c>
      <c r="B91" s="7" t="str">
        <f>IF(A91="","",VLOOKUP(A91,DB!A:B,2,0))</f>
        <v>Miranda D3 (Audio)</v>
      </c>
      <c r="C91" s="7">
        <v>10.0</v>
      </c>
      <c r="D91" s="7" t="s">
        <v>154</v>
      </c>
      <c r="E91" s="7" t="s">
        <v>197</v>
      </c>
      <c r="F91" s="7" t="s">
        <v>17</v>
      </c>
      <c r="G91" s="7" t="s">
        <v>24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198</v>
      </c>
      <c r="M91" s="8" t="s">
        <v>192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D3 (Audio)</v>
      </c>
      <c r="C92" s="7">
        <v>7.0</v>
      </c>
      <c r="D92" s="7" t="s">
        <v>154</v>
      </c>
      <c r="E92" s="7" t="s">
        <v>23</v>
      </c>
      <c r="F92" s="7" t="s">
        <v>17</v>
      </c>
      <c r="G92" s="7" t="s">
        <v>18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199</v>
      </c>
      <c r="M92" s="8" t="s">
        <v>156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D3 (Audio)</v>
      </c>
      <c r="C93" s="7">
        <v>7.0</v>
      </c>
      <c r="D93" s="7" t="s">
        <v>154</v>
      </c>
      <c r="E93" s="7" t="s">
        <v>38</v>
      </c>
      <c r="F93" s="7" t="s">
        <v>17</v>
      </c>
      <c r="G93" s="7" t="s">
        <v>24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200</v>
      </c>
      <c r="M93" s="8" t="s">
        <v>158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8.0</v>
      </c>
      <c r="D94" s="7" t="s">
        <v>154</v>
      </c>
      <c r="E94" s="7" t="s">
        <v>38</v>
      </c>
      <c r="F94" s="7" t="s">
        <v>17</v>
      </c>
      <c r="G94" s="7" t="s">
        <v>24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201</v>
      </c>
      <c r="M94" s="8" t="s">
        <v>161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6" t="str">
        <f>IF(A95="","",VLOOKUP(A95,DB!A:B,2,0))</f>
        <v>Miranda D3 (Audio)</v>
      </c>
      <c r="C95" s="7">
        <v>8.0</v>
      </c>
      <c r="D95" s="7" t="s">
        <v>154</v>
      </c>
      <c r="E95" s="7" t="s">
        <v>16</v>
      </c>
      <c r="F95" s="7" t="s">
        <v>17</v>
      </c>
      <c r="G95" s="7" t="s">
        <v>18</v>
      </c>
      <c r="H95" s="7" t="s">
        <v>177</v>
      </c>
      <c r="I95" s="7" t="str">
        <f>IF(H95="","",VLOOKUP(H95,DB!A:B,2,0))</f>
        <v>Patch Ext. Audio</v>
      </c>
      <c r="J95" s="6"/>
      <c r="K95" s="6"/>
      <c r="L95" s="7" t="s">
        <v>202</v>
      </c>
      <c r="M95" s="8" t="s">
        <v>203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6" t="str">
        <f>IF(A96="","",VLOOKUP(A96,DB!A:B,2,0))</f>
        <v>Miranda D3 (Audio)</v>
      </c>
      <c r="C96" s="7">
        <v>9.0</v>
      </c>
      <c r="D96" s="7" t="s">
        <v>154</v>
      </c>
      <c r="E96" s="7" t="s">
        <v>35</v>
      </c>
      <c r="F96" s="7" t="s">
        <v>17</v>
      </c>
      <c r="G96" s="7" t="s">
        <v>24</v>
      </c>
      <c r="H96" s="7" t="s">
        <v>177</v>
      </c>
      <c r="I96" s="7" t="str">
        <f>IF(H96="","",VLOOKUP(H96,DB!A:B,2,0))</f>
        <v>Patch Ext. Audio</v>
      </c>
      <c r="J96" s="6"/>
      <c r="K96" s="6"/>
      <c r="L96" s="7" t="s">
        <v>204</v>
      </c>
      <c r="M96" s="8" t="s">
        <v>124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9.0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205</v>
      </c>
      <c r="M97" s="7" t="s">
        <v>125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206</v>
      </c>
      <c r="M98" s="7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8.0</v>
      </c>
      <c r="D99" s="7" t="s">
        <v>154</v>
      </c>
      <c r="E99" s="7" t="s">
        <v>23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207</v>
      </c>
      <c r="M99" s="7" t="s">
        <v>203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177</v>
      </c>
      <c r="B100" s="7" t="str">
        <f>IF(A100="","",VLOOKUP(A100,DB!A:B,2,0))</f>
        <v>Patch Ext. Audio</v>
      </c>
      <c r="C100" s="6"/>
      <c r="D100" s="6"/>
      <c r="E100" s="7" t="s">
        <v>208</v>
      </c>
      <c r="F100" s="7" t="s">
        <v>17</v>
      </c>
      <c r="G100" s="7" t="s">
        <v>208</v>
      </c>
      <c r="H100" s="7" t="s">
        <v>83</v>
      </c>
      <c r="I100" s="6" t="str">
        <f>IF(H100="","",VLOOKUP(H100,DB!A:B,2,0))</f>
        <v>CopperHead ProHD 1</v>
      </c>
      <c r="J100" s="6"/>
      <c r="K100" s="6"/>
      <c r="L100" s="7" t="s">
        <v>145</v>
      </c>
      <c r="M100" s="7" t="s">
        <v>209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177</v>
      </c>
      <c r="B101" s="7" t="str">
        <f>IF(A101="","",VLOOKUP(A101,DB!A:B,2,0))</f>
        <v>Patch Ext. Audio</v>
      </c>
      <c r="C101" s="6"/>
      <c r="D101" s="6"/>
      <c r="E101" s="7" t="s">
        <v>210</v>
      </c>
      <c r="F101" s="7" t="s">
        <v>17</v>
      </c>
      <c r="G101" s="7" t="s">
        <v>210</v>
      </c>
      <c r="H101" s="7" t="s">
        <v>83</v>
      </c>
      <c r="I101" s="6" t="str">
        <f>IF(H101="","",VLOOKUP(H101,DB!A:B,2,0))</f>
        <v>CopperHead ProHD 1</v>
      </c>
      <c r="J101" s="6"/>
      <c r="K101" s="6"/>
      <c r="L101" s="7" t="s">
        <v>151</v>
      </c>
      <c r="M101" s="7" t="s">
        <v>211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212</v>
      </c>
      <c r="F102" s="7" t="s">
        <v>17</v>
      </c>
      <c r="G102" s="7" t="s">
        <v>212</v>
      </c>
      <c r="H102" s="7" t="s">
        <v>86</v>
      </c>
      <c r="I102" s="6" t="str">
        <f>IF(H102="","",VLOOKUP(H102,DB!A:B,2,0))</f>
        <v>CopperHead ProHD 2</v>
      </c>
      <c r="J102" s="6"/>
      <c r="K102" s="6"/>
      <c r="L102" s="7" t="s">
        <v>145</v>
      </c>
      <c r="M102" s="7" t="s">
        <v>213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214</v>
      </c>
      <c r="F103" s="7" t="s">
        <v>17</v>
      </c>
      <c r="G103" s="7" t="s">
        <v>214</v>
      </c>
      <c r="H103" s="7" t="s">
        <v>86</v>
      </c>
      <c r="I103" s="6" t="str">
        <f>IF(H103="","",VLOOKUP(H103,DB!A:B,2,0))</f>
        <v>CopperHead ProHD 2</v>
      </c>
      <c r="J103" s="6"/>
      <c r="K103" s="6"/>
      <c r="L103" s="7" t="s">
        <v>151</v>
      </c>
      <c r="M103" s="7" t="s">
        <v>215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216</v>
      </c>
      <c r="F104" s="7" t="s">
        <v>17</v>
      </c>
      <c r="G104" s="7" t="s">
        <v>216</v>
      </c>
      <c r="H104" s="7" t="s">
        <v>88</v>
      </c>
      <c r="I104" s="6" t="str">
        <f>IF(H104="","",VLOOKUP(H104,DB!A:B,2,0))</f>
        <v>CopperHead ProHD 3</v>
      </c>
      <c r="J104" s="6"/>
      <c r="K104" s="6"/>
      <c r="L104" s="7" t="s">
        <v>145</v>
      </c>
      <c r="M104" s="7" t="s">
        <v>217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218</v>
      </c>
      <c r="F105" s="7" t="s">
        <v>17</v>
      </c>
      <c r="G105" s="7" t="s">
        <v>218</v>
      </c>
      <c r="H105" s="7" t="s">
        <v>88</v>
      </c>
      <c r="I105" s="6" t="str">
        <f>IF(H105="","",VLOOKUP(H105,DB!A:B,2,0))</f>
        <v>CopperHead ProHD 3</v>
      </c>
      <c r="J105" s="6"/>
      <c r="K105" s="6"/>
      <c r="L105" s="7" t="s">
        <v>151</v>
      </c>
      <c r="M105" s="7" t="s">
        <v>219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220</v>
      </c>
      <c r="F106" s="7" t="s">
        <v>17</v>
      </c>
      <c r="G106" s="7" t="s">
        <v>220</v>
      </c>
      <c r="H106" s="7" t="s">
        <v>64</v>
      </c>
      <c r="I106" s="6" t="str">
        <f>IF(H106="","",VLOOKUP(H106,DB!A:B,2,0))</f>
        <v>Ikegami BS-80 4</v>
      </c>
      <c r="J106" s="6"/>
      <c r="K106" s="6"/>
      <c r="L106" s="7" t="s">
        <v>145</v>
      </c>
      <c r="M106" s="7" t="s">
        <v>221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222</v>
      </c>
      <c r="F107" s="7" t="s">
        <v>17</v>
      </c>
      <c r="G107" s="7" t="s">
        <v>222</v>
      </c>
      <c r="H107" s="7" t="s">
        <v>64</v>
      </c>
      <c r="I107" s="6" t="str">
        <f>IF(H107="","",VLOOKUP(H107,DB!A:B,2,0))</f>
        <v>Ikegami BS-80 4</v>
      </c>
      <c r="J107" s="6"/>
      <c r="K107" s="6"/>
      <c r="L107" s="7" t="s">
        <v>151</v>
      </c>
      <c r="M107" s="7" t="s">
        <v>223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224</v>
      </c>
      <c r="F108" s="7" t="s">
        <v>17</v>
      </c>
      <c r="G108" s="7" t="s">
        <v>224</v>
      </c>
      <c r="H108" s="7" t="s">
        <v>69</v>
      </c>
      <c r="I108" s="6" t="str">
        <f>IF(H108="","",VLOOKUP(H108,DB!A:B,2,0))</f>
        <v>Ikegami BS-80 5</v>
      </c>
      <c r="J108" s="6"/>
      <c r="K108" s="6"/>
      <c r="L108" s="7" t="s">
        <v>145</v>
      </c>
      <c r="M108" s="7" t="s">
        <v>225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14" t="str">
        <f>IF(A109="","",VLOOKUP(A109,DB!A:B,2,0))</f>
        <v>Patch Ext. Audio</v>
      </c>
      <c r="C109" s="15"/>
      <c r="D109" s="14"/>
      <c r="E109" s="7" t="s">
        <v>226</v>
      </c>
      <c r="F109" s="7" t="s">
        <v>17</v>
      </c>
      <c r="G109" s="7" t="s">
        <v>226</v>
      </c>
      <c r="H109" s="16" t="s">
        <v>69</v>
      </c>
      <c r="I109" s="14" t="str">
        <f>IF(H109="","",VLOOKUP(H109,DB!A:B,2,0))</f>
        <v>Ikegami BS-80 5</v>
      </c>
      <c r="J109" s="14"/>
      <c r="K109" s="14"/>
      <c r="L109" s="7" t="s">
        <v>151</v>
      </c>
      <c r="M109" s="16" t="s">
        <v>227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40</v>
      </c>
      <c r="B110" s="7" t="str">
        <f>IF(A110="","",VLOOKUP(A110,DB!A:B,2,0))</f>
        <v>ATEM 1 M/E</v>
      </c>
      <c r="C110" s="6"/>
      <c r="D110" s="6"/>
      <c r="E110" s="7" t="s">
        <v>228</v>
      </c>
      <c r="F110" s="6"/>
      <c r="G110" s="6"/>
      <c r="H110" s="7" t="s">
        <v>229</v>
      </c>
      <c r="I110" s="6" t="str">
        <f>IF(H110="","",VLOOKUP(H110,DB!A:B,2,0))</f>
        <v>SmartView (PVW)</v>
      </c>
      <c r="J110" s="6"/>
      <c r="K110" s="6"/>
      <c r="L110" s="7" t="s">
        <v>93</v>
      </c>
      <c r="M110" s="8" t="s">
        <v>230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229</v>
      </c>
      <c r="B111" s="7" t="str">
        <f>IF(A111="","",VLOOKUP(A111,DB!A:B,2,0))</f>
        <v>SmartView (PVW)</v>
      </c>
      <c r="C111" s="6"/>
      <c r="D111" s="6"/>
      <c r="E111" s="7" t="s">
        <v>92</v>
      </c>
      <c r="F111" s="7" t="s">
        <v>17</v>
      </c>
      <c r="G111" s="7" t="s">
        <v>93</v>
      </c>
      <c r="H111" s="7" t="s">
        <v>231</v>
      </c>
      <c r="I111" s="6" t="str">
        <f>IF(H111="","",VLOOKUP(H111,DB!A:B,2,0))</f>
        <v>SmartScope (PVW)</v>
      </c>
      <c r="J111" s="6"/>
      <c r="K111" s="6"/>
      <c r="L111" s="7" t="s">
        <v>115</v>
      </c>
      <c r="M111" s="8" t="s">
        <v>232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231</v>
      </c>
      <c r="B112" s="7" t="str">
        <f>IF(A112="","",VLOOKUP(A112,DB!A:B,2,0))</f>
        <v>SmartScope (PVW)</v>
      </c>
      <c r="C112" s="6"/>
      <c r="D112" s="6"/>
      <c r="E112" s="7" t="s">
        <v>84</v>
      </c>
      <c r="F112" s="7" t="s">
        <v>17</v>
      </c>
      <c r="G112" s="7" t="s">
        <v>115</v>
      </c>
      <c r="H112" s="7" t="s">
        <v>231</v>
      </c>
      <c r="I112" s="6" t="str">
        <f>IF(H112="","",VLOOKUP(H112,DB!A:B,2,0))</f>
        <v>SmartScope (PVW)</v>
      </c>
      <c r="J112" s="6"/>
      <c r="K112" s="6"/>
      <c r="L112" s="7" t="s">
        <v>105</v>
      </c>
      <c r="M112" s="8" t="s">
        <v>233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40</v>
      </c>
      <c r="B113" s="7" t="str">
        <f>IF(A113="","",VLOOKUP(A113,DB!A:B,2,0))</f>
        <v>ATEM 1 M/E</v>
      </c>
      <c r="C113" s="6"/>
      <c r="D113" s="6"/>
      <c r="E113" s="7" t="s">
        <v>234</v>
      </c>
      <c r="F113" s="6"/>
      <c r="G113" s="6"/>
      <c r="H113" s="7" t="s">
        <v>235</v>
      </c>
      <c r="I113" s="6" t="str">
        <f>IF(H113="","",VLOOKUP(H113,DB!A:B,2,0))</f>
        <v>Monitor Multiview</v>
      </c>
      <c r="J113" s="6"/>
      <c r="K113" s="6"/>
      <c r="L113" s="7" t="s">
        <v>236</v>
      </c>
      <c r="M113" s="8" t="s">
        <v>237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146</v>
      </c>
      <c r="B114" s="7" t="str">
        <f>IF(A114="","",VLOOKUP(A114,DB!A:B,2,0))</f>
        <v>Yamaha MG166</v>
      </c>
      <c r="C114" s="6"/>
      <c r="D114" s="6"/>
      <c r="E114" s="7" t="s">
        <v>238</v>
      </c>
      <c r="F114" s="6"/>
      <c r="G114" s="6"/>
      <c r="H114" s="7" t="s">
        <v>239</v>
      </c>
      <c r="I114" s="6" t="str">
        <f>IF(H114="","",VLOOKUP(H114,DB!A:B,2,0))</f>
        <v>Monitor Audio L</v>
      </c>
      <c r="J114" s="6"/>
      <c r="K114" s="6"/>
      <c r="L114" s="7" t="s">
        <v>240</v>
      </c>
      <c r="M114" s="8" t="s">
        <v>241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146</v>
      </c>
      <c r="B115" s="7" t="str">
        <f>IF(A115="","",VLOOKUP(A115,DB!A:B,2,0))</f>
        <v>Yamaha MG166</v>
      </c>
      <c r="C115" s="6"/>
      <c r="D115" s="6"/>
      <c r="E115" s="7" t="s">
        <v>242</v>
      </c>
      <c r="F115" s="6"/>
      <c r="G115" s="6"/>
      <c r="H115" s="7" t="s">
        <v>243</v>
      </c>
      <c r="I115" s="6" t="str">
        <f>IF(H115="","",VLOOKUP(H115,DB!A:B,2,0))</f>
        <v>Monitor Audio R</v>
      </c>
      <c r="J115" s="6"/>
      <c r="K115" s="6"/>
      <c r="L115" s="7" t="s">
        <v>240</v>
      </c>
      <c r="M115" s="8" t="s">
        <v>244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245</v>
      </c>
      <c r="F116" s="6"/>
      <c r="G116" s="6"/>
      <c r="H116" s="7" t="s">
        <v>90</v>
      </c>
      <c r="I116" s="6" t="str">
        <f>IF(H116="","",VLOOKUP(H116,DB!A:B,2,0))</f>
        <v>Miranda D3 (Audio)</v>
      </c>
      <c r="J116" s="7">
        <v>7.0</v>
      </c>
      <c r="K116" s="6"/>
      <c r="L116" s="7" t="s">
        <v>18</v>
      </c>
      <c r="M116" s="8" t="s">
        <v>246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247</v>
      </c>
      <c r="F117" s="6"/>
      <c r="G117" s="6"/>
      <c r="H117" s="7" t="s">
        <v>90</v>
      </c>
      <c r="I117" s="6" t="str">
        <f>IF(H117="","",VLOOKUP(H117,DB!A:B,2,0))</f>
        <v>Miranda D3 (Audio)</v>
      </c>
      <c r="J117" s="7">
        <v>7.0</v>
      </c>
      <c r="K117" s="6"/>
      <c r="L117" s="7" t="s">
        <v>24</v>
      </c>
      <c r="M117" s="8" t="s">
        <v>248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249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8.0</v>
      </c>
      <c r="K118" s="6"/>
      <c r="L118" s="7" t="s">
        <v>24</v>
      </c>
      <c r="M118" s="8" t="s">
        <v>161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250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8.0</v>
      </c>
      <c r="K119" s="6"/>
      <c r="L119" s="7" t="s">
        <v>18</v>
      </c>
      <c r="M119" s="8" t="s">
        <v>203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251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9.0</v>
      </c>
      <c r="K120" s="6"/>
      <c r="L120" s="7" t="s">
        <v>24</v>
      </c>
      <c r="M120" s="8" t="s">
        <v>124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252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10.0</v>
      </c>
      <c r="K121" s="6"/>
      <c r="L121" s="7" t="s">
        <v>18</v>
      </c>
      <c r="M121" s="8" t="s">
        <v>131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253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10.0</v>
      </c>
      <c r="K122" s="6"/>
      <c r="L122" s="7" t="s">
        <v>24</v>
      </c>
      <c r="M122" s="8" t="s">
        <v>131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254</v>
      </c>
      <c r="F123" s="6"/>
      <c r="G123" s="6"/>
      <c r="H123" s="7" t="s">
        <v>90</v>
      </c>
      <c r="I123" s="6" t="str">
        <f>IF(H123="","",VLOOKUP(H123,DB!A:B,2,0))</f>
        <v>Miranda D3 (Audio)</v>
      </c>
      <c r="J123" s="7">
        <v>9.0</v>
      </c>
      <c r="K123" s="6"/>
      <c r="L123" s="7" t="s">
        <v>18</v>
      </c>
      <c r="M123" s="8" t="s">
        <v>125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255</v>
      </c>
      <c r="F124" s="6"/>
      <c r="G124" s="6"/>
      <c r="H124" s="7" t="s">
        <v>256</v>
      </c>
      <c r="I124" s="6" t="str">
        <f>IF(H124="","",VLOOKUP(H124,DB!A:B,2,0))</f>
        <v>RF</v>
      </c>
      <c r="J124" s="6"/>
      <c r="K124" s="6"/>
      <c r="L124" s="7" t="s">
        <v>240</v>
      </c>
      <c r="M124" s="8" t="s">
        <v>257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175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176</v>
      </c>
      <c r="M126" s="8" t="s">
        <v>95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97</v>
      </c>
      <c r="M127" s="8" t="s">
        <v>98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109</v>
      </c>
      <c r="M128" s="8" t="s">
        <v>111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167</v>
      </c>
      <c r="M129" s="8" t="s">
        <v>168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133</v>
      </c>
      <c r="F130" s="7" t="s">
        <v>17</v>
      </c>
      <c r="G130" s="7" t="s">
        <v>133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137</v>
      </c>
      <c r="F131" s="7" t="s">
        <v>17</v>
      </c>
      <c r="G131" s="7" t="s">
        <v>137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141</v>
      </c>
      <c r="F132" s="7" t="s">
        <v>17</v>
      </c>
      <c r="G132" s="7" t="s">
        <v>141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164</v>
      </c>
      <c r="F133" s="7" t="s">
        <v>17</v>
      </c>
      <c r="G133" s="7" t="s">
        <v>164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165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135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124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139</v>
      </c>
      <c r="F136" s="7" t="s">
        <v>17</v>
      </c>
      <c r="G136" s="7" t="s">
        <v>139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131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138</v>
      </c>
      <c r="F137" s="7" t="s">
        <v>17</v>
      </c>
      <c r="G137" s="7" t="s">
        <v>138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169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171</v>
      </c>
      <c r="M139" s="8" t="s">
        <v>82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172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173</v>
      </c>
      <c r="M141" s="8" t="s">
        <v>87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174</v>
      </c>
      <c r="M142" s="8" t="s">
        <v>89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177</v>
      </c>
      <c r="I146" s="6" t="str">
        <f>IF(H146="","",VLOOKUP(H146,DB!A:B,2,0))</f>
        <v>Patch Ext. Audio</v>
      </c>
      <c r="J146" s="6"/>
      <c r="K146" s="6"/>
      <c r="L146" s="7" t="s">
        <v>122</v>
      </c>
      <c r="M146" s="13" t="s">
        <v>178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177</v>
      </c>
      <c r="I147" s="6" t="str">
        <f>IF(H147="","",VLOOKUP(H147,DB!A:B,2,0))</f>
        <v>Patch Ext. Audio</v>
      </c>
      <c r="J147" s="6"/>
      <c r="K147" s="6"/>
      <c r="L147" s="7" t="s">
        <v>127</v>
      </c>
      <c r="M147" s="13" t="s">
        <v>179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177</v>
      </c>
      <c r="I148" s="6" t="str">
        <f>IF(H148="","",VLOOKUP(H148,DB!A:B,2,0))</f>
        <v>Patch Ext. Audio</v>
      </c>
      <c r="J148" s="6"/>
      <c r="K148" s="6"/>
      <c r="L148" s="7" t="s">
        <v>128</v>
      </c>
      <c r="M148" s="13" t="s">
        <v>180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181</v>
      </c>
      <c r="M149" s="13" t="s">
        <v>182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183</v>
      </c>
      <c r="M150" s="13" t="s">
        <v>184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185</v>
      </c>
      <c r="M151" s="13" t="s">
        <v>186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187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188</v>
      </c>
      <c r="M153" s="13" t="s">
        <v>95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189</v>
      </c>
      <c r="M154" s="13" t="s">
        <v>98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177</v>
      </c>
      <c r="B155" s="7" t="str">
        <f>IF(A155="","",VLOOKUP(A155,DB!A:B,2,0))</f>
        <v>Patch Ext. Audio</v>
      </c>
      <c r="C155" s="6"/>
      <c r="D155" s="6"/>
      <c r="E155" s="7" t="s">
        <v>191</v>
      </c>
      <c r="F155" s="7" t="s">
        <v>17</v>
      </c>
      <c r="G155" s="7" t="s">
        <v>191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192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177</v>
      </c>
      <c r="B156" s="7" t="str">
        <f>IF(A156="","",VLOOKUP(A156,DB!A:B,2,0))</f>
        <v>Patch Ext. Audio</v>
      </c>
      <c r="C156" s="6"/>
      <c r="D156" s="6"/>
      <c r="E156" s="7" t="s">
        <v>194</v>
      </c>
      <c r="F156" s="7" t="s">
        <v>17</v>
      </c>
      <c r="G156" s="7" t="s">
        <v>194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192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177</v>
      </c>
      <c r="B157" s="7" t="str">
        <f>IF(A157="","",VLOOKUP(A157,DB!A:B,2,0))</f>
        <v>Patch Ext. Audio</v>
      </c>
      <c r="C157" s="6"/>
      <c r="D157" s="6"/>
      <c r="E157" s="7" t="s">
        <v>196</v>
      </c>
      <c r="F157" s="7" t="s">
        <v>17</v>
      </c>
      <c r="G157" s="7" t="s">
        <v>196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192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198</v>
      </c>
      <c r="F158" s="7" t="s">
        <v>17</v>
      </c>
      <c r="G158" s="7" t="s">
        <v>198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192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199</v>
      </c>
      <c r="F159" s="7" t="s">
        <v>17</v>
      </c>
      <c r="G159" s="7" t="s">
        <v>199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106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200</v>
      </c>
      <c r="F160" s="7" t="s">
        <v>17</v>
      </c>
      <c r="G160" s="7" t="s">
        <v>200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106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201</v>
      </c>
      <c r="F161" s="7" t="s">
        <v>17</v>
      </c>
      <c r="G161" s="7" t="s">
        <v>201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161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202</v>
      </c>
      <c r="F162" s="7" t="s">
        <v>17</v>
      </c>
      <c r="G162" s="7" t="s">
        <v>202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203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204</v>
      </c>
      <c r="F163" s="7" t="s">
        <v>17</v>
      </c>
      <c r="G163" s="7" t="s">
        <v>204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205</v>
      </c>
      <c r="F164" s="7" t="s">
        <v>17</v>
      </c>
      <c r="G164" s="7" t="s">
        <v>205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125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206</v>
      </c>
      <c r="F165" s="7" t="s">
        <v>17</v>
      </c>
      <c r="G165" s="7" t="s">
        <v>206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7" t="s">
        <v>124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207</v>
      </c>
      <c r="F166" s="7" t="s">
        <v>17</v>
      </c>
      <c r="G166" s="7" t="s">
        <v>207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7" t="s">
        <v>203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177</v>
      </c>
      <c r="I167" s="6" t="str">
        <f>IF(H167="","",VLOOKUP(H167,DB!A:B,2,0))</f>
        <v>Patch Ext. Audio</v>
      </c>
      <c r="J167" s="6"/>
      <c r="K167" s="6"/>
      <c r="L167" s="7" t="s">
        <v>208</v>
      </c>
      <c r="M167" s="7" t="s">
        <v>209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177</v>
      </c>
      <c r="I168" s="6" t="str">
        <f>IF(H168="","",VLOOKUP(H168,DB!A:B,2,0))</f>
        <v>Patch Ext. Audio</v>
      </c>
      <c r="J168" s="6"/>
      <c r="K168" s="6"/>
      <c r="L168" s="7" t="s">
        <v>210</v>
      </c>
      <c r="M168" s="7" t="s">
        <v>211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177</v>
      </c>
      <c r="I169" s="6" t="str">
        <f>IF(H169="","",VLOOKUP(H169,DB!A:B,2,0))</f>
        <v>Patch Ext. Audio</v>
      </c>
      <c r="J169" s="6"/>
      <c r="K169" s="6"/>
      <c r="L169" s="7" t="s">
        <v>212</v>
      </c>
      <c r="M169" s="7" t="s">
        <v>213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214</v>
      </c>
      <c r="M170" s="7" t="s">
        <v>215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216</v>
      </c>
      <c r="M171" s="7" t="s">
        <v>217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218</v>
      </c>
      <c r="M172" s="7" t="s">
        <v>219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220</v>
      </c>
      <c r="M173" s="7" t="s">
        <v>221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222</v>
      </c>
      <c r="M174" s="7" t="s">
        <v>223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224</v>
      </c>
      <c r="M175" s="7" t="s">
        <v>225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226</v>
      </c>
      <c r="M176" s="16" t="s">
        <v>227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102</v>
      </c>
      <c r="B177" s="7" t="str">
        <f>IF(A177="","",VLOOKUP(A177,DB!A:B,2,0))</f>
        <v>PC CG</v>
      </c>
      <c r="C177" s="7">
        <v>1.0</v>
      </c>
      <c r="D177" s="7" t="s">
        <v>258</v>
      </c>
      <c r="E177" s="7" t="s">
        <v>259</v>
      </c>
      <c r="F177" s="6"/>
      <c r="G177" s="6"/>
      <c r="H177" s="7" t="s">
        <v>146</v>
      </c>
      <c r="I177" s="6" t="str">
        <f>IF(H177="","",VLOOKUP(H177,DB!A:B,2,0))</f>
        <v>Yamaha MG166</v>
      </c>
      <c r="J177" s="6"/>
      <c r="K177" s="6"/>
      <c r="L177" s="7" t="s">
        <v>103</v>
      </c>
      <c r="M177" s="8" t="s">
        <v>121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19</v>
      </c>
      <c r="B178" s="7" t="str">
        <f>IF(A178="","",VLOOKUP(A178,DB!A:B,2,0))</f>
        <v>PC Video</v>
      </c>
      <c r="C178" s="7">
        <v>0.0</v>
      </c>
      <c r="D178" s="7" t="s">
        <v>260</v>
      </c>
      <c r="E178" s="7" t="s">
        <v>259</v>
      </c>
      <c r="F178" s="6"/>
      <c r="G178" s="6"/>
      <c r="H178" s="7" t="s">
        <v>146</v>
      </c>
      <c r="I178" s="6" t="str">
        <f>IF(H178="","",VLOOKUP(H178,DB!A:B,2,0))</f>
        <v>Yamaha MG166</v>
      </c>
      <c r="J178" s="6"/>
      <c r="K178" s="6"/>
      <c r="L178" s="7" t="s">
        <v>261</v>
      </c>
      <c r="M178" s="8" t="s">
        <v>120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262</v>
      </c>
      <c r="B179" s="7" t="str">
        <f>IF(A179="","",VLOOKUP(A179,DB!A:B,2,0))</f>
        <v>PC Audio</v>
      </c>
      <c r="C179" s="7">
        <v>0.0</v>
      </c>
      <c r="D179" s="7" t="s">
        <v>260</v>
      </c>
      <c r="E179" s="7" t="s">
        <v>259</v>
      </c>
      <c r="F179" s="6"/>
      <c r="G179" s="6"/>
      <c r="H179" s="7" t="s">
        <v>146</v>
      </c>
      <c r="I179" s="6" t="str">
        <f>IF(H179="","",VLOOKUP(H179,DB!A:B,2,0))</f>
        <v>Yamaha MG166</v>
      </c>
      <c r="J179" s="6"/>
      <c r="K179" s="6"/>
      <c r="L179" s="7" t="s">
        <v>263</v>
      </c>
      <c r="M179" s="8" t="s">
        <v>264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83</v>
      </c>
      <c r="B180" s="7" t="str">
        <f>IF(A180="","",VLOOKUP(A180,DB!A:B,2,0))</f>
        <v>CopperHead ProHD 1</v>
      </c>
      <c r="C180" s="6"/>
      <c r="D180" s="6"/>
      <c r="E180" s="7" t="s">
        <v>265</v>
      </c>
      <c r="F180" s="6"/>
      <c r="G180" s="6"/>
      <c r="H180" s="7" t="s">
        <v>266</v>
      </c>
      <c r="I180" s="6" t="str">
        <f>IF(H180="","",VLOOKUP(H180,DB!A:B,2,0))</f>
        <v>Mixer Intercom</v>
      </c>
      <c r="J180" s="6"/>
      <c r="K180" s="6"/>
      <c r="L180" s="7" t="s">
        <v>18</v>
      </c>
      <c r="M180" s="8" t="s">
        <v>267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86</v>
      </c>
      <c r="B181" s="7" t="str">
        <f>IF(A181="","",VLOOKUP(A181,DB!A:B,2,0))</f>
        <v>CopperHead ProHD 2</v>
      </c>
      <c r="C181" s="6"/>
      <c r="D181" s="6"/>
      <c r="E181" s="7" t="s">
        <v>265</v>
      </c>
      <c r="F181" s="6"/>
      <c r="G181" s="6"/>
      <c r="H181" s="7" t="s">
        <v>266</v>
      </c>
      <c r="I181" s="6" t="str">
        <f>IF(H181="","",VLOOKUP(H181,DB!A:B,2,0))</f>
        <v>Mixer Intercom</v>
      </c>
      <c r="J181" s="6"/>
      <c r="K181" s="6"/>
      <c r="L181" s="7" t="s">
        <v>24</v>
      </c>
      <c r="M181" s="8" t="s">
        <v>268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88</v>
      </c>
      <c r="B182" s="7" t="str">
        <f>IF(A182="","",VLOOKUP(A182,DB!A:B,2,0))</f>
        <v>CopperHead ProHD 3</v>
      </c>
      <c r="C182" s="6"/>
      <c r="D182" s="6"/>
      <c r="E182" s="7" t="s">
        <v>265</v>
      </c>
      <c r="F182" s="6"/>
      <c r="G182" s="6"/>
      <c r="H182" s="7" t="s">
        <v>266</v>
      </c>
      <c r="I182" s="6" t="str">
        <f>IF(H182="","",VLOOKUP(H182,DB!A:B,2,0))</f>
        <v>Mixer Intercom</v>
      </c>
      <c r="J182" s="6"/>
      <c r="K182" s="6"/>
      <c r="L182" s="7" t="s">
        <v>28</v>
      </c>
      <c r="M182" s="8" t="s">
        <v>269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64</v>
      </c>
      <c r="B183" s="7" t="str">
        <f>IF(A183="","",VLOOKUP(A183,DB!A:B,2,0))</f>
        <v>Ikegami BS-80 4</v>
      </c>
      <c r="C183" s="6"/>
      <c r="D183" s="6"/>
      <c r="E183" s="7" t="s">
        <v>265</v>
      </c>
      <c r="F183" s="6"/>
      <c r="G183" s="6"/>
      <c r="H183" s="7" t="s">
        <v>266</v>
      </c>
      <c r="I183" s="6" t="str">
        <f>IF(H183="","",VLOOKUP(H183,DB!A:B,2,0))</f>
        <v>Mixer Intercom</v>
      </c>
      <c r="J183" s="6"/>
      <c r="K183" s="6"/>
      <c r="L183" s="7" t="s">
        <v>32</v>
      </c>
      <c r="M183" s="8" t="s">
        <v>270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69</v>
      </c>
      <c r="B184" s="7" t="str">
        <f>IF(A184="","",VLOOKUP(A184,DB!A:B,2,0))</f>
        <v>Ikegami BS-80 5</v>
      </c>
      <c r="C184" s="6"/>
      <c r="D184" s="6"/>
      <c r="E184" s="7" t="s">
        <v>265</v>
      </c>
      <c r="F184" s="6"/>
      <c r="G184" s="6"/>
      <c r="H184" s="7" t="s">
        <v>266</v>
      </c>
      <c r="I184" s="6" t="str">
        <f>IF(H184="","",VLOOKUP(H184,DB!A:B,2,0))</f>
        <v>Mixer Intercom</v>
      </c>
      <c r="J184" s="6"/>
      <c r="K184" s="6"/>
      <c r="L184" s="7" t="s">
        <v>36</v>
      </c>
      <c r="M184" s="8" t="s">
        <v>271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90</v>
      </c>
      <c r="B185" s="7" t="str">
        <f>IF(A185="","",VLOOKUP(A185,DB!A:B,2,0))</f>
        <v>Miranda D3 (Audio)</v>
      </c>
      <c r="C185" s="7">
        <v>10.0</v>
      </c>
      <c r="D185" s="7" t="s">
        <v>154</v>
      </c>
      <c r="E185" s="7" t="s">
        <v>16</v>
      </c>
      <c r="F185" s="7" t="s">
        <v>17</v>
      </c>
      <c r="G185" s="7" t="s">
        <v>18</v>
      </c>
      <c r="H185" s="7" t="s">
        <v>83</v>
      </c>
      <c r="I185" s="6" t="str">
        <f>IF(H185="","",VLOOKUP(H185,DB!A:B,2,0))</f>
        <v>CopperHead ProHD 1</v>
      </c>
      <c r="J185" s="6"/>
      <c r="K185" s="6"/>
      <c r="L185" s="7" t="s">
        <v>272</v>
      </c>
      <c r="M185" s="8" t="s">
        <v>273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90</v>
      </c>
      <c r="B186" s="7" t="str">
        <f>IF(A186="","",VLOOKUP(A186,DB!A:B,2,0))</f>
        <v>Miranda D3 (Audio)</v>
      </c>
      <c r="C186" s="7">
        <v>10.0</v>
      </c>
      <c r="D186" s="7" t="s">
        <v>154</v>
      </c>
      <c r="E186" s="7" t="s">
        <v>23</v>
      </c>
      <c r="F186" s="7" t="s">
        <v>17</v>
      </c>
      <c r="G186" s="7" t="s">
        <v>18</v>
      </c>
      <c r="H186" s="7" t="s">
        <v>86</v>
      </c>
      <c r="I186" s="6" t="str">
        <f>IF(H186="","",VLOOKUP(H186,DB!A:B,2,0))</f>
        <v>CopperHead ProHD 2</v>
      </c>
      <c r="J186" s="6"/>
      <c r="K186" s="6"/>
      <c r="L186" s="7" t="s">
        <v>272</v>
      </c>
      <c r="M186" s="8" t="s">
        <v>273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90</v>
      </c>
      <c r="B187" s="7" t="str">
        <f>IF(A187="","",VLOOKUP(A187,DB!A:B,2,0))</f>
        <v>Miranda D3 (Audio)</v>
      </c>
      <c r="C187" s="7">
        <v>10.0</v>
      </c>
      <c r="D187" s="7" t="s">
        <v>154</v>
      </c>
      <c r="E187" s="7" t="s">
        <v>27</v>
      </c>
      <c r="F187" s="7" t="s">
        <v>17</v>
      </c>
      <c r="G187" s="7" t="s">
        <v>18</v>
      </c>
      <c r="H187" s="7" t="s">
        <v>88</v>
      </c>
      <c r="I187" s="6" t="str">
        <f>IF(H187="","",VLOOKUP(H187,DB!A:B,2,0))</f>
        <v>CopperHead ProHD 3</v>
      </c>
      <c r="J187" s="6"/>
      <c r="K187" s="6"/>
      <c r="L187" s="7" t="s">
        <v>272</v>
      </c>
      <c r="M187" s="8" t="s">
        <v>273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90</v>
      </c>
      <c r="B188" s="7" t="str">
        <f>IF(A188="","",VLOOKUP(A188,DB!A:B,2,0))</f>
        <v>Miranda D3 (Audio)</v>
      </c>
      <c r="C188" s="7">
        <v>10.0</v>
      </c>
      <c r="D188" s="7" t="s">
        <v>154</v>
      </c>
      <c r="E188" s="7" t="s">
        <v>31</v>
      </c>
      <c r="F188" s="7" t="s">
        <v>17</v>
      </c>
      <c r="G188" s="7" t="s">
        <v>18</v>
      </c>
      <c r="H188" s="7" t="s">
        <v>64</v>
      </c>
      <c r="I188" s="6" t="str">
        <f>IF(H188="","",VLOOKUP(H188,DB!A:B,2,0))</f>
        <v>Ikegami BS-80 4</v>
      </c>
      <c r="J188" s="6"/>
      <c r="K188" s="6"/>
      <c r="L188" s="7" t="s">
        <v>272</v>
      </c>
      <c r="M188" s="8" t="s">
        <v>273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90</v>
      </c>
      <c r="B189" s="7" t="str">
        <f>IF(A189="","",VLOOKUP(A189,DB!A:B,2,0))</f>
        <v>Miranda D3 (Audio)</v>
      </c>
      <c r="C189" s="7">
        <v>10.0</v>
      </c>
      <c r="D189" s="7" t="s">
        <v>154</v>
      </c>
      <c r="E189" s="7" t="s">
        <v>35</v>
      </c>
      <c r="F189" s="7" t="s">
        <v>17</v>
      </c>
      <c r="G189" s="7" t="s">
        <v>18</v>
      </c>
      <c r="H189" s="7" t="s">
        <v>69</v>
      </c>
      <c r="I189" s="6" t="str">
        <f>IF(H189="","",VLOOKUP(H189,DB!A:B,2,0))</f>
        <v>Ikegami BS-80 5</v>
      </c>
      <c r="J189" s="6"/>
      <c r="K189" s="6"/>
      <c r="L189" s="7" t="s">
        <v>272</v>
      </c>
      <c r="M189" s="8" t="s">
        <v>273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266</v>
      </c>
      <c r="B190" s="7" t="str">
        <f>IF(A190="","",VLOOKUP(A190,DB!A:B,2,0))</f>
        <v>Mixer Intercom</v>
      </c>
      <c r="C190" s="6"/>
      <c r="D190" s="6"/>
      <c r="E190" s="7" t="s">
        <v>274</v>
      </c>
      <c r="F190" s="6"/>
      <c r="G190" s="6"/>
      <c r="H190" s="7" t="s">
        <v>275</v>
      </c>
      <c r="I190" s="6" t="str">
        <f>IF(H190="","",VLOOKUP(H190,DB!A:B,2,0))</f>
        <v>Headset Director</v>
      </c>
      <c r="J190" s="6"/>
      <c r="K190" s="6"/>
      <c r="L190" s="7" t="s">
        <v>276</v>
      </c>
      <c r="M190" s="8" t="s">
        <v>277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275</v>
      </c>
      <c r="B191" s="7" t="str">
        <f>IF(A191="","",VLOOKUP(A191,DB!A:B,2,0))</f>
        <v>Headset Director</v>
      </c>
      <c r="C191" s="6"/>
      <c r="D191" s="6"/>
      <c r="E191" s="7" t="s">
        <v>278</v>
      </c>
      <c r="F191" s="6"/>
      <c r="G191" s="6"/>
      <c r="H191" s="7" t="s">
        <v>146</v>
      </c>
      <c r="I191" s="6" t="str">
        <f>IF(H191="","",VLOOKUP(H191,DB!A:B,2,0))</f>
        <v>Yamaha MG166</v>
      </c>
      <c r="J191" s="6"/>
      <c r="K191" s="6"/>
      <c r="L191" s="7" t="s">
        <v>47</v>
      </c>
      <c r="M191" s="8" t="s">
        <v>279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280</v>
      </c>
      <c r="B192" s="7" t="str">
        <f>IF(A192="","",VLOOKUP(A192,DB!A:B,2,0))</f>
        <v>Sync Generator</v>
      </c>
      <c r="C192" s="6"/>
      <c r="D192" s="6"/>
      <c r="E192" s="7" t="s">
        <v>281</v>
      </c>
      <c r="F192" s="6"/>
      <c r="G192" s="6"/>
      <c r="H192" s="7" t="s">
        <v>51</v>
      </c>
      <c r="I192" s="6" t="str">
        <f>IF(H192="","",VLOOKUP(H192,DB!A:B,2,0))</f>
        <v>Miranda D3 (Video)</v>
      </c>
      <c r="J192" s="7">
        <v>6.0</v>
      </c>
      <c r="K192" s="7" t="s">
        <v>282</v>
      </c>
      <c r="L192" s="7" t="s">
        <v>283</v>
      </c>
      <c r="M192" s="8" t="s">
        <v>284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280</v>
      </c>
      <c r="B193" s="7" t="str">
        <f>IF(A193="","",VLOOKUP(A193,DB!A:B,2,0))</f>
        <v>Sync Generator</v>
      </c>
      <c r="C193" s="6"/>
      <c r="D193" s="6"/>
      <c r="E193" s="7" t="s">
        <v>285</v>
      </c>
      <c r="F193" s="6"/>
      <c r="G193" s="6"/>
      <c r="H193" s="7" t="s">
        <v>37</v>
      </c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280</v>
      </c>
      <c r="B194" s="7" t="str">
        <f>IF(A194="","",VLOOKUP(A194,DB!A:B,2,0))</f>
        <v>Sync Generator</v>
      </c>
      <c r="C194" s="6"/>
      <c r="D194" s="6"/>
      <c r="E194" s="7" t="s">
        <v>286</v>
      </c>
      <c r="F194" s="6"/>
      <c r="G194" s="6"/>
      <c r="H194" s="7" t="s">
        <v>37</v>
      </c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280</v>
      </c>
      <c r="B195" s="7" t="str">
        <f>IF(A195="","",VLOOKUP(A195,DB!A:B,2,0))</f>
        <v>Sync Generator</v>
      </c>
      <c r="C195" s="6"/>
      <c r="D195" s="6"/>
      <c r="E195" s="7" t="s">
        <v>287</v>
      </c>
      <c r="F195" s="6"/>
      <c r="G195" s="6"/>
      <c r="H195" s="7" t="s">
        <v>51</v>
      </c>
      <c r="I195" s="6" t="str">
        <f>IF(H195="","",VLOOKUP(H195,DB!A:B,2,0))</f>
        <v>Miranda D3 (Video)</v>
      </c>
      <c r="J195" s="7">
        <v>1.0</v>
      </c>
      <c r="K195" s="7" t="s">
        <v>144</v>
      </c>
      <c r="L195" s="7" t="s">
        <v>288</v>
      </c>
      <c r="M195" s="8" t="s">
        <v>284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280</v>
      </c>
      <c r="B196" s="7" t="str">
        <f>IF(A196="","",VLOOKUP(A196,DB!A:B,2,0))</f>
        <v>Sync Generator</v>
      </c>
      <c r="C196" s="6"/>
      <c r="D196" s="6"/>
      <c r="E196" s="7" t="s">
        <v>289</v>
      </c>
      <c r="F196" s="6"/>
      <c r="G196" s="6"/>
      <c r="H196" s="7" t="s">
        <v>40</v>
      </c>
      <c r="I196" s="6" t="str">
        <f>IF(H196="","",VLOOKUP(H196,DB!A:B,2,0))</f>
        <v>ATEM 1 M/E</v>
      </c>
      <c r="J196" s="6"/>
      <c r="K196" s="6"/>
      <c r="L196" s="7" t="s">
        <v>288</v>
      </c>
      <c r="M196" s="8" t="s">
        <v>284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280</v>
      </c>
      <c r="B197" s="7" t="str">
        <f>IF(A197="","",VLOOKUP(A197,DB!A:B,2,0))</f>
        <v>Sync Generator</v>
      </c>
      <c r="C197" s="6"/>
      <c r="D197" s="6"/>
      <c r="E197" s="7" t="s">
        <v>290</v>
      </c>
      <c r="F197" s="6"/>
      <c r="G197" s="6"/>
      <c r="H197" s="7" t="s">
        <v>37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51</v>
      </c>
      <c r="B198" s="7" t="str">
        <f>IF(A198="","",VLOOKUP(A198,DB!A:B,2,0))</f>
        <v>Miranda D3 (Video)</v>
      </c>
      <c r="C198" s="7">
        <v>6.0</v>
      </c>
      <c r="D198" s="7" t="s">
        <v>282</v>
      </c>
      <c r="E198" s="7" t="s">
        <v>16</v>
      </c>
      <c r="F198" s="7" t="s">
        <v>17</v>
      </c>
      <c r="G198" s="7" t="s">
        <v>283</v>
      </c>
      <c r="H198" s="7" t="s">
        <v>69</v>
      </c>
      <c r="I198" s="6" t="str">
        <f>IF(H198="","",VLOOKUP(H198,DB!A:B,2,0))</f>
        <v>Ikegami BS-80 5</v>
      </c>
      <c r="J198" s="6"/>
      <c r="K198" s="6"/>
      <c r="L198" s="7" t="s">
        <v>288</v>
      </c>
      <c r="M198" s="8" t="s">
        <v>284</v>
      </c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51</v>
      </c>
      <c r="B199" s="7" t="str">
        <f>IF(A199="","",VLOOKUP(A199,DB!A:B,2,0))</f>
        <v>Miranda D3 (Video)</v>
      </c>
      <c r="C199" s="7">
        <v>6.0</v>
      </c>
      <c r="D199" s="7" t="s">
        <v>282</v>
      </c>
      <c r="E199" s="7" t="s">
        <v>23</v>
      </c>
      <c r="F199" s="7" t="s">
        <v>17</v>
      </c>
      <c r="G199" s="7" t="s">
        <v>283</v>
      </c>
      <c r="H199" s="7" t="s">
        <v>83</v>
      </c>
      <c r="I199" s="6" t="str">
        <f>IF(H199="","",VLOOKUP(H199,DB!A:B,2,0))</f>
        <v>CopperHead ProHD 1</v>
      </c>
      <c r="J199" s="6"/>
      <c r="K199" s="6"/>
      <c r="L199" s="7" t="s">
        <v>288</v>
      </c>
      <c r="M199" s="8" t="s">
        <v>284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51</v>
      </c>
      <c r="B200" s="7" t="str">
        <f>IF(A200="","",VLOOKUP(A200,DB!A:B,2,0))</f>
        <v>Miranda D3 (Video)</v>
      </c>
      <c r="C200" s="7">
        <v>6.0</v>
      </c>
      <c r="D200" s="7" t="s">
        <v>282</v>
      </c>
      <c r="E200" s="7" t="s">
        <v>27</v>
      </c>
      <c r="F200" s="7" t="s">
        <v>17</v>
      </c>
      <c r="G200" s="7" t="s">
        <v>283</v>
      </c>
      <c r="H200" s="7" t="s">
        <v>102</v>
      </c>
      <c r="I200" s="6" t="str">
        <f>IF(H200="","",VLOOKUP(H200,DB!A:B,2,0))</f>
        <v>PC CG</v>
      </c>
      <c r="J200" s="7">
        <v>2.0</v>
      </c>
      <c r="K200" s="7" t="s">
        <v>20</v>
      </c>
      <c r="L200" s="7" t="s">
        <v>288</v>
      </c>
      <c r="M200" s="8" t="s">
        <v>284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51</v>
      </c>
      <c r="B201" s="7" t="str">
        <f>IF(A201="","",VLOOKUP(A201,DB!A:B,2,0))</f>
        <v>Miranda D3 (Video)</v>
      </c>
      <c r="C201" s="7">
        <v>6.0</v>
      </c>
      <c r="D201" s="7" t="s">
        <v>282</v>
      </c>
      <c r="E201" s="7" t="s">
        <v>35</v>
      </c>
      <c r="F201" s="7" t="s">
        <v>17</v>
      </c>
      <c r="G201" s="7" t="s">
        <v>283</v>
      </c>
      <c r="H201" s="7" t="s">
        <v>64</v>
      </c>
      <c r="I201" s="6" t="str">
        <f>IF(H201="","",VLOOKUP(H201,DB!A:B,2,0))</f>
        <v>Ikegami BS-80 4</v>
      </c>
      <c r="J201" s="6"/>
      <c r="K201" s="6"/>
      <c r="L201" s="7" t="s">
        <v>288</v>
      </c>
      <c r="M201" s="8" t="s">
        <v>284</v>
      </c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51</v>
      </c>
      <c r="B202" s="7" t="str">
        <f>IF(A202="","",VLOOKUP(A202,DB!A:B,2,0))</f>
        <v>Miranda D3 (Video)</v>
      </c>
      <c r="C202" s="7">
        <v>6.0</v>
      </c>
      <c r="D202" s="7" t="s">
        <v>282</v>
      </c>
      <c r="E202" s="7" t="s">
        <v>38</v>
      </c>
      <c r="F202" s="7" t="s">
        <v>17</v>
      </c>
      <c r="G202" s="7" t="s">
        <v>283</v>
      </c>
      <c r="H202" s="7" t="s">
        <v>19</v>
      </c>
      <c r="I202" s="6" t="str">
        <f>IF(H202="","",VLOOKUP(H202,DB!A:B,2,0))</f>
        <v>PC Video</v>
      </c>
      <c r="J202" s="7">
        <v>2.0</v>
      </c>
      <c r="K202" s="7" t="s">
        <v>20</v>
      </c>
      <c r="L202" s="7" t="s">
        <v>288</v>
      </c>
      <c r="M202" s="8" t="s">
        <v>284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83</v>
      </c>
      <c r="B203" s="7" t="str">
        <f>IF(A203="","",VLOOKUP(A203,DB!A:B,2,0))</f>
        <v>CopperHead ProHD 1</v>
      </c>
      <c r="C203" s="6"/>
      <c r="D203" s="6"/>
      <c r="E203" s="7" t="s">
        <v>291</v>
      </c>
      <c r="F203" s="7" t="s">
        <v>17</v>
      </c>
      <c r="G203" s="7" t="s">
        <v>288</v>
      </c>
      <c r="H203" s="7" t="s">
        <v>86</v>
      </c>
      <c r="I203" s="6" t="str">
        <f>IF(H203="","",VLOOKUP(H203,DB!A:B,2,0))</f>
        <v>CopperHead ProHD 2</v>
      </c>
      <c r="J203" s="6"/>
      <c r="K203" s="6"/>
      <c r="L203" s="7" t="s">
        <v>288</v>
      </c>
      <c r="M203" s="8" t="s">
        <v>284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86</v>
      </c>
      <c r="B204" s="7" t="str">
        <f>IF(A204="","",VLOOKUP(A204,DB!A:B,2,0))</f>
        <v>CopperHead ProHD 2</v>
      </c>
      <c r="C204" s="6"/>
      <c r="D204" s="6"/>
      <c r="E204" s="7" t="s">
        <v>291</v>
      </c>
      <c r="F204" s="7" t="s">
        <v>17</v>
      </c>
      <c r="G204" s="7" t="s">
        <v>288</v>
      </c>
      <c r="H204" s="7" t="s">
        <v>88</v>
      </c>
      <c r="I204" s="6" t="str">
        <f>IF(H204="","",VLOOKUP(H204,DB!A:B,2,0))</f>
        <v>CopperHead ProHD 3</v>
      </c>
      <c r="J204" s="6"/>
      <c r="K204" s="6"/>
      <c r="L204" s="7" t="s">
        <v>288</v>
      </c>
      <c r="M204" s="8" t="s">
        <v>284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88</v>
      </c>
      <c r="B205" s="7" t="str">
        <f>IF(A205="","",VLOOKUP(A205,DB!A:B,2,0))</f>
        <v>CopperHead ProHD 3</v>
      </c>
      <c r="C205" s="6"/>
      <c r="D205" s="6"/>
      <c r="E205" s="7" t="s">
        <v>291</v>
      </c>
      <c r="F205" s="7" t="s">
        <v>17</v>
      </c>
      <c r="G205" s="7" t="s">
        <v>288</v>
      </c>
      <c r="H205" s="7" t="s">
        <v>76</v>
      </c>
      <c r="I205" s="6" t="str">
        <f>IF(H205="","",VLOOKUP(H205,DB!A:B,2,0))</f>
        <v>HyperDeck Studio Pro</v>
      </c>
      <c r="J205" s="6"/>
      <c r="K205" s="6"/>
      <c r="L205" s="7" t="s">
        <v>288</v>
      </c>
      <c r="M205" s="8" t="s">
        <v>284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8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</sheetData>
  <conditionalFormatting sqref="A1:AC486">
    <cfRule type="cellIs" dxfId="0" priority="1" operator="equal">
      <formula>"N/D"</formula>
    </cfRule>
  </conditionalFormatting>
  <conditionalFormatting sqref="A1:AC486">
    <cfRule type="cellIs" dxfId="1" priority="2" operator="equal">
      <formula>"N/C"</formula>
    </cfRule>
  </conditionalFormatting>
  <conditionalFormatting sqref="A1:AC486">
    <cfRule type="expression" dxfId="2" priority="3">
      <formula>ISEVEN(ROW())</formula>
    </cfRule>
  </conditionalFormatting>
  <dataValidations>
    <dataValidation type="list" allowBlank="1" showErrorMessage="1" sqref="A2:A486 H2:H486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292</v>
      </c>
      <c r="B1" s="18" t="s">
        <v>293</v>
      </c>
      <c r="C1" s="19" t="s">
        <v>294</v>
      </c>
      <c r="D1" s="20" t="s">
        <v>295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296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297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298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299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300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301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302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303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280</v>
      </c>
      <c r="B13" s="12" t="s">
        <v>304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256</v>
      </c>
      <c r="B14" s="12" t="s">
        <v>257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51</v>
      </c>
      <c r="B15" s="12" t="s">
        <v>305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64</v>
      </c>
      <c r="B16" s="14" t="s">
        <v>306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69</v>
      </c>
      <c r="B17" s="10" t="s">
        <v>307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90</v>
      </c>
      <c r="B18" s="16" t="s">
        <v>308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104</v>
      </c>
      <c r="B19" s="16" t="s">
        <v>309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262</v>
      </c>
      <c r="B20" s="7" t="s">
        <v>310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146</v>
      </c>
      <c r="B22" s="14" t="s">
        <v>311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239</v>
      </c>
      <c r="B23" s="23" t="s">
        <v>312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266</v>
      </c>
      <c r="B24" s="10" t="s">
        <v>313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275</v>
      </c>
      <c r="B25" s="16" t="s">
        <v>314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229</v>
      </c>
      <c r="B26" s="12" t="s">
        <v>315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231</v>
      </c>
      <c r="B27" s="16" t="s">
        <v>316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142</v>
      </c>
      <c r="B28" s="10" t="s">
        <v>317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235</v>
      </c>
      <c r="B29" s="14" t="s">
        <v>318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243</v>
      </c>
      <c r="B30" s="10" t="s">
        <v>319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96</v>
      </c>
      <c r="B32" s="12" t="s">
        <v>320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177</v>
      </c>
      <c r="B33" s="12" t="s">
        <v>321</v>
      </c>
      <c r="C33" s="21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322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323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37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324</v>
      </c>
      <c r="B42" s="16" t="s">
        <v>325</v>
      </c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/>
      <c r="B43" s="14"/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327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Conexiones!A2:O486,
    IF(A2="""", ROW(Conexiones!A2:A486)^0, ISNUMBER(SEARCH(A2, Conexiones!A2:A486))),
    IF(B2="""", ROW(Conexiones!B2:B486)^0, ISNUMBER(SEARCH(B2, Conexiones!B2:B486))),
    IF(C2="""", ROW(Conexiones!C2:C486)^0, "&amp;"ISNUMBER(SEARCH(C2, Conexiones!C2:C486))),
    IF(D2="""", ROW(Conexiones!D2:D486)^0, ISNUMBER(SEARCH(D2, Conexiones!D2:D486))),
    IF(E2="""", ROW(Conexiones!E2:E486)^0, ISNUMBER(SEARCH(E2, Conexiones!E2:E486))),
    IF(L2="""", ROW(Conexiones!L2:L486)^"&amp;"0, ISNUMBER(SEARCH(L2, Conexiones!L2:L486))),
    IF(F2="""", ROW(Conexiones!F2:F486)^0, ISNUMBER(SEARCH(F2, Conexiones!F2:F486))),
    IF(G2="""", ROW(Conexiones!G2:G486)^0, ISNUMBER(SEARCH(G2, Conexiones!G2:G486))),
    IF(H2="""", ROW(Conexiones!H2:H48"&amp;"6)^0, ISNUMBER(SEARCH(H2, Conexiones!H2:H486))),
    IF(B2="""", ROW(Conexiones!H2:H486)^0, ISNUMBER(SEARCH(B2, Conexiones!H2:H486))),
    IF(I2="""", ROW(Conexiones!I2:I486)^0, ISNUMBER(SEARCH(I2, Conexiones!I2:I486))),
    IF(J2="""", ROW(Conexiones!J2:"&amp;"J486)^0, ISNUMBER(SEARCH(J2, Conexiones!J2:J486))),
    IF(K2="""", ROW(Conexiones!L2:L486)^0, ISNUMBER(SEARCH(K2, Conexiones!L2:L486))),
    IF(M2="""", ROW(Conexiones!M2:M486)^0, ISNUMBER(SEARCH(M2, Conexiones!M2:M486))),
    IF(N2="""", ROW(Conexiones!"&amp;"N2:N486)^0, ISNUMBER(SEARCH(N2, Conexiones!N2:N486))),
    IF(O2="""", ROW(Conexiones!O2:O486)^0, ISNUMBER(SEARCH(O2, Conexiones!O2:O486)))
  ),
  Q2,
  TRUE
)"),"B.9")</f>
        <v>B.9</v>
      </c>
      <c r="B3" s="6" t="str">
        <f>IFERROR(__xludf.DUMMYFUNCTION("""COMPUTED_VALUE"""),"PC CG")</f>
        <v>PC CG</v>
      </c>
      <c r="C3" s="6">
        <f>IFERROR(__xludf.DUMMYFUNCTION("""COMPUTED_VALUE"""),2.0)</f>
        <v>2</v>
      </c>
      <c r="D3" s="6" t="str">
        <f>IFERROR(__xludf.DUMMYFUNCTION("""COMPUTED_VALUE"""),"DeckLink")</f>
        <v>DeckLink</v>
      </c>
      <c r="E3" s="6" t="str">
        <f>IFERROR(__xludf.DUMMYFUNCTION("""COMPUTED_VALUE"""),"P1")</f>
        <v>P1</v>
      </c>
      <c r="F3" s="6"/>
      <c r="G3" s="6"/>
      <c r="H3" s="6" t="str">
        <f>IFERROR(__xludf.DUMMYFUNCTION("""COMPUTED_VALUE"""),"B.1")</f>
        <v>B.1</v>
      </c>
      <c r="I3" s="6" t="str">
        <f>IFERROR(__xludf.DUMMYFUNCTION("""COMPUTED_VALUE"""),"Patch panel")</f>
        <v>Patch panel</v>
      </c>
      <c r="J3" s="6"/>
      <c r="K3" s="6"/>
      <c r="L3" s="6" t="str">
        <f>IFERROR(__xludf.DUMMYFUNCTION("""COMPUTED_VALUE"""),"In 15")</f>
        <v>In 15</v>
      </c>
      <c r="M3" s="9" t="str">
        <f>IFERROR(__xludf.DUMMYFUNCTION("""COMPUTED_VALUE"""),"PC CG")</f>
        <v>PC CG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IFERROR(__xludf.DUMMYFUNCTION("""COMPUTED_VALUE"""),"B.9")</f>
        <v>B.9</v>
      </c>
      <c r="B4" s="6" t="str">
        <f>IFERROR(__xludf.DUMMYFUNCTION("""COMPUTED_VALUE"""),"PC CG")</f>
        <v>PC CG</v>
      </c>
      <c r="C4" s="6">
        <f>IFERROR(__xludf.DUMMYFUNCTION("""COMPUTED_VALUE"""),2.0)</f>
        <v>2</v>
      </c>
      <c r="D4" s="6" t="str">
        <f>IFERROR(__xludf.DUMMYFUNCTION("""COMPUTED_VALUE"""),"DeckLink")</f>
        <v>DeckLink</v>
      </c>
      <c r="E4" s="6" t="str">
        <f>IFERROR(__xludf.DUMMYFUNCTION("""COMPUTED_VALUE"""),"P2")</f>
        <v>P2</v>
      </c>
      <c r="F4" s="6"/>
      <c r="G4" s="6"/>
      <c r="H4" s="6" t="str">
        <f>IFERROR(__xludf.DUMMYFUNCTION("""COMPUTED_VALUE"""),"B.7")</f>
        <v>B.7</v>
      </c>
      <c r="I4" s="6" t="str">
        <f>IFERROR(__xludf.DUMMYFUNCTION("""COMPUTED_VALUE"""),"SmartView (AIRE/PGM)")</f>
        <v>SmartView (AIRE/PGM)</v>
      </c>
      <c r="J4" s="6"/>
      <c r="K4" s="6"/>
      <c r="L4" s="6" t="str">
        <f>IFERROR(__xludf.DUMMYFUNCTION("""COMPUTED_VALUE"""),"SDI In 1")</f>
        <v>SDI In 1</v>
      </c>
      <c r="M4" s="9" t="str">
        <f>IFERROR(__xludf.DUMMYFUNCTION("""COMPUTED_VALUE"""),"AIRE")</f>
        <v>AIRE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IFERROR(__xludf.DUMMYFUNCTION("""COMPUTED_VALUE"""),"B.9")</f>
        <v>B.9</v>
      </c>
      <c r="B5" s="6" t="str">
        <f>IFERROR(__xludf.DUMMYFUNCTION("""COMPUTED_VALUE"""),"PC CG")</f>
        <v>PC CG</v>
      </c>
      <c r="C5" s="6">
        <f>IFERROR(__xludf.DUMMYFUNCTION("""COMPUTED_VALUE"""),1.0)</f>
        <v>1</v>
      </c>
      <c r="D5" s="6" t="str">
        <f>IFERROR(__xludf.DUMMYFUNCTION("""COMPUTED_VALUE"""),"Soundcard")</f>
        <v>Soundcard</v>
      </c>
      <c r="E5" s="6" t="str">
        <f>IFERROR(__xludf.DUMMYFUNCTION("""COMPUTED_VALUE"""),"Speaker Out")</f>
        <v>Speaker Out</v>
      </c>
      <c r="F5" s="6"/>
      <c r="G5" s="6"/>
      <c r="H5" s="6" t="str">
        <f>IFERROR(__xludf.DUMMYFUNCTION("""COMPUTED_VALUE"""),"D.1")</f>
        <v>D.1</v>
      </c>
      <c r="I5" s="6" t="str">
        <f>IFERROR(__xludf.DUMMYFUNCTION("""COMPUTED_VALUE"""),"Yamaha MG166")</f>
        <v>Yamaha MG166</v>
      </c>
      <c r="J5" s="6"/>
      <c r="K5" s="6"/>
      <c r="L5" s="6" t="str">
        <f>IFERROR(__xludf.DUMMYFUNCTION("""COMPUTED_VALUE"""),"PC CG")</f>
        <v>PC CG</v>
      </c>
      <c r="M5" s="9" t="str">
        <f>IFERROR(__xludf.DUMMYFUNCTION("""COMPUTED_VALUE"""),"AIRE")</f>
        <v>AIRE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