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<sst xmlns="http://schemas.openxmlformats.org/spreadsheetml/2006/main" count="1373" uniqueCount="326">
  <si>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</si>
  <si>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</si>
  <si>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</si>
  <si>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</si>
  <si>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</si>
  <si>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</si>
  <si>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</si>
  <si>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</si>
  <si>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</si>
  <si>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</si>
  <si>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</si>
  <si>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</si>
  <si>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</si>
  <si>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</si>
  <si>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</si>
  <si>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</si>
  <si>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</si>
  <si>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</si>
  <si>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</si>
  <si>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</si>
  <si>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</si>
  <si>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</si>
  <si>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</si>
  <si>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</si>
  <si>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</si>
  <si>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</si>
  <si>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</si>
  <si>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</si>
  <si>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</si>
  <si>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</si>
  <si>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</si>
  <si>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</si>
  <si>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</si>
  <si>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</si>
  <si>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</si>
  <si>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</si>
  <si>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</si>
  <si>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</si>
  <si>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</si>
  <si>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</si>
  <si>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</si>
  <si>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</si>
  <si>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</si>
  <si>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</si>
  <si>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</si>
  <si>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</si>
  <si>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</si>
  <si>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</si>
  <si>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</si>
  <si>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</si>
  <si>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</si>
  <si>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</si>
  <si>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</si>
  <si>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</si>
  <si>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</si>
  <si>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</si>
  <si>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</si>
  <si>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</si>
  <si>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</si>
  <si>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</si>
  <si>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</si>
  <si>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</si>
  <si>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</si>
  <si>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</si>
  <si>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</si>
  <si>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</si>
  <si>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</si>
  <si>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</si>
  <si>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</si>
  <si>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</si>
  <si>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</si>
  <si>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</si>
  <si>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</si>
  <si>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</si>
  <si>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</si>
  <si>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</si>
  <si>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</si>
  <si>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</si>
  <si>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</si>
  <si>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</si>
  <si>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</si>
  <si>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</si>
  <si>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</si>
  <si>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</si>
  <si>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</si>
  <si>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</si>
  <si>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</si>
  <si>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</si>
  <si>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</si>
  <si>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</si>
  <si>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</si>
  <si>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</si>
  <si>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</si>
  <si>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</si>
  <si>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</si>
  <si>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</si>
  <si>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</si>
  <si>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</si>
  <si>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</si>
  <si>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</si>
  <si>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</si>
  <si>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</si>
  <si>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</si>
  <si>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</si>
  <si>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</si>
  <si>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</si>
  <si>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</si>
  <si>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</si>
  <si>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</si>
  <si>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</si>
  <si>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</si>
  <si>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</si>
  <si>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</si>
  <si>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</si>
  <si>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</si>
  <si>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</si>
  <si>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</si>
  <si>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</si>
  <si>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</si>
  <si>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</si>
  <si>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</si>
  <si>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</si>
  <si>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</si>
  <si>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</si>
  <si>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</si>
  <si>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</si>
  <si>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</si>
  <si>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</si>
  <si>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</si>
  <si>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</si>
  <si>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</si>
  <si>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</si>
  <si>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</si>
  <si>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</si>
  <si>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</si>
  <si>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</si>
  <si>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</si>
  <si>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</si>
  <si>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</si>
  <si>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</si>
  <si>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</si>
  <si>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</si>
  <si>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</si>
  <si>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</si>
  <si>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</si>
  <si>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</si>
  <si>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</si>
  <si>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</si>
  <si>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</si>
  <si>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</si>
  <si>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</si>
  <si>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</si>
  <si>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</si>
  <si>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</si>
  <si>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</si>
  <si>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</si>
  <si>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</si>
  <si>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</si>
  <si>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</si>
  <si>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</si>
  <si>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</si>
  <si>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</si>
  <si>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</si>
  <si>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</si>
  <si>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</si>
  <si>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</si>
  <si>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</si>
  <si>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</si>
  <si>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</si>
  <si>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</si>
  <si>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</si>
  <si>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</si>
  <si>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</si>
  <si>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</si>
  <si>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</si>
  <si>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</si>
  <si>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</si>
  <si>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</si>
  <si>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</si>
  <si>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</si>
  <si>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</si>
  <si>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</si>
  <si>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</si>
  <si>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</si>
  <si>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</si>
  <si>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</si>
  <si>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</si>
  <si>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</si>
  <si>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</si>
  <si>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</si>
  <si>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</si>
  <si>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</si>
  <si>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</si>
  <si>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</si>
  <si>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</si>
  <si>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</si>
  <si>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</si>
  <si>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</si>
  <si>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</si>
  <si>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</si>
  <si>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</si>
  <si>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</si>
  <si>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</si>
  <si>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</si>
  <si>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</si>
  <si>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</si>
  <si>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</si>
  <si>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</si>
  <si>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</si>
  <si>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</si>
  <si>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</si>
  <si>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</si>
  <si>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</si>
  <si>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</si>
  <si>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</si>
  <si>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</si>
  <si>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</si>
  <si>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</si>
  <si>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</si>
  <si>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</si>
  <si>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</si>
  <si>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</si>
  <si>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</si>
  <si>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</si>
  <si>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</si>
  <si>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</si>
  <si>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</si>
  <si>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</si>
  <si>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</si>
  <si>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</si>
  <si>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</si>
  <si>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</si>
  <si>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</si>
  <si>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</si>
  <si>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</si>
  <si>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</si>
  <si>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</si>
  <si>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</si>
  <si>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</si>
  <si>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</si>
  <si>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</si>
  <si>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</si>
  <si>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</si>
  <si>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</si>
  <si>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</si>
  <si>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</si>
  <si>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</si>
  <si>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</si>
  <si>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</si>
  <si>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</si>
  <si>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</si>
  <si>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</si>
  <si>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</si>
  <si>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</si>
  <si>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</si>
  <si>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</si>
  <si>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</si>
  <si>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</si>
  <si>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</si>
  <si>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</si>
  <si>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</si>
  <si>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</si>
  <si>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</si>
  <si>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</si>
  <si>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</si>
  <si>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</si>
  <si>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</si>
  <si>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</si>
  <si>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</si>
  <si>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</si>
  <si>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</si>
  <si>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</si>
  <si>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</si>
  <si>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</si>
  <si>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</si>
  <si>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</si>
  <si>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</si>
  <si>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</si>
  <si>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</si>
  <si>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</si>
  <si>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</si>
  <si>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</si>
  <si>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REF</t>
  </si>
  <si>
    <t>Analog Dist. Amp.</t>
  </si>
  <si>
    <t>Video In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</si>
  <si>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</si>
  <si>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</si>
  <si>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</si>
  <si>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</si>
  <si>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</si>
  <si>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</si>
  <si>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</si>
  <si>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</si>
  <si>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</si>
  <si>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</si>
  <si>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</si>
  <si>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</si>
  <si>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</si>
  <si>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</si>
  <si>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</si>
  <si>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</si>
  <si>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</si>
  <si>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</si>
  <si>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</si>
  <si>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</si>
  <si>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</si>
  <si>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</si>
  <si>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</si>
  <si>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</si>
  <si>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</si>
  <si>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</si>
  <si>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</si>
  <si>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</si>
  <si>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</si>
  <si>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</si>
  <si>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</si>
  <si>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</si>
  <si>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</si>
  <si>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</si>
  <si>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</si>
  <si>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</si>
  <si>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</si>
  <si>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</si>
  <si>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</si>
  <si>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</si>
  <si>
    <t>b.9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</si>
</sst>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D3 (Audio)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D3 (Audio)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D3 (Audio)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D3 (Video)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(PGM)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(PGM)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D3 (Video)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D3 (Audio)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D3 (Audio)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D3 (Audio)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D3 (Audio)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D3 (Audio)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D3 (Audio)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D3 (Audio)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D3 (Audio)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D3 (Audio)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(PVW)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(PVW)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(PVW)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(PVW)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(PVW)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D3 (Audio)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D3 (Audio)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D3 (Audio)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102</v>
      </c>
      <c r="B177" s="7" t="str">
        <f>IF(A177="","",VLOOKUP(A177,DB!A:B,2,0))</f>
        <v>PC CG</v>
      </c>
      <c r="C177" s="7">
        <v>1.0</v>
      </c>
      <c r="D177" s="7" t="s">
        <v>258</v>
      </c>
      <c r="E177" s="7" t="s">
        <v>259</v>
      </c>
      <c r="F177" s="6"/>
      <c r="G177" s="6"/>
      <c r="H177" s="7" t="s">
        <v>146</v>
      </c>
      <c r="I177" s="6" t="str">
        <f>IF(H177="","",VLOOKUP(H177,DB!A:B,2,0))</f>
        <v>Yamaha MG166</v>
      </c>
      <c r="J177" s="6"/>
      <c r="K177" s="6"/>
      <c r="L177" s="7" t="s">
        <v>103</v>
      </c>
      <c r="M177" s="8" t="s">
        <v>121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19</v>
      </c>
      <c r="B178" s="7" t="str">
        <f>IF(A178="","",VLOOKUP(A178,DB!A:B,2,0))</f>
        <v>PC Video</v>
      </c>
      <c r="C178" s="7">
        <v>0.0</v>
      </c>
      <c r="D178" s="7" t="s">
        <v>260</v>
      </c>
      <c r="E178" s="7" t="s">
        <v>259</v>
      </c>
      <c r="F178" s="6"/>
      <c r="G178" s="6"/>
      <c r="H178" s="7" t="s">
        <v>146</v>
      </c>
      <c r="I178" s="6" t="str">
        <f>IF(H178="","",VLOOKUP(H178,DB!A:B,2,0))</f>
        <v>Yamaha MG166</v>
      </c>
      <c r="J178" s="6"/>
      <c r="K178" s="6"/>
      <c r="L178" s="7" t="s">
        <v>261</v>
      </c>
      <c r="M178" s="8" t="s">
        <v>120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262</v>
      </c>
      <c r="B179" s="7" t="str">
        <f>IF(A179="","",VLOOKUP(A179,DB!A:B,2,0))</f>
        <v>PC Audio</v>
      </c>
      <c r="C179" s="7">
        <v>0.0</v>
      </c>
      <c r="D179" s="7" t="s">
        <v>260</v>
      </c>
      <c r="E179" s="7" t="s">
        <v>259</v>
      </c>
      <c r="F179" s="6"/>
      <c r="G179" s="6"/>
      <c r="H179" s="7" t="s">
        <v>146</v>
      </c>
      <c r="I179" s="6" t="str">
        <f>IF(H179="","",VLOOKUP(H179,DB!A:B,2,0))</f>
        <v>Yamaha MG166</v>
      </c>
      <c r="J179" s="6"/>
      <c r="K179" s="6"/>
      <c r="L179" s="7" t="s">
        <v>263</v>
      </c>
      <c r="M179" s="8" t="s">
        <v>264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83</v>
      </c>
      <c r="B180" s="7" t="str">
        <f>IF(A180="","",VLOOKUP(A180,DB!A:B,2,0))</f>
        <v>CopperHead ProHD 1</v>
      </c>
      <c r="C180" s="6"/>
      <c r="D180" s="6"/>
      <c r="E180" s="7" t="s">
        <v>265</v>
      </c>
      <c r="F180" s="6"/>
      <c r="G180" s="6"/>
      <c r="H180" s="7" t="s">
        <v>266</v>
      </c>
      <c r="I180" s="6" t="str">
        <f>IF(H180="","",VLOOKUP(H180,DB!A:B,2,0))</f>
        <v>Mixer Intercom</v>
      </c>
      <c r="J180" s="6"/>
      <c r="K180" s="6"/>
      <c r="L180" s="7" t="s">
        <v>18</v>
      </c>
      <c r="M180" s="8" t="s">
        <v>267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86</v>
      </c>
      <c r="B181" s="7" t="str">
        <f>IF(A181="","",VLOOKUP(A181,DB!A:B,2,0))</f>
        <v>CopperHead ProHD 2</v>
      </c>
      <c r="C181" s="6"/>
      <c r="D181" s="6"/>
      <c r="E181" s="7" t="s">
        <v>265</v>
      </c>
      <c r="F181" s="6"/>
      <c r="G181" s="6"/>
      <c r="H181" s="7" t="s">
        <v>266</v>
      </c>
      <c r="I181" s="6" t="str">
        <f>IF(H181="","",VLOOKUP(H181,DB!A:B,2,0))</f>
        <v>Mixer Intercom</v>
      </c>
      <c r="J181" s="6"/>
      <c r="K181" s="6"/>
      <c r="L181" s="7" t="s">
        <v>24</v>
      </c>
      <c r="M181" s="8" t="s">
        <v>268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88</v>
      </c>
      <c r="B182" s="7" t="str">
        <f>IF(A182="","",VLOOKUP(A182,DB!A:B,2,0))</f>
        <v>CopperHead ProHD 3</v>
      </c>
      <c r="C182" s="6"/>
      <c r="D182" s="6"/>
      <c r="E182" s="7" t="s">
        <v>265</v>
      </c>
      <c r="F182" s="6"/>
      <c r="G182" s="6"/>
      <c r="H182" s="7" t="s">
        <v>266</v>
      </c>
      <c r="I182" s="6" t="str">
        <f>IF(H182="","",VLOOKUP(H182,DB!A:B,2,0))</f>
        <v>Mixer Intercom</v>
      </c>
      <c r="J182" s="6"/>
      <c r="K182" s="6"/>
      <c r="L182" s="7" t="s">
        <v>28</v>
      </c>
      <c r="M182" s="8" t="s">
        <v>269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64</v>
      </c>
      <c r="B183" s="7" t="str">
        <f>IF(A183="","",VLOOKUP(A183,DB!A:B,2,0))</f>
        <v>Ikegami BS-80 4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32</v>
      </c>
      <c r="M183" s="8" t="s">
        <v>270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Ikegami BS-80 5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36</v>
      </c>
      <c r="M184" s="8" t="s">
        <v>271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90</v>
      </c>
      <c r="B185" s="7" t="str">
        <f>IF(A185="","",VLOOKUP(A185,DB!A:B,2,0))</f>
        <v>Miranda D3 (Audio)</v>
      </c>
      <c r="C185" s="7">
        <v>10.0</v>
      </c>
      <c r="D185" s="7" t="s">
        <v>154</v>
      </c>
      <c r="E185" s="7" t="s">
        <v>16</v>
      </c>
      <c r="F185" s="7" t="s">
        <v>17</v>
      </c>
      <c r="G185" s="7" t="s">
        <v>18</v>
      </c>
      <c r="H185" s="7" t="s">
        <v>83</v>
      </c>
      <c r="I185" s="6" t="str">
        <f>IF(H185="","",VLOOKUP(H185,DB!A:B,2,0))</f>
        <v>CopperHead ProHD 1</v>
      </c>
      <c r="J185" s="6"/>
      <c r="K185" s="6"/>
      <c r="L185" s="7" t="s">
        <v>272</v>
      </c>
      <c r="M185" s="8" t="s">
        <v>273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90</v>
      </c>
      <c r="B186" s="7" t="str">
        <f>IF(A186="","",VLOOKUP(A186,DB!A:B,2,0))</f>
        <v>Miranda D3 (Audio)</v>
      </c>
      <c r="C186" s="7">
        <v>10.0</v>
      </c>
      <c r="D186" s="7" t="s">
        <v>154</v>
      </c>
      <c r="E186" s="7" t="s">
        <v>23</v>
      </c>
      <c r="F186" s="7" t="s">
        <v>17</v>
      </c>
      <c r="G186" s="7" t="s">
        <v>18</v>
      </c>
      <c r="H186" s="7" t="s">
        <v>86</v>
      </c>
      <c r="I186" s="6" t="str">
        <f>IF(H186="","",VLOOKUP(H186,DB!A:B,2,0))</f>
        <v>CopperHead ProHD 2</v>
      </c>
      <c r="J186" s="6"/>
      <c r="K186" s="6"/>
      <c r="L186" s="7" t="s">
        <v>272</v>
      </c>
      <c r="M186" s="8" t="s">
        <v>273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90</v>
      </c>
      <c r="B187" s="7" t="str">
        <f>IF(A187="","",VLOOKUP(A187,DB!A:B,2,0))</f>
        <v>Miranda D3 (Audio)</v>
      </c>
      <c r="C187" s="7">
        <v>10.0</v>
      </c>
      <c r="D187" s="7" t="s">
        <v>154</v>
      </c>
      <c r="E187" s="7" t="s">
        <v>27</v>
      </c>
      <c r="F187" s="7" t="s">
        <v>17</v>
      </c>
      <c r="G187" s="7" t="s">
        <v>18</v>
      </c>
      <c r="H187" s="7" t="s">
        <v>88</v>
      </c>
      <c r="I187" s="6" t="str">
        <f>IF(H187="","",VLOOKUP(H187,DB!A:B,2,0))</f>
        <v>CopperHead ProHD 3</v>
      </c>
      <c r="J187" s="6"/>
      <c r="K187" s="6"/>
      <c r="L187" s="7" t="s">
        <v>272</v>
      </c>
      <c r="M187" s="8" t="s">
        <v>273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31</v>
      </c>
      <c r="F188" s="7" t="s">
        <v>17</v>
      </c>
      <c r="G188" s="7" t="s">
        <v>18</v>
      </c>
      <c r="H188" s="7" t="s">
        <v>64</v>
      </c>
      <c r="I188" s="6" t="str">
        <f>IF(H188="","",VLOOKUP(H188,DB!A:B,2,0))</f>
        <v>Ikegami BS-80 4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35</v>
      </c>
      <c r="F189" s="7" t="s">
        <v>17</v>
      </c>
      <c r="G189" s="7" t="s">
        <v>18</v>
      </c>
      <c r="H189" s="7" t="s">
        <v>69</v>
      </c>
      <c r="I189" s="6" t="str">
        <f>IF(H189="","",VLOOKUP(H189,DB!A:B,2,0))</f>
        <v>Ikegami BS-80 5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266</v>
      </c>
      <c r="B190" s="7" t="str">
        <f>IF(A190="","",VLOOKUP(A190,DB!A:B,2,0))</f>
        <v>Mixer Intercom</v>
      </c>
      <c r="C190" s="6"/>
      <c r="D190" s="6"/>
      <c r="E190" s="7" t="s">
        <v>274</v>
      </c>
      <c r="F190" s="6"/>
      <c r="G190" s="6"/>
      <c r="H190" s="7" t="s">
        <v>275</v>
      </c>
      <c r="I190" s="6" t="str">
        <f>IF(H190="","",VLOOKUP(H190,DB!A:B,2,0))</f>
        <v>Headset Director</v>
      </c>
      <c r="J190" s="6"/>
      <c r="K190" s="6"/>
      <c r="L190" s="7" t="s">
        <v>276</v>
      </c>
      <c r="M190" s="8" t="s">
        <v>277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275</v>
      </c>
      <c r="B191" s="7" t="str">
        <f>IF(A191="","",VLOOKUP(A191,DB!A:B,2,0))</f>
        <v>Headset Director</v>
      </c>
      <c r="C191" s="6"/>
      <c r="D191" s="6"/>
      <c r="E191" s="7" t="s">
        <v>278</v>
      </c>
      <c r="F191" s="6"/>
      <c r="G191" s="6"/>
      <c r="H191" s="7" t="s">
        <v>146</v>
      </c>
      <c r="I191" s="6" t="str">
        <f>IF(H191="","",VLOOKUP(H191,DB!A:B,2,0))</f>
        <v>Yamaha MG166</v>
      </c>
      <c r="J191" s="6"/>
      <c r="K191" s="6"/>
      <c r="L191" s="7" t="s">
        <v>47</v>
      </c>
      <c r="M191" s="8" t="s">
        <v>279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280</v>
      </c>
      <c r="B192" s="7" t="str">
        <f>IF(A192="","",VLOOKUP(A192,DB!A:B,2,0))</f>
        <v>Sync Generator</v>
      </c>
      <c r="C192" s="6"/>
      <c r="D192" s="6"/>
      <c r="E192" s="7" t="s">
        <v>281</v>
      </c>
      <c r="F192" s="7" t="s">
        <v>17</v>
      </c>
      <c r="G192" s="7" t="s">
        <v>282</v>
      </c>
      <c r="H192" s="7" t="s">
        <v>51</v>
      </c>
      <c r="I192" s="6" t="str">
        <f>IF(H192="","",VLOOKUP(H192,DB!A:B,2,0))</f>
        <v>Miranda D3 (Video)</v>
      </c>
      <c r="J192" s="7">
        <v>6.0</v>
      </c>
      <c r="K192" s="7" t="s">
        <v>283</v>
      </c>
      <c r="L192" s="7" t="s">
        <v>284</v>
      </c>
      <c r="M192" s="8" t="s">
        <v>282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280</v>
      </c>
      <c r="B193" s="7" t="str">
        <f>IF(A193="","",VLOOKUP(A193,DB!A:B,2,0))</f>
        <v>Sync Generator</v>
      </c>
      <c r="C193" s="6"/>
      <c r="D193" s="6"/>
      <c r="E193" s="7" t="s">
        <v>285</v>
      </c>
      <c r="F193" s="7" t="s">
        <v>17</v>
      </c>
      <c r="G193" s="7" t="s">
        <v>282</v>
      </c>
      <c r="H193" s="7" t="s">
        <v>37</v>
      </c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280</v>
      </c>
      <c r="B194" s="7" t="str">
        <f>IF(A194="","",VLOOKUP(A194,DB!A:B,2,0))</f>
        <v>Sync Generator</v>
      </c>
      <c r="C194" s="6"/>
      <c r="D194" s="6"/>
      <c r="E194" s="7" t="s">
        <v>286</v>
      </c>
      <c r="F194" s="7" t="s">
        <v>17</v>
      </c>
      <c r="G194" s="7" t="s">
        <v>282</v>
      </c>
      <c r="H194" s="7" t="s">
        <v>37</v>
      </c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280</v>
      </c>
      <c r="B195" s="7" t="str">
        <f>IF(A195="","",VLOOKUP(A195,DB!A:B,2,0))</f>
        <v>Sync Generator</v>
      </c>
      <c r="C195" s="6"/>
      <c r="D195" s="6"/>
      <c r="E195" s="7" t="s">
        <v>287</v>
      </c>
      <c r="F195" s="7" t="s">
        <v>17</v>
      </c>
      <c r="G195" s="7" t="s">
        <v>282</v>
      </c>
      <c r="H195" s="7" t="s">
        <v>51</v>
      </c>
      <c r="I195" s="6" t="str">
        <f>IF(H195="","",VLOOKUP(H195,DB!A:B,2,0))</f>
        <v>Miranda D3 (Video)</v>
      </c>
      <c r="J195" s="7">
        <v>1.0</v>
      </c>
      <c r="K195" s="7" t="s">
        <v>144</v>
      </c>
      <c r="L195" s="7" t="s">
        <v>288</v>
      </c>
      <c r="M195" s="8" t="s">
        <v>282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289</v>
      </c>
      <c r="F196" s="7" t="s">
        <v>17</v>
      </c>
      <c r="G196" s="7" t="s">
        <v>282</v>
      </c>
      <c r="H196" s="7" t="s">
        <v>40</v>
      </c>
      <c r="I196" s="6" t="str">
        <f>IF(H196="","",VLOOKUP(H196,DB!A:B,2,0))</f>
        <v>ATEM 1 M/E</v>
      </c>
      <c r="J196" s="6"/>
      <c r="K196" s="6"/>
      <c r="L196" s="7" t="s">
        <v>288</v>
      </c>
      <c r="M196" s="8" t="s">
        <v>282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290</v>
      </c>
      <c r="F197" s="7" t="s">
        <v>17</v>
      </c>
      <c r="G197" s="7" t="s">
        <v>282</v>
      </c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51</v>
      </c>
      <c r="B198" s="7" t="str">
        <f>IF(A198="","",VLOOKUP(A198,DB!A:B,2,0))</f>
        <v>Miranda D3 (Video)</v>
      </c>
      <c r="C198" s="7">
        <v>6.0</v>
      </c>
      <c r="D198" s="7" t="s">
        <v>283</v>
      </c>
      <c r="E198" s="7" t="s">
        <v>16</v>
      </c>
      <c r="F198" s="7" t="s">
        <v>17</v>
      </c>
      <c r="G198" s="7" t="s">
        <v>284</v>
      </c>
      <c r="H198" s="7" t="s">
        <v>69</v>
      </c>
      <c r="I198" s="6" t="str">
        <f>IF(H198="","",VLOOKUP(H198,DB!A:B,2,0))</f>
        <v>Ikegami BS-80 5</v>
      </c>
      <c r="J198" s="6"/>
      <c r="K198" s="6"/>
      <c r="L198" s="7" t="s">
        <v>288</v>
      </c>
      <c r="M198" s="8" t="s">
        <v>282</v>
      </c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51</v>
      </c>
      <c r="B199" s="7" t="str">
        <f>IF(A199="","",VLOOKUP(A199,DB!A:B,2,0))</f>
        <v>Miranda D3 (Video)</v>
      </c>
      <c r="C199" s="7">
        <v>6.0</v>
      </c>
      <c r="D199" s="7" t="s">
        <v>283</v>
      </c>
      <c r="E199" s="7" t="s">
        <v>23</v>
      </c>
      <c r="F199" s="7" t="s">
        <v>17</v>
      </c>
      <c r="G199" s="7" t="s">
        <v>284</v>
      </c>
      <c r="H199" s="7" t="s">
        <v>83</v>
      </c>
      <c r="I199" s="6" t="str">
        <f>IF(H199="","",VLOOKUP(H199,DB!A:B,2,0))</f>
        <v>CopperHead ProHD 1</v>
      </c>
      <c r="J199" s="6"/>
      <c r="K199" s="6"/>
      <c r="L199" s="7" t="s">
        <v>288</v>
      </c>
      <c r="M199" s="8" t="s">
        <v>282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51</v>
      </c>
      <c r="B200" s="7" t="str">
        <f>IF(A200="","",VLOOKUP(A200,DB!A:B,2,0))</f>
        <v>Miranda D3 (Video)</v>
      </c>
      <c r="C200" s="7">
        <v>6.0</v>
      </c>
      <c r="D200" s="7" t="s">
        <v>283</v>
      </c>
      <c r="E200" s="7" t="s">
        <v>27</v>
      </c>
      <c r="F200" s="7" t="s">
        <v>17</v>
      </c>
      <c r="G200" s="7" t="s">
        <v>284</v>
      </c>
      <c r="H200" s="7" t="s">
        <v>102</v>
      </c>
      <c r="I200" s="6" t="str">
        <f>IF(H200="","",VLOOKUP(H200,DB!A:B,2,0))</f>
        <v>PC CG</v>
      </c>
      <c r="J200" s="7">
        <v>2.0</v>
      </c>
      <c r="K200" s="7" t="s">
        <v>20</v>
      </c>
      <c r="L200" s="7" t="s">
        <v>288</v>
      </c>
      <c r="M200" s="8" t="s">
        <v>282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51</v>
      </c>
      <c r="B201" s="7" t="str">
        <f>IF(A201="","",VLOOKUP(A201,DB!A:B,2,0))</f>
        <v>Miranda D3 (Video)</v>
      </c>
      <c r="C201" s="7">
        <v>6.0</v>
      </c>
      <c r="D201" s="7" t="s">
        <v>283</v>
      </c>
      <c r="E201" s="7" t="s">
        <v>35</v>
      </c>
      <c r="F201" s="7" t="s">
        <v>17</v>
      </c>
      <c r="G201" s="7" t="s">
        <v>284</v>
      </c>
      <c r="H201" s="7" t="s">
        <v>64</v>
      </c>
      <c r="I201" s="6" t="str">
        <f>IF(H201="","",VLOOKUP(H201,DB!A:B,2,0))</f>
        <v>Ikegami BS-80 4</v>
      </c>
      <c r="J201" s="6"/>
      <c r="K201" s="6"/>
      <c r="L201" s="7" t="s">
        <v>288</v>
      </c>
      <c r="M201" s="8" t="s">
        <v>282</v>
      </c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283</v>
      </c>
      <c r="E202" s="7" t="s">
        <v>38</v>
      </c>
      <c r="F202" s="7" t="s">
        <v>17</v>
      </c>
      <c r="G202" s="7" t="s">
        <v>284</v>
      </c>
      <c r="H202" s="7" t="s">
        <v>19</v>
      </c>
      <c r="I202" s="6" t="str">
        <f>IF(H202="","",VLOOKUP(H202,DB!A:B,2,0))</f>
        <v>PC Video</v>
      </c>
      <c r="J202" s="7">
        <v>2.0</v>
      </c>
      <c r="K202" s="7" t="s">
        <v>20</v>
      </c>
      <c r="L202" s="7" t="s">
        <v>288</v>
      </c>
      <c r="M202" s="8" t="s">
        <v>282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83</v>
      </c>
      <c r="B203" s="7" t="str">
        <f>IF(A203="","",VLOOKUP(A203,DB!A:B,2,0))</f>
        <v>CopperHead ProHD 1</v>
      </c>
      <c r="C203" s="6"/>
      <c r="D203" s="6"/>
      <c r="E203" s="7" t="s">
        <v>291</v>
      </c>
      <c r="F203" s="7" t="s">
        <v>17</v>
      </c>
      <c r="G203" s="7" t="s">
        <v>288</v>
      </c>
      <c r="H203" s="7" t="s">
        <v>86</v>
      </c>
      <c r="I203" s="6" t="str">
        <f>IF(H203="","",VLOOKUP(H203,DB!A:B,2,0))</f>
        <v>CopperHead ProHD 2</v>
      </c>
      <c r="J203" s="6"/>
      <c r="K203" s="6"/>
      <c r="L203" s="7" t="s">
        <v>288</v>
      </c>
      <c r="M203" s="8" t="s">
        <v>282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86</v>
      </c>
      <c r="B204" s="7" t="str">
        <f>IF(A204="","",VLOOKUP(A204,DB!A:B,2,0))</f>
        <v>CopperHead ProHD 2</v>
      </c>
      <c r="C204" s="6"/>
      <c r="D204" s="6"/>
      <c r="E204" s="7" t="s">
        <v>291</v>
      </c>
      <c r="F204" s="7" t="s">
        <v>17</v>
      </c>
      <c r="G204" s="7" t="s">
        <v>288</v>
      </c>
      <c r="H204" s="7" t="s">
        <v>88</v>
      </c>
      <c r="I204" s="6" t="str">
        <f>IF(H204="","",VLOOKUP(H204,DB!A:B,2,0))</f>
        <v>CopperHead ProHD 3</v>
      </c>
      <c r="J204" s="6"/>
      <c r="K204" s="6"/>
      <c r="L204" s="7" t="s">
        <v>288</v>
      </c>
      <c r="M204" s="8" t="s">
        <v>282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88</v>
      </c>
      <c r="B205" s="7" t="str">
        <f>IF(A205="","",VLOOKUP(A205,DB!A:B,2,0))</f>
        <v>CopperHead ProHD 3</v>
      </c>
      <c r="C205" s="6"/>
      <c r="D205" s="6"/>
      <c r="E205" s="7" t="s">
        <v>291</v>
      </c>
      <c r="F205" s="7" t="s">
        <v>17</v>
      </c>
      <c r="G205" s="7" t="s">
        <v>288</v>
      </c>
      <c r="H205" s="7" t="s">
        <v>76</v>
      </c>
      <c r="I205" s="6" t="str">
        <f>IF(H205="","",VLOOKUP(H205,DB!A:B,2,0))</f>
        <v>HyperDeck Studio Pro</v>
      </c>
      <c r="J205" s="6"/>
      <c r="K205" s="6"/>
      <c r="L205" s="7" t="s">
        <v>288</v>
      </c>
      <c r="M205" s="8" t="s">
        <v>282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8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/>
      <c r="B42" s="16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/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)"),"B.9")</f>
        <v>B.9</v>
      </c>
      <c r="B3" s="6" t="str">
        <f>IFERROR(__xludf.DUMMYFUNCTION("""COMPUTED_VALUE"""),"PC CG")</f>
        <v>PC CG</v>
      </c>
      <c r="C3" s="6">
        <f>IFERROR(__xludf.DUMMYFUNCTION("""COMPUTED_VALUE"""),2.0)</f>
        <v>2</v>
      </c>
      <c r="D3" s="6" t="str">
        <f>IFERROR(__xludf.DUMMYFUNCTION("""COMPUTED_VALUE"""),"DeckLink")</f>
        <v>DeckLink</v>
      </c>
      <c r="E3" s="6" t="str">
        <f>IFERROR(__xludf.DUMMYFUNCTION("""COMPUTED_VALUE"""),"P1")</f>
        <v>P1</v>
      </c>
      <c r="F3" s="6"/>
      <c r="G3" s="6"/>
      <c r="H3" s="6" t="str">
        <f>IFERROR(__xludf.DUMMYFUNCTION("""COMPUTED_VALUE"""),"B.1")</f>
        <v>B.1</v>
      </c>
      <c r="I3" s="6" t="str">
        <f>IFERROR(__xludf.DUMMYFUNCTION("""COMPUTED_VALUE"""),"Patch panel")</f>
        <v>Patch panel</v>
      </c>
      <c r="J3" s="6"/>
      <c r="K3" s="6"/>
      <c r="L3" s="6" t="str">
        <f>IFERROR(__xludf.DUMMYFUNCTION("""COMPUTED_VALUE"""),"In 15")</f>
        <v>In 15</v>
      </c>
      <c r="M3" s="9" t="str">
        <f>IFERROR(__xludf.DUMMYFUNCTION("""COMPUTED_VALUE"""),"PC CG")</f>
        <v>PC CG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IFERROR(__xludf.DUMMYFUNCTION("""COMPUTED_VALUE"""),"B.9")</f>
        <v>B.9</v>
      </c>
      <c r="B4" s="6" t="str">
        <f>IFERROR(__xludf.DUMMYFUNCTION("""COMPUTED_VALUE"""),"PC CG")</f>
        <v>PC CG</v>
      </c>
      <c r="C4" s="6">
        <f>IFERROR(__xludf.DUMMYFUNCTION("""COMPUTED_VALUE"""),2.0)</f>
        <v>2</v>
      </c>
      <c r="D4" s="6" t="str">
        <f>IFERROR(__xludf.DUMMYFUNCTION("""COMPUTED_VALUE"""),"DeckLink")</f>
        <v>DeckLink</v>
      </c>
      <c r="E4" s="6" t="str">
        <f>IFERROR(__xludf.DUMMYFUNCTION("""COMPUTED_VALUE"""),"P2")</f>
        <v>P2</v>
      </c>
      <c r="F4" s="6"/>
      <c r="G4" s="6"/>
      <c r="H4" s="6" t="str">
        <f>IFERROR(__xludf.DUMMYFUNCTION("""COMPUTED_VALUE"""),"B.7")</f>
        <v>B.7</v>
      </c>
      <c r="I4" s="6" t="str">
        <f>IFERROR(__xludf.DUMMYFUNCTION("""COMPUTED_VALUE"""),"SmartView (AIRE/PGM)")</f>
        <v>SmartView (AIRE/PGM)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IFERROR(__xludf.DUMMYFUNCTION("""COMPUTED_VALUE"""),"AIRE")</f>
        <v>AIRE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IFERROR(__xludf.DUMMYFUNCTION("""COMPUTED_VALUE"""),"B.9")</f>
        <v>B.9</v>
      </c>
      <c r="B5" s="6" t="str">
        <f>IFERROR(__xludf.DUMMYFUNCTION("""COMPUTED_VALUE"""),"PC CG")</f>
        <v>PC CG</v>
      </c>
      <c r="C5" s="6">
        <f>IFERROR(__xludf.DUMMYFUNCTION("""COMPUTED_VALUE"""),1.0)</f>
        <v>1</v>
      </c>
      <c r="D5" s="6" t="str">
        <f>IFERROR(__xludf.DUMMYFUNCTION("""COMPUTED_VALUE"""),"Soundcard")</f>
        <v>Soundcard</v>
      </c>
      <c r="E5" s="6" t="str">
        <f>IFERROR(__xludf.DUMMYFUNCTION("""COMPUTED_VALUE"""),"Speaker Out")</f>
        <v>Speaker Out</v>
      </c>
      <c r="F5" s="6"/>
      <c r="G5" s="6"/>
      <c r="H5" s="6" t="str">
        <f>IFERROR(__xludf.DUMMYFUNCTION("""COMPUTED_VALUE"""),"D.1")</f>
        <v>D.1</v>
      </c>
      <c r="I5" s="6" t="str">
        <f>IFERROR(__xludf.DUMMYFUNCTION("""COMPUTED_VALUE"""),"Yamaha MG166")</f>
        <v>Yamaha MG166</v>
      </c>
      <c r="J5" s="6"/>
      <c r="K5" s="6"/>
      <c r="L5" s="6" t="str">
        <f>IFERROR(__xludf.DUMMYFUNCTION("""COMPUTED_VALUE"""),"PC CG")</f>
        <v>PC CG</v>
      </c>
      <c r="M5" s="9" t="str">
        <f>IFERROR(__xludf.DUMMYFUNCTION("""COMPUTED_VALUE"""),"AIRE")</f>
        <v>AIRE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