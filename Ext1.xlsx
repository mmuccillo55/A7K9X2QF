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<sst xmlns="http://schemas.openxmlformats.org/spreadsheetml/2006/main" count="1142" uniqueCount="281">
  <si>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</si>
  <si>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</si>
  <si>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</si>
  <si>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</si>
  <si>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</si>
  <si>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</si>
  <si>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</si>
  <si>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</si>
  <si>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</si>
  <si>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</si>
  <si>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</si>
  <si>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</si>
  <si>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</si>
  <si>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</si>
  <si>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</si>
  <si>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</si>
  <si>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</si>
  <si>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</si>
  <si>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</si>
  <si>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</si>
  <si>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</si>
  <si>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</si>
  <si>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</si>
  <si>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</si>
  <si>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</si>
  <si>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</si>
  <si>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</si>
  <si>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</si>
  <si>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</si>
  <si>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</si>
  <si>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</si>
  <si>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</si>
  <si>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</si>
  <si>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</si>
  <si>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</si>
  <si>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</si>
  <si>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</si>
  <si>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</si>
  <si>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</si>
  <si>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</si>
  <si>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</si>
  <si>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</si>
  <si>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</si>
  <si>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</si>
  <si>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</si>
  <si>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</si>
  <si>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</si>
  <si>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</si>
  <si>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</si>
  <si>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</si>
  <si>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</si>
  <si>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</si>
  <si>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</si>
  <si>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</si>
  <si>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</si>
  <si>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</si>
  <si>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</si>
  <si>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</si>
  <si>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</si>
  <si>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</si>
  <si>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</si>
  <si>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</si>
  <si>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</si>
  <si>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</si>
  <si>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</si>
  <si>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</si>
  <si>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</si>
  <si>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</si>
  <si>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</si>
  <si>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</si>
  <si>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</si>
  <si>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</si>
  <si>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</si>
  <si>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</si>
  <si>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</si>
  <si>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</si>
  <si>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</si>
  <si>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</si>
  <si>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</si>
  <si>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</si>
  <si>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</si>
  <si>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</si>
  <si>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</si>
  <si>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</si>
  <si>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</si>
  <si>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</si>
  <si>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</si>
  <si>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</si>
  <si>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</si>
  <si>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</si>
  <si>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</si>
  <si>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</si>
  <si>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</si>
  <si>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</si>
  <si>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Ext.1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</si>
  <si>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</si>
  <si>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</si>
  <si>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</si>
  <si>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</si>
  <si>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</si>
  <si>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</si>
  <si>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</si>
  <si>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</si>
  <si>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</si>
  <si>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</si>
  <si>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</si>
  <si>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</si>
  <si>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</si>
  <si>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</si>
  <si>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</si>
  <si>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</si>
  <si>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</si>
  <si>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</si>
  <si>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</si>
  <si>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</si>
  <si>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</si>
  <si>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</si>
  <si>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</si>
  <si>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</si>
  <si>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</si>
  <si>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</si>
  <si>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</si>
  <si>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</si>
  <si>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</si>
  <si>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</si>
  <si>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</si>
  <si>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</si>
  <si>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</si>
  <si>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</si>
  <si>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</si>
  <si>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</si>
  <si>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</si>
  <si>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</si>
  <si>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</si>
  <si>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</si>
  <si>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</si>
  <si>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</si>
  <si>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</si>
  <si>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</si>
  <si>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</si>
  <si>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</si>
  <si>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</si>
  <si>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</si>
  <si>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</si>
  <si>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</si>
  <si>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</si>
  <si>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</si>
  <si>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</si>
  <si>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</si>
  <si>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</si>
  <si>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</si>
  <si>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</si>
  <si>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</si>
  <si>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</si>
  <si>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</si>
  <si>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</si>
  <si>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</si>
  <si>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</si>
  <si>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</si>
  <si>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</si>
  <si>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</si>
  <si>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</si>
  <si>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</si>
  <si>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</si>
  <si>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</si>
  <si>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</si>
  <si>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IN 7</t>
  </si>
  <si>
    <t>V2</t>
  </si>
  <si>
    <t>IN 8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</si>
  <si>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</si>
  <si>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</si>
  <si>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</si>
  <si>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</si>
  <si>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</si>
  <si>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</si>
  <si>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</si>
  <si>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</si>
  <si>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</si>
  <si>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</si>
  <si>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</si>
  <si>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</si>
  <si>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</si>
  <si>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IN 9</t>
  </si>
  <si>
    <t>A10</t>
  </si>
  <si>
    <t>A11</t>
  </si>
  <si>
    <t>A12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</si>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</sst>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Production Studio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Blackmagic 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Telecast 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Telecast 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41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44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94</v>
      </c>
      <c r="B25" s="7" t="str">
        <f>IF(A25="","",VLOOKUP(A25,DB!A:B,2,0))</f>
        <v>Patchera Externa Video</v>
      </c>
      <c r="C25" s="6"/>
      <c r="D25" s="6"/>
      <c r="E25" s="7" t="s">
        <v>95</v>
      </c>
      <c r="F25" s="7" t="s">
        <v>17</v>
      </c>
      <c r="G25" s="7" t="s">
        <v>95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47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Production Studio</v>
      </c>
      <c r="C26" s="6"/>
      <c r="D26" s="6"/>
      <c r="E26" s="7" t="s">
        <v>96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97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Production Studio</v>
      </c>
      <c r="C27" s="6"/>
      <c r="D27" s="6"/>
      <c r="E27" s="7" t="s">
        <v>98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99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100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101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Blackmagic 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 t="s">
        <v>106</v>
      </c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Blackmagic 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94</v>
      </c>
      <c r="B34" s="7" t="str">
        <f>IF(A34="","",VLOOKUP(A34,DB!A:B,2,0))</f>
        <v>Patchera Externa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Production Studio</v>
      </c>
      <c r="C35" s="6"/>
      <c r="D35" s="6"/>
      <c r="E35" s="7" t="s">
        <v>84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112</v>
      </c>
      <c r="L35" s="7" t="s">
        <v>93</v>
      </c>
      <c r="M35" s="9"/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Telecast 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Production Studio</v>
      </c>
      <c r="J36" s="6"/>
      <c r="K36" s="6"/>
      <c r="L36" s="7" t="s">
        <v>105</v>
      </c>
      <c r="M36" s="9"/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Telecast 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Production Studio</v>
      </c>
      <c r="J37" s="6"/>
      <c r="K37" s="6"/>
      <c r="L37" s="7" t="s">
        <v>113</v>
      </c>
      <c r="M37" s="9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Telecast 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114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115</v>
      </c>
      <c r="B39" s="7" t="str">
        <f>IF(A39="","",VLOOKUP(A39,DB!A:B,2,0))</f>
        <v>Blackmagic 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Blackmagic SmartScope Duo</v>
      </c>
      <c r="J39" s="6"/>
      <c r="K39" s="6"/>
      <c r="L39" s="7" t="s">
        <v>116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119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115</v>
      </c>
      <c r="I41" s="6" t="str">
        <f>IF(H41="","",VLOOKUP(H41,DB!A:B,2,0))</f>
        <v>Blackmagic SmartView Duo</v>
      </c>
      <c r="J41" s="6"/>
      <c r="K41" s="6"/>
      <c r="L41" s="7" t="s">
        <v>116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120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121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120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Telecast CopperHead ProHD 3</v>
      </c>
      <c r="J43" s="6"/>
      <c r="K43" s="6"/>
      <c r="L43" s="7" t="s">
        <v>93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122</v>
      </c>
      <c r="E44" s="7" t="s">
        <v>120</v>
      </c>
      <c r="F44" s="7" t="s">
        <v>17</v>
      </c>
      <c r="G44" s="7" t="s">
        <v>53</v>
      </c>
      <c r="H44" s="7" t="s">
        <v>115</v>
      </c>
      <c r="I44" s="6" t="str">
        <f>IF(H44="","",VLOOKUP(H44,DB!A:B,2,0))</f>
        <v>Blackmagic SmartView Duo</v>
      </c>
      <c r="J44" s="6"/>
      <c r="K44" s="6"/>
      <c r="L44" s="7" t="s">
        <v>105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123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Telecast CopperHead ProHD 1</v>
      </c>
      <c r="J45" s="6"/>
      <c r="K45" s="6"/>
      <c r="L45" s="7" t="s">
        <v>93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122</v>
      </c>
      <c r="E46" s="7" t="s">
        <v>123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124</v>
      </c>
      <c r="F47" s="7" t="s">
        <v>17</v>
      </c>
      <c r="G47" s="7" t="s">
        <v>53</v>
      </c>
      <c r="H47" s="7" t="s">
        <v>94</v>
      </c>
      <c r="I47" s="6" t="str">
        <f>IF(H47="","",VLOOKUP(H47,DB!A:B,2,0))</f>
        <v>Patchera Externa Video</v>
      </c>
      <c r="J47" s="6"/>
      <c r="K47" s="6"/>
      <c r="L47" s="7" t="s">
        <v>125</v>
      </c>
      <c r="M47" s="7" t="s">
        <v>96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126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121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127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Telecast CopperHead ProHD 2</v>
      </c>
      <c r="J49" s="6"/>
      <c r="K49" s="6"/>
      <c r="L49" s="7" t="s">
        <v>93</v>
      </c>
      <c r="M49" s="9"/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122</v>
      </c>
      <c r="E50" s="7" t="s">
        <v>127</v>
      </c>
      <c r="F50" s="7" t="s">
        <v>17</v>
      </c>
      <c r="G50" s="7" t="s">
        <v>53</v>
      </c>
      <c r="H50" s="7" t="s">
        <v>94</v>
      </c>
      <c r="I50" s="6" t="str">
        <f>IF(H50="","",VLOOKUP(H50,DB!A:B,2,0))</f>
        <v>Patchera Externa Video</v>
      </c>
      <c r="J50" s="6"/>
      <c r="K50" s="6"/>
      <c r="L50" s="7" t="s">
        <v>128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127</v>
      </c>
      <c r="F51" s="7" t="s">
        <v>17</v>
      </c>
      <c r="G51" s="7" t="s">
        <v>57</v>
      </c>
      <c r="H51" s="7" t="s">
        <v>94</v>
      </c>
      <c r="I51" s="6" t="str">
        <f>IF(H51="","",VLOOKUP(H51,DB!A:B,2,0))</f>
        <v>Patchera Externa Video</v>
      </c>
      <c r="J51" s="6"/>
      <c r="K51" s="6"/>
      <c r="L51" s="7" t="s">
        <v>129</v>
      </c>
      <c r="M51" s="7" t="s">
        <v>130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122</v>
      </c>
      <c r="E52" s="7" t="s">
        <v>131</v>
      </c>
      <c r="F52" s="7" t="s">
        <v>17</v>
      </c>
      <c r="G52" s="7" t="s">
        <v>53</v>
      </c>
      <c r="H52" s="7" t="s">
        <v>94</v>
      </c>
      <c r="I52" s="6" t="str">
        <f>IF(H52="","",VLOOKUP(H52,DB!A:B,2,0))</f>
        <v>Patchera Externa Video</v>
      </c>
      <c r="J52" s="6"/>
      <c r="K52" s="6"/>
      <c r="L52" s="7" t="s">
        <v>132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131</v>
      </c>
      <c r="F53" s="7" t="s">
        <v>17</v>
      </c>
      <c r="G53" s="7" t="s">
        <v>57</v>
      </c>
      <c r="H53" s="7" t="s">
        <v>94</v>
      </c>
      <c r="I53" s="6" t="str">
        <f>IF(H53="","",VLOOKUP(H53,DB!A:B,2,0))</f>
        <v>Patchera Externa Video</v>
      </c>
      <c r="J53" s="6"/>
      <c r="K53" s="6"/>
      <c r="L53" s="7" t="s">
        <v>133</v>
      </c>
      <c r="M53" s="7" t="s">
        <v>130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131</v>
      </c>
      <c r="F54" s="7" t="s">
        <v>17</v>
      </c>
      <c r="G54" s="7" t="s">
        <v>57</v>
      </c>
      <c r="H54" s="7" t="s">
        <v>94</v>
      </c>
      <c r="I54" s="6" t="str">
        <f>IF(H54="","",VLOOKUP(H54,DB!A:B,2,0))</f>
        <v>Patchera Externa Video</v>
      </c>
      <c r="J54" s="6"/>
      <c r="K54" s="6"/>
      <c r="L54" s="7" t="s">
        <v>134</v>
      </c>
      <c r="M54" s="7" t="s">
        <v>98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122</v>
      </c>
      <c r="E55" s="7" t="s">
        <v>135</v>
      </c>
      <c r="F55" s="7" t="s">
        <v>17</v>
      </c>
      <c r="G55" s="7" t="s">
        <v>53</v>
      </c>
      <c r="H55" s="7" t="s">
        <v>94</v>
      </c>
      <c r="I55" s="6" t="str">
        <f>IF(H55="","",VLOOKUP(H55,DB!A:B,2,0))</f>
        <v>Patchera Externa Video</v>
      </c>
      <c r="J55" s="6"/>
      <c r="K55" s="6"/>
      <c r="L55" s="7" t="s">
        <v>136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135</v>
      </c>
      <c r="F56" s="7" t="s">
        <v>17</v>
      </c>
      <c r="G56" s="7" t="s">
        <v>57</v>
      </c>
      <c r="H56" s="7" t="s">
        <v>137</v>
      </c>
      <c r="I56" s="6" t="str">
        <f>IF(H56="","",VLOOKUP(H56,DB!A:B,2,0))</f>
        <v>Monitor Aire</v>
      </c>
      <c r="J56" s="6"/>
      <c r="K56" s="6"/>
      <c r="L56" s="7" t="s">
        <v>93</v>
      </c>
      <c r="M56" s="9"/>
      <c r="N56" s="9"/>
      <c r="O56" s="7" t="s">
        <v>138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139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122</v>
      </c>
      <c r="L57" s="7" t="s">
        <v>120</v>
      </c>
      <c r="M57" s="9"/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Production Studio</v>
      </c>
      <c r="J58" s="6"/>
      <c r="K58" s="6"/>
      <c r="L58" s="7" t="s">
        <v>140</v>
      </c>
      <c r="M58" s="9"/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Production Studio</v>
      </c>
      <c r="J59" s="6"/>
      <c r="K59" s="6"/>
      <c r="L59" s="7" t="s">
        <v>141</v>
      </c>
      <c r="M59" s="9"/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142</v>
      </c>
      <c r="F60" s="7" t="s">
        <v>17</v>
      </c>
      <c r="G60" s="7" t="s">
        <v>93</v>
      </c>
      <c r="H60" s="7" t="s">
        <v>143</v>
      </c>
      <c r="I60" s="6" t="str">
        <f>IF(H60="","",VLOOKUP(H60,DB!A:B,2,0))</f>
        <v>Yamaha MG166</v>
      </c>
      <c r="J60" s="6"/>
      <c r="K60" s="6"/>
      <c r="L60" s="7" t="s">
        <v>144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142</v>
      </c>
      <c r="F61" s="7" t="s">
        <v>17</v>
      </c>
      <c r="G61" s="7" t="s">
        <v>93</v>
      </c>
      <c r="H61" s="7" t="s">
        <v>143</v>
      </c>
      <c r="I61" s="6" t="str">
        <f>IF(H61="","",VLOOKUP(H61,DB!A:B,2,0))</f>
        <v>Yamaha MG166</v>
      </c>
      <c r="J61" s="6"/>
      <c r="K61" s="6"/>
      <c r="L61" s="7" t="s">
        <v>145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146</v>
      </c>
      <c r="F62" s="7" t="s">
        <v>17</v>
      </c>
      <c r="G62" s="7" t="s">
        <v>93</v>
      </c>
      <c r="H62" s="7" t="s">
        <v>143</v>
      </c>
      <c r="I62" s="6" t="str">
        <f>IF(H62="","",VLOOKUP(H62,DB!A:B,2,0))</f>
        <v>Yamaha MG166</v>
      </c>
      <c r="J62" s="6"/>
      <c r="K62" s="6"/>
      <c r="L62" s="7" t="s">
        <v>147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146</v>
      </c>
      <c r="F63" s="7" t="s">
        <v>17</v>
      </c>
      <c r="G63" s="7" t="s">
        <v>93</v>
      </c>
      <c r="H63" s="7" t="s">
        <v>143</v>
      </c>
      <c r="I63" s="6" t="str">
        <f>IF(H63="","",VLOOKUP(H63,DB!A:B,2,0))</f>
        <v>Yamaha MG166</v>
      </c>
      <c r="J63" s="6"/>
      <c r="K63" s="6"/>
      <c r="L63" s="7" t="s">
        <v>148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149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112</v>
      </c>
      <c r="L64" s="7" t="s">
        <v>150</v>
      </c>
      <c r="M64" s="9"/>
      <c r="N64" s="8" t="s">
        <v>106</v>
      </c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149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112</v>
      </c>
      <c r="L65" s="7" t="s">
        <v>151</v>
      </c>
      <c r="M65" s="9"/>
      <c r="N65" s="8" t="s">
        <v>106</v>
      </c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149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112</v>
      </c>
      <c r="L66" s="7" t="s">
        <v>152</v>
      </c>
      <c r="M66" s="9"/>
      <c r="N66" s="8" t="s">
        <v>153</v>
      </c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149</v>
      </c>
      <c r="E67" s="7" t="s">
        <v>35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112</v>
      </c>
      <c r="L67" s="7" t="s">
        <v>154</v>
      </c>
      <c r="M67" s="9"/>
      <c r="N67" s="8" t="s">
        <v>153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112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139</v>
      </c>
      <c r="L68" s="7" t="s">
        <v>93</v>
      </c>
      <c r="M68" s="9"/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112</v>
      </c>
      <c r="E69" s="7" t="s">
        <v>80</v>
      </c>
      <c r="F69" s="7" t="s">
        <v>17</v>
      </c>
      <c r="G69" s="7" t="s">
        <v>93</v>
      </c>
      <c r="H69" s="7" t="s">
        <v>94</v>
      </c>
      <c r="I69" s="6" t="str">
        <f>IF(H69="","",VLOOKUP(H69,DB!A:B,2,0))</f>
        <v>Patchera Externa Video</v>
      </c>
      <c r="J69" s="6"/>
      <c r="K69" s="6"/>
      <c r="L69" s="7" t="s">
        <v>155</v>
      </c>
      <c r="M69" s="7" t="s">
        <v>156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Densite3</v>
      </c>
      <c r="C70" s="7">
        <v>1.0</v>
      </c>
      <c r="D70" s="7" t="s">
        <v>112</v>
      </c>
      <c r="E70" s="7" t="s">
        <v>84</v>
      </c>
      <c r="F70" s="7" t="s">
        <v>17</v>
      </c>
      <c r="G70" s="7" t="s">
        <v>150</v>
      </c>
      <c r="H70" s="7"/>
      <c r="I70" s="6" t="str">
        <f>IF(H70="","",VLOOKUP(H70,DB!A:B,2,0))</f>
        <v/>
      </c>
      <c r="J70" s="6"/>
      <c r="K70" s="6"/>
      <c r="L70" s="7"/>
      <c r="M70" s="9"/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90</v>
      </c>
      <c r="B71" s="7" t="str">
        <f>IF(A71="","",VLOOKUP(A71,DB!A:B,2,0))</f>
        <v>Miranda Densite3</v>
      </c>
      <c r="C71" s="7">
        <v>1.0</v>
      </c>
      <c r="D71" s="7" t="s">
        <v>112</v>
      </c>
      <c r="E71" s="7" t="s">
        <v>84</v>
      </c>
      <c r="F71" s="7" t="s">
        <v>17</v>
      </c>
      <c r="G71" s="7" t="s">
        <v>151</v>
      </c>
      <c r="H71" s="7"/>
      <c r="I71" s="6" t="str">
        <f>IF(H71="","",VLOOKUP(H71,DB!A:B,2,0))</f>
        <v/>
      </c>
      <c r="J71" s="6"/>
      <c r="K71" s="6"/>
      <c r="L71" s="7"/>
      <c r="M71" s="9"/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90</v>
      </c>
      <c r="B72" s="7" t="str">
        <f>IF(A72="","",VLOOKUP(A72,DB!A:B,2,0))</f>
        <v>Miranda Densite3</v>
      </c>
      <c r="C72" s="7">
        <v>1.0</v>
      </c>
      <c r="D72" s="7" t="s">
        <v>112</v>
      </c>
      <c r="E72" s="7" t="s">
        <v>84</v>
      </c>
      <c r="F72" s="7" t="s">
        <v>17</v>
      </c>
      <c r="G72" s="7" t="s">
        <v>152</v>
      </c>
      <c r="H72" s="7"/>
      <c r="I72" s="6" t="str">
        <f>IF(H72="","",VLOOKUP(H72,DB!A:B,2,0))</f>
        <v/>
      </c>
      <c r="J72" s="6"/>
      <c r="K72" s="6"/>
      <c r="L72" s="7"/>
      <c r="M72" s="9"/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90</v>
      </c>
      <c r="B73" s="7" t="str">
        <f>IF(A73="","",VLOOKUP(A73,DB!A:B,2,0))</f>
        <v>Miranda Densite3</v>
      </c>
      <c r="C73" s="7">
        <v>1.0</v>
      </c>
      <c r="D73" s="7" t="s">
        <v>112</v>
      </c>
      <c r="E73" s="7" t="s">
        <v>84</v>
      </c>
      <c r="F73" s="7" t="s">
        <v>17</v>
      </c>
      <c r="G73" s="7" t="s">
        <v>154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104</v>
      </c>
      <c r="B74" s="7" t="str">
        <f>IF(A74="","",VLOOKUP(A74,DB!A:B,2,0))</f>
        <v>Blackmagic SmartScope Duo</v>
      </c>
      <c r="C74" s="6"/>
      <c r="D74" s="6"/>
      <c r="E74" s="7" t="s">
        <v>84</v>
      </c>
      <c r="F74" s="7" t="s">
        <v>17</v>
      </c>
      <c r="G74" s="7" t="s">
        <v>116</v>
      </c>
      <c r="H74" s="7" t="s">
        <v>104</v>
      </c>
      <c r="I74" s="6" t="str">
        <f>IF(H74="","",VLOOKUP(H74,DB!A:B,2,0))</f>
        <v>Blackmagic SmartScope Duo</v>
      </c>
      <c r="J74" s="6"/>
      <c r="K74" s="6"/>
      <c r="L74" s="7" t="s">
        <v>105</v>
      </c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94</v>
      </c>
      <c r="B75" s="7" t="str">
        <f>IF(A75="","",VLOOKUP(A75,DB!A:B,2,0))</f>
        <v>Patchera Externa Video</v>
      </c>
      <c r="C75" s="6"/>
      <c r="D75" s="6"/>
      <c r="E75" s="7" t="s">
        <v>157</v>
      </c>
      <c r="F75" s="7" t="s">
        <v>17</v>
      </c>
      <c r="G75" s="7" t="s">
        <v>157</v>
      </c>
      <c r="H75" s="7" t="s">
        <v>51</v>
      </c>
      <c r="I75" s="6" t="str">
        <f>IF(H75="","",VLOOKUP(H75,DB!A:B,2,0))</f>
        <v>Miranda Densite3</v>
      </c>
      <c r="J75" s="7">
        <v>7.0</v>
      </c>
      <c r="K75" s="7" t="s">
        <v>52</v>
      </c>
      <c r="L75" s="7" t="s">
        <v>57</v>
      </c>
      <c r="M75" s="8" t="s">
        <v>158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94</v>
      </c>
      <c r="B76" s="7" t="str">
        <f>IF(A76="","",VLOOKUP(A76,DB!A:B,2,0))</f>
        <v>Patchera Externa Video</v>
      </c>
      <c r="C76" s="6"/>
      <c r="D76" s="6"/>
      <c r="E76" s="7" t="s">
        <v>159</v>
      </c>
      <c r="F76" s="7" t="s">
        <v>17</v>
      </c>
      <c r="G76" s="7" t="s">
        <v>159</v>
      </c>
      <c r="H76" s="7" t="s">
        <v>64</v>
      </c>
      <c r="I76" s="6" t="str">
        <f>IF(H76="","",VLOOKUP(H76,DB!A:B,2,0))</f>
        <v>Ikegami BS-80 4</v>
      </c>
      <c r="J76" s="6"/>
      <c r="K76" s="6"/>
      <c r="L76" s="7" t="s">
        <v>160</v>
      </c>
      <c r="M76" s="8" t="s">
        <v>81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94</v>
      </c>
      <c r="B77" s="7" t="str">
        <f>IF(A77="","",VLOOKUP(A77,DB!A:B,2,0))</f>
        <v>Patchera Externa Video</v>
      </c>
      <c r="C77" s="6"/>
      <c r="D77" s="6"/>
      <c r="E77" s="7" t="s">
        <v>161</v>
      </c>
      <c r="F77" s="7" t="s">
        <v>17</v>
      </c>
      <c r="G77" s="7" t="s">
        <v>161</v>
      </c>
      <c r="H77" s="7" t="s">
        <v>69</v>
      </c>
      <c r="I77" s="6" t="str">
        <f>IF(H77="","",VLOOKUP(H77,DB!A:B,2,0))</f>
        <v>Ikegami BS-80 5</v>
      </c>
      <c r="J77" s="6"/>
      <c r="K77" s="6"/>
      <c r="L77" s="7" t="s">
        <v>160</v>
      </c>
      <c r="M77" s="8" t="s">
        <v>82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94</v>
      </c>
      <c r="B78" s="7" t="str">
        <f>IF(A78="","",VLOOKUP(A78,DB!A:B,2,0))</f>
        <v>Patchera Externa Video</v>
      </c>
      <c r="C78" s="6"/>
      <c r="D78" s="6"/>
      <c r="E78" s="7" t="s">
        <v>162</v>
      </c>
      <c r="F78" s="7" t="s">
        <v>17</v>
      </c>
      <c r="G78" s="7" t="s">
        <v>162</v>
      </c>
      <c r="H78" s="7" t="s">
        <v>83</v>
      </c>
      <c r="I78" s="6" t="str">
        <f>IF(H78="","",VLOOKUP(H78,DB!A:B,2,0))</f>
        <v>Telecast CopperHead ProHD 1</v>
      </c>
      <c r="J78" s="6"/>
      <c r="K78" s="6"/>
      <c r="L78" s="7" t="s">
        <v>160</v>
      </c>
      <c r="M78" s="8" t="s">
        <v>85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94</v>
      </c>
      <c r="B79" s="7" t="str">
        <f>IF(A79="","",VLOOKUP(A79,DB!A:B,2,0))</f>
        <v>Patchera Externa Video</v>
      </c>
      <c r="C79" s="6"/>
      <c r="D79" s="6"/>
      <c r="E79" s="7" t="s">
        <v>163</v>
      </c>
      <c r="F79" s="7" t="s">
        <v>17</v>
      </c>
      <c r="G79" s="7" t="s">
        <v>163</v>
      </c>
      <c r="H79" s="7" t="s">
        <v>86</v>
      </c>
      <c r="I79" s="6" t="str">
        <f>IF(H79="","",VLOOKUP(H79,DB!A:B,2,0))</f>
        <v>Telecast CopperHead ProHD 2</v>
      </c>
      <c r="J79" s="6"/>
      <c r="K79" s="6"/>
      <c r="L79" s="7" t="s">
        <v>160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94</v>
      </c>
      <c r="B80" s="7" t="str">
        <f>IF(A80="","",VLOOKUP(A80,DB!A:B,2,0))</f>
        <v>Patchera Externa Video</v>
      </c>
      <c r="C80" s="6"/>
      <c r="D80" s="6"/>
      <c r="E80" s="7" t="s">
        <v>164</v>
      </c>
      <c r="F80" s="7" t="s">
        <v>17</v>
      </c>
      <c r="G80" s="7" t="s">
        <v>164</v>
      </c>
      <c r="H80" s="7" t="s">
        <v>88</v>
      </c>
      <c r="I80" s="6" t="str">
        <f>IF(H80="","",VLOOKUP(H80,DB!A:B,2,0))</f>
        <v>Telecast CopperHead ProHD 3</v>
      </c>
      <c r="J80" s="6"/>
      <c r="K80" s="6"/>
      <c r="L80" s="7" t="s">
        <v>160</v>
      </c>
      <c r="M80" s="8" t="s">
        <v>89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94</v>
      </c>
      <c r="B81" s="7" t="str">
        <f>IF(A81="","",VLOOKUP(A81,DB!A:B,2,0))</f>
        <v>Patchera Externa Video</v>
      </c>
      <c r="C81" s="6"/>
      <c r="D81" s="6"/>
      <c r="E81" s="7" t="s">
        <v>165</v>
      </c>
      <c r="F81" s="7" t="s">
        <v>17</v>
      </c>
      <c r="G81" s="7" t="s">
        <v>165</v>
      </c>
      <c r="H81" s="7" t="s">
        <v>90</v>
      </c>
      <c r="I81" s="6" t="str">
        <f>IF(H81="","",VLOOKUP(H81,DB!A:B,2,0))</f>
        <v>Miranda Densite3</v>
      </c>
      <c r="J81" s="7">
        <v>5.0</v>
      </c>
      <c r="K81" s="7" t="s">
        <v>91</v>
      </c>
      <c r="L81" s="7" t="s">
        <v>93</v>
      </c>
      <c r="M81" s="8" t="s">
        <v>166</v>
      </c>
      <c r="N81" s="8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94</v>
      </c>
      <c r="B82" s="7" t="str">
        <f>IF(A82="","",VLOOKUP(A82,DB!A:B,2,0))</f>
        <v>Patchera Externa Video</v>
      </c>
      <c r="C82" s="6"/>
      <c r="D82" s="6"/>
      <c r="E82" s="7" t="s">
        <v>167</v>
      </c>
      <c r="F82" s="7" t="s">
        <v>17</v>
      </c>
      <c r="G82" s="7" t="s">
        <v>167</v>
      </c>
      <c r="H82" s="7" t="s">
        <v>90</v>
      </c>
      <c r="I82" s="6" t="str">
        <f>IF(H82="","",VLOOKUP(H82,DB!A:B,2,0))</f>
        <v>Miranda Densite3</v>
      </c>
      <c r="J82" s="7">
        <v>6.0</v>
      </c>
      <c r="K82" s="7" t="s">
        <v>91</v>
      </c>
      <c r="L82" s="7" t="s">
        <v>93</v>
      </c>
      <c r="M82" s="8" t="s">
        <v>168</v>
      </c>
      <c r="N82" s="8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169</v>
      </c>
      <c r="B83" s="10" t="str">
        <f>IF(A83="","",VLOOKUP(A83,DB!A:B,2,0))</f>
        <v>Patchera Externa Audio</v>
      </c>
      <c r="C83" s="11"/>
      <c r="D83" s="10"/>
      <c r="E83" s="12" t="s">
        <v>120</v>
      </c>
      <c r="F83" s="7" t="s">
        <v>17</v>
      </c>
      <c r="G83" s="12" t="s">
        <v>120</v>
      </c>
      <c r="H83" s="12" t="s">
        <v>143</v>
      </c>
      <c r="I83" s="10" t="str">
        <f>IF(H83="","",VLOOKUP(H83,DB!A:B,2,0))</f>
        <v>Yamaha MG166</v>
      </c>
      <c r="J83" s="10"/>
      <c r="K83" s="10"/>
      <c r="L83" s="12" t="s">
        <v>18</v>
      </c>
      <c r="M83" s="13" t="s">
        <v>170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169</v>
      </c>
      <c r="B84" s="14" t="str">
        <f>IF(A84="","",VLOOKUP(A84,DB!A:B,2,0))</f>
        <v>Patchera Externa Audio</v>
      </c>
      <c r="C84" s="14"/>
      <c r="D84" s="14"/>
      <c r="E84" s="12" t="s">
        <v>123</v>
      </c>
      <c r="F84" s="7" t="s">
        <v>17</v>
      </c>
      <c r="G84" s="12" t="s">
        <v>123</v>
      </c>
      <c r="H84" s="12" t="s">
        <v>143</v>
      </c>
      <c r="I84" s="14" t="str">
        <f>IF(H84="","",VLOOKUP(H84,DB!A:B,2,0))</f>
        <v>Yamaha MG166</v>
      </c>
      <c r="J84" s="14"/>
      <c r="K84" s="14"/>
      <c r="L84" s="12" t="s">
        <v>24</v>
      </c>
      <c r="M84" s="13" t="s">
        <v>171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169</v>
      </c>
      <c r="B85" s="14" t="str">
        <f>IF(A85="","",VLOOKUP(A85,DB!A:B,2,0))</f>
        <v>Patchera Externa Audio</v>
      </c>
      <c r="C85" s="14"/>
      <c r="D85" s="14"/>
      <c r="E85" s="12" t="s">
        <v>124</v>
      </c>
      <c r="F85" s="7" t="s">
        <v>17</v>
      </c>
      <c r="G85" s="12" t="s">
        <v>124</v>
      </c>
      <c r="H85" s="12" t="s">
        <v>143</v>
      </c>
      <c r="I85" s="14" t="str">
        <f>IF(H85="","",VLOOKUP(H85,DB!A:B,2,0))</f>
        <v>Yamaha MG166</v>
      </c>
      <c r="J85" s="14"/>
      <c r="K85" s="14"/>
      <c r="L85" s="12" t="s">
        <v>28</v>
      </c>
      <c r="M85" s="13" t="s">
        <v>172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169</v>
      </c>
      <c r="B86" s="14" t="str">
        <f>IF(A86="","",VLOOKUP(A86,DB!A:B,2,0))</f>
        <v>Patchera Externa Audio</v>
      </c>
      <c r="C86" s="14"/>
      <c r="D86" s="14"/>
      <c r="E86" s="12" t="s">
        <v>173</v>
      </c>
      <c r="F86" s="7" t="s">
        <v>17</v>
      </c>
      <c r="G86" s="12" t="s">
        <v>173</v>
      </c>
      <c r="H86" s="12" t="s">
        <v>143</v>
      </c>
      <c r="I86" s="14" t="str">
        <f>IF(H86="","",VLOOKUP(H86,DB!A:B,2,0))</f>
        <v>Yamaha MG166</v>
      </c>
      <c r="J86" s="14"/>
      <c r="K86" s="14"/>
      <c r="L86" s="12" t="s">
        <v>32</v>
      </c>
      <c r="M86" s="13" t="s">
        <v>174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169</v>
      </c>
      <c r="B87" s="10" t="str">
        <f>IF(A87="","",VLOOKUP(A87,DB!A:B,2,0))</f>
        <v>Patchera Externa Audio</v>
      </c>
      <c r="C87" s="10"/>
      <c r="D87" s="10"/>
      <c r="E87" s="12" t="s">
        <v>175</v>
      </c>
      <c r="F87" s="7" t="s">
        <v>17</v>
      </c>
      <c r="G87" s="12" t="s">
        <v>175</v>
      </c>
      <c r="H87" s="12" t="s">
        <v>143</v>
      </c>
      <c r="I87" s="10" t="str">
        <f>IF(H87="","",VLOOKUP(H87,DB!A:B,2,0))</f>
        <v>Yamaha MG166</v>
      </c>
      <c r="J87" s="10"/>
      <c r="K87" s="10"/>
      <c r="L87" s="12" t="s">
        <v>36</v>
      </c>
      <c r="M87" s="13" t="s">
        <v>176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169</v>
      </c>
      <c r="B88" s="14" t="str">
        <f>IF(A88="","",VLOOKUP(A88,DB!A:B,2,0))</f>
        <v>Patchera Externa Audio</v>
      </c>
      <c r="C88" s="14"/>
      <c r="D88" s="14"/>
      <c r="E88" s="12" t="s">
        <v>177</v>
      </c>
      <c r="F88" s="7" t="s">
        <v>17</v>
      </c>
      <c r="G88" s="12" t="s">
        <v>177</v>
      </c>
      <c r="H88" s="12" t="s">
        <v>143</v>
      </c>
      <c r="I88" s="14" t="str">
        <f>IF(H88="","",VLOOKUP(H88,DB!A:B,2,0))</f>
        <v>Yamaha MG166</v>
      </c>
      <c r="J88" s="14"/>
      <c r="K88" s="14"/>
      <c r="L88" s="12" t="s">
        <v>39</v>
      </c>
      <c r="M88" s="13" t="s">
        <v>178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169</v>
      </c>
      <c r="B89" s="7" t="str">
        <f>IF(A89="","",VLOOKUP(A89,DB!A:B,2,0))</f>
        <v>Patchera Externa Audio</v>
      </c>
      <c r="C89" s="6"/>
      <c r="D89" s="6"/>
      <c r="E89" s="12" t="s">
        <v>179</v>
      </c>
      <c r="F89" s="7" t="s">
        <v>17</v>
      </c>
      <c r="G89" s="12" t="s">
        <v>179</v>
      </c>
      <c r="H89" s="12" t="s">
        <v>143</v>
      </c>
      <c r="I89" s="6" t="str">
        <f>IF(H89="","",VLOOKUP(H89,DB!A:B,2,0))</f>
        <v>Yamaha MG166</v>
      </c>
      <c r="J89" s="6"/>
      <c r="K89" s="6"/>
      <c r="L89" s="12" t="s">
        <v>41</v>
      </c>
      <c r="M89" s="13" t="s">
        <v>166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169</v>
      </c>
      <c r="B90" s="7" t="str">
        <f>IF(A90="","",VLOOKUP(A90,DB!A:B,2,0))</f>
        <v>Patchera Externa Audio</v>
      </c>
      <c r="C90" s="6"/>
      <c r="D90" s="6"/>
      <c r="E90" s="12" t="s">
        <v>180</v>
      </c>
      <c r="F90" s="7" t="s">
        <v>17</v>
      </c>
      <c r="G90" s="12" t="s">
        <v>180</v>
      </c>
      <c r="H90" s="12" t="s">
        <v>143</v>
      </c>
      <c r="I90" s="6" t="str">
        <f>IF(H90="","",VLOOKUP(H90,DB!A:B,2,0))</f>
        <v>Yamaha MG166</v>
      </c>
      <c r="J90" s="6"/>
      <c r="K90" s="6"/>
      <c r="L90" s="12" t="s">
        <v>44</v>
      </c>
      <c r="M90" s="13" t="s">
        <v>168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169</v>
      </c>
      <c r="B91" s="7" t="str">
        <f>IF(A91="","",VLOOKUP(A91,DB!A:B,2,0))</f>
        <v>Patchera Externa Audio</v>
      </c>
      <c r="C91" s="6"/>
      <c r="D91" s="6"/>
      <c r="E91" s="12" t="s">
        <v>181</v>
      </c>
      <c r="F91" s="7" t="s">
        <v>17</v>
      </c>
      <c r="G91" s="12" t="s">
        <v>181</v>
      </c>
      <c r="H91" s="7" t="s">
        <v>143</v>
      </c>
      <c r="I91" s="6" t="str">
        <f>IF(H91="","",VLOOKUP(H91,DB!A:B,2,0))</f>
        <v>Yamaha MG166</v>
      </c>
      <c r="J91" s="6"/>
      <c r="K91" s="6"/>
      <c r="L91" s="12" t="s">
        <v>47</v>
      </c>
      <c r="M91" s="13" t="s">
        <v>182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169</v>
      </c>
      <c r="B92" s="7" t="str">
        <f>IF(A92="","",VLOOKUP(A92,DB!A:B,2,0))</f>
        <v>Patchera Externa Audio</v>
      </c>
      <c r="C92" s="6"/>
      <c r="D92" s="6"/>
      <c r="E92" s="12" t="s">
        <v>183</v>
      </c>
      <c r="F92" s="7" t="s">
        <v>17</v>
      </c>
      <c r="G92" s="12" t="s">
        <v>183</v>
      </c>
      <c r="H92" s="7" t="s">
        <v>37</v>
      </c>
      <c r="I92" s="6"/>
      <c r="J92" s="6"/>
      <c r="K92" s="6"/>
      <c r="L92" s="6"/>
      <c r="M92" s="9"/>
      <c r="N92" s="9"/>
      <c r="O92" s="6"/>
      <c r="P92" s="15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169</v>
      </c>
      <c r="B93" s="7" t="str">
        <f>IF(A93="","",VLOOKUP(A93,DB!A:B,2,0))</f>
        <v>Patchera Externa Audio</v>
      </c>
      <c r="C93" s="6"/>
      <c r="D93" s="6"/>
      <c r="E93" s="12" t="s">
        <v>184</v>
      </c>
      <c r="F93" s="7" t="s">
        <v>17</v>
      </c>
      <c r="G93" s="12" t="s">
        <v>184</v>
      </c>
      <c r="H93" s="7" t="s">
        <v>37</v>
      </c>
      <c r="I93" s="6"/>
      <c r="J93" s="6"/>
      <c r="K93" s="6"/>
      <c r="L93" s="6"/>
      <c r="M93" s="9"/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169</v>
      </c>
      <c r="B94" s="7" t="str">
        <f>IF(A94="","",VLOOKUP(A94,DB!A:B,2,0))</f>
        <v>Patchera Externa Audio</v>
      </c>
      <c r="C94" s="6"/>
      <c r="D94" s="6"/>
      <c r="E94" s="12" t="s">
        <v>185</v>
      </c>
      <c r="F94" s="7" t="s">
        <v>17</v>
      </c>
      <c r="G94" s="12" t="s">
        <v>185</v>
      </c>
      <c r="H94" s="7" t="s">
        <v>37</v>
      </c>
      <c r="I94" s="6"/>
      <c r="J94" s="6"/>
      <c r="K94" s="6"/>
      <c r="L94" s="6"/>
      <c r="M94" s="9"/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Densite3</v>
      </c>
      <c r="C95" s="7">
        <v>10.0</v>
      </c>
      <c r="D95" s="7" t="s">
        <v>149</v>
      </c>
      <c r="E95" s="7" t="s">
        <v>46</v>
      </c>
      <c r="F95" s="7" t="s">
        <v>17</v>
      </c>
      <c r="G95" s="7" t="s">
        <v>18</v>
      </c>
      <c r="H95" s="7" t="s">
        <v>169</v>
      </c>
      <c r="I95" s="6" t="str">
        <f>IF(H95="","",VLOOKUP(H95,DB!A:B,2,0))</f>
        <v>Patchera Externa Audio</v>
      </c>
      <c r="J95" s="6"/>
      <c r="K95" s="6"/>
      <c r="L95" s="7" t="s">
        <v>186</v>
      </c>
      <c r="M95" s="8" t="s">
        <v>187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Densite3</v>
      </c>
      <c r="C96" s="7">
        <v>10.0</v>
      </c>
      <c r="D96" s="7" t="s">
        <v>149</v>
      </c>
      <c r="E96" s="7" t="s">
        <v>46</v>
      </c>
      <c r="F96" s="7" t="s">
        <v>17</v>
      </c>
      <c r="G96" s="7" t="s">
        <v>18</v>
      </c>
      <c r="H96" s="7" t="s">
        <v>169</v>
      </c>
      <c r="I96" s="6" t="str">
        <f>IF(H96="","",VLOOKUP(H96,DB!A:B,2,0))</f>
        <v>Patchera Externa Audio</v>
      </c>
      <c r="J96" s="6"/>
      <c r="K96" s="6"/>
      <c r="L96" s="7" t="s">
        <v>188</v>
      </c>
      <c r="M96" s="8" t="s">
        <v>187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7" t="str">
        <f>IF(A97="","",VLOOKUP(A97,DB!A:B,2,0))</f>
        <v>Miranda Densite3</v>
      </c>
      <c r="C97" s="7">
        <v>10.0</v>
      </c>
      <c r="D97" s="7" t="s">
        <v>149</v>
      </c>
      <c r="E97" s="7" t="s">
        <v>46</v>
      </c>
      <c r="F97" s="7" t="s">
        <v>17</v>
      </c>
      <c r="G97" s="7" t="s">
        <v>18</v>
      </c>
      <c r="H97" s="7" t="s">
        <v>169</v>
      </c>
      <c r="I97" s="6" t="str">
        <f>IF(H97="","",VLOOKUP(H97,DB!A:B,2,0))</f>
        <v>Patchera Externa Audio</v>
      </c>
      <c r="J97" s="6"/>
      <c r="K97" s="6"/>
      <c r="L97" s="7" t="s">
        <v>189</v>
      </c>
      <c r="M97" s="8" t="s">
        <v>187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7" t="str">
        <f>IF(A98="","",VLOOKUP(A98,DB!A:B,2,0))</f>
        <v>Miranda Densite3</v>
      </c>
      <c r="C98" s="7">
        <v>10.0</v>
      </c>
      <c r="D98" s="7" t="s">
        <v>149</v>
      </c>
      <c r="E98" s="7" t="s">
        <v>46</v>
      </c>
      <c r="F98" s="7" t="s">
        <v>17</v>
      </c>
      <c r="G98" s="7" t="s">
        <v>18</v>
      </c>
      <c r="H98" s="7" t="s">
        <v>169</v>
      </c>
      <c r="I98" s="6" t="str">
        <f>IF(H98="","",VLOOKUP(H98,DB!A:B,2,0))</f>
        <v>Patchera Externa Audio</v>
      </c>
      <c r="J98" s="6"/>
      <c r="K98" s="6"/>
      <c r="L98" s="7" t="s">
        <v>190</v>
      </c>
      <c r="M98" s="8" t="s">
        <v>187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7" t="str">
        <f>IF(A99="","",VLOOKUP(A99,DB!A:B,2,0))</f>
        <v>Miranda Densite3</v>
      </c>
      <c r="C99" s="7">
        <v>7.0</v>
      </c>
      <c r="D99" s="7" t="s">
        <v>149</v>
      </c>
      <c r="E99" s="7" t="s">
        <v>23</v>
      </c>
      <c r="F99" s="7" t="s">
        <v>17</v>
      </c>
      <c r="G99" s="7" t="s">
        <v>18</v>
      </c>
      <c r="H99" s="7" t="s">
        <v>169</v>
      </c>
      <c r="I99" s="6" t="str">
        <f>IF(H99="","",VLOOKUP(H99,DB!A:B,2,0))</f>
        <v>Patchera Externa Audio</v>
      </c>
      <c r="J99" s="6"/>
      <c r="K99" s="6"/>
      <c r="L99" s="7" t="s">
        <v>191</v>
      </c>
      <c r="M99" s="8" t="s">
        <v>106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7" t="str">
        <f>IF(A100="","",VLOOKUP(A100,DB!A:B,2,0))</f>
        <v>Miranda Densite3</v>
      </c>
      <c r="C100" s="7">
        <v>7.0</v>
      </c>
      <c r="D100" s="7" t="s">
        <v>149</v>
      </c>
      <c r="E100" s="7" t="s">
        <v>38</v>
      </c>
      <c r="F100" s="7" t="s">
        <v>17</v>
      </c>
      <c r="G100" s="7" t="s">
        <v>24</v>
      </c>
      <c r="H100" s="7" t="s">
        <v>169</v>
      </c>
      <c r="I100" s="6" t="str">
        <f>IF(H100="","",VLOOKUP(H100,DB!A:B,2,0))</f>
        <v>Patchera Externa Audio</v>
      </c>
      <c r="J100" s="6"/>
      <c r="K100" s="6"/>
      <c r="L100" s="7" t="s">
        <v>192</v>
      </c>
      <c r="M100" s="8" t="s">
        <v>106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7" t="str">
        <f>IF(A101="","",VLOOKUP(A101,DB!A:B,2,0))</f>
        <v>Miranda Densite3</v>
      </c>
      <c r="C101" s="7">
        <v>8.0</v>
      </c>
      <c r="D101" s="7" t="s">
        <v>149</v>
      </c>
      <c r="E101" s="7" t="s">
        <v>38</v>
      </c>
      <c r="F101" s="6"/>
      <c r="G101" s="6"/>
      <c r="H101" s="7" t="s">
        <v>169</v>
      </c>
      <c r="I101" s="6" t="str">
        <f>IF(H101="","",VLOOKUP(H101,DB!A:B,2,0))</f>
        <v>Patchera Externa Audio</v>
      </c>
      <c r="J101" s="6"/>
      <c r="K101" s="6"/>
      <c r="L101" s="7" t="s">
        <v>193</v>
      </c>
      <c r="M101" s="8" t="s">
        <v>153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90</v>
      </c>
      <c r="B102" s="6" t="str">
        <f>IF(A102="","",VLOOKUP(A102,DB!A:B,2,0))</f>
        <v>Miranda Densite3</v>
      </c>
      <c r="C102" s="7">
        <v>8.0</v>
      </c>
      <c r="D102" s="7" t="s">
        <v>149</v>
      </c>
      <c r="E102" s="7" t="s">
        <v>16</v>
      </c>
      <c r="F102" s="6"/>
      <c r="G102" s="6"/>
      <c r="H102" s="7" t="s">
        <v>169</v>
      </c>
      <c r="I102" s="7" t="str">
        <f>IF(H102="","",VLOOKUP(H102,DB!A:B,2,0))</f>
        <v>Patchera Externa Audio</v>
      </c>
      <c r="J102" s="6"/>
      <c r="K102" s="6"/>
      <c r="L102" s="7" t="s">
        <v>194</v>
      </c>
      <c r="M102" s="8" t="s">
        <v>195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90</v>
      </c>
      <c r="B103" s="6" t="str">
        <f>IF(A103="","",VLOOKUP(A103,DB!A:B,2,0))</f>
        <v>Miranda Densite3</v>
      </c>
      <c r="C103" s="7">
        <v>9.0</v>
      </c>
      <c r="D103" s="7" t="s">
        <v>149</v>
      </c>
      <c r="E103" s="7" t="s">
        <v>35</v>
      </c>
      <c r="F103" s="6"/>
      <c r="G103" s="6"/>
      <c r="H103" s="7" t="s">
        <v>169</v>
      </c>
      <c r="I103" s="7" t="str">
        <f>IF(H103="","",VLOOKUP(H103,DB!A:B,2,0))</f>
        <v>Patchera Externa Audio</v>
      </c>
      <c r="J103" s="6"/>
      <c r="K103" s="6"/>
      <c r="L103" s="7" t="s">
        <v>196</v>
      </c>
      <c r="M103" s="8" t="s">
        <v>96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90</v>
      </c>
      <c r="B104" s="6" t="str">
        <f>IF(A104="","",VLOOKUP(A104,DB!A:B,2,0))</f>
        <v>Miranda Densite3</v>
      </c>
      <c r="C104" s="7">
        <v>9.0</v>
      </c>
      <c r="D104" s="7" t="s">
        <v>149</v>
      </c>
      <c r="E104" s="7" t="s">
        <v>16</v>
      </c>
      <c r="F104" s="6"/>
      <c r="G104" s="6"/>
      <c r="H104" s="7" t="s">
        <v>169</v>
      </c>
      <c r="I104" s="7" t="str">
        <f>IF(H104="","",VLOOKUP(H104,DB!A:B,2,0))</f>
        <v>Patchera Externa Audio</v>
      </c>
      <c r="J104" s="6"/>
      <c r="K104" s="6"/>
      <c r="L104" s="7" t="s">
        <v>197</v>
      </c>
      <c r="M104" s="7" t="s">
        <v>100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90</v>
      </c>
      <c r="B105" s="6" t="str">
        <f>IF(A105="","",VLOOKUP(A105,DB!A:B,2,0))</f>
        <v>Miranda Densite3</v>
      </c>
      <c r="C105" s="7">
        <v>9.0</v>
      </c>
      <c r="D105" s="7" t="s">
        <v>149</v>
      </c>
      <c r="E105" s="7" t="s">
        <v>38</v>
      </c>
      <c r="F105" s="6"/>
      <c r="G105" s="6"/>
      <c r="H105" s="7" t="s">
        <v>169</v>
      </c>
      <c r="I105" s="7" t="str">
        <f>IF(H105="","",VLOOKUP(H105,DB!A:B,2,0))</f>
        <v>Patchera Externa Audio</v>
      </c>
      <c r="J105" s="6"/>
      <c r="K105" s="6"/>
      <c r="L105" s="7" t="s">
        <v>198</v>
      </c>
      <c r="M105" s="7" t="s">
        <v>96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90</v>
      </c>
      <c r="B106" s="6" t="str">
        <f>IF(A106="","",VLOOKUP(A106,DB!A:B,2,0))</f>
        <v>Miranda Densite3</v>
      </c>
      <c r="C106" s="7">
        <v>8.0</v>
      </c>
      <c r="D106" s="7" t="s">
        <v>149</v>
      </c>
      <c r="E106" s="7" t="s">
        <v>23</v>
      </c>
      <c r="F106" s="6"/>
      <c r="G106" s="6"/>
      <c r="H106" s="7" t="s">
        <v>169</v>
      </c>
      <c r="I106" s="7" t="str">
        <f>IF(H106="","",VLOOKUP(H106,DB!A:B,2,0))</f>
        <v>Patchera Externa Audio</v>
      </c>
      <c r="J106" s="6"/>
      <c r="K106" s="6"/>
      <c r="L106" s="7" t="s">
        <v>199</v>
      </c>
      <c r="M106" s="7" t="s">
        <v>195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169</v>
      </c>
      <c r="B107" s="7" t="str">
        <f>IF(A107="","",VLOOKUP(A107,DB!A:B,2,0))</f>
        <v>Patchera Externa Audio</v>
      </c>
      <c r="C107" s="6"/>
      <c r="D107" s="6"/>
      <c r="E107" s="7" t="s">
        <v>200</v>
      </c>
      <c r="F107" s="7" t="s">
        <v>17</v>
      </c>
      <c r="G107" s="7" t="s">
        <v>200</v>
      </c>
      <c r="H107" s="7" t="s">
        <v>83</v>
      </c>
      <c r="I107" s="6" t="str">
        <f>IF(H107="","",VLOOKUP(H107,DB!A:B,2,0))</f>
        <v>Telecast CopperHead ProHD 1</v>
      </c>
      <c r="J107" s="6"/>
      <c r="K107" s="6"/>
      <c r="L107" s="7" t="s">
        <v>142</v>
      </c>
      <c r="M107" s="7" t="s">
        <v>201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169</v>
      </c>
      <c r="B108" s="7" t="str">
        <f>IF(A108="","",VLOOKUP(A108,DB!A:B,2,0))</f>
        <v>Patchera Externa Audio</v>
      </c>
      <c r="C108" s="6"/>
      <c r="D108" s="6"/>
      <c r="E108" s="7" t="s">
        <v>202</v>
      </c>
      <c r="F108" s="7" t="s">
        <v>17</v>
      </c>
      <c r="G108" s="7" t="s">
        <v>202</v>
      </c>
      <c r="H108" s="7" t="s">
        <v>83</v>
      </c>
      <c r="I108" s="6" t="str">
        <f>IF(H108="","",VLOOKUP(H108,DB!A:B,2,0))</f>
        <v>Telecast CopperHead ProHD 1</v>
      </c>
      <c r="J108" s="6"/>
      <c r="K108" s="6"/>
      <c r="L108" s="7" t="s">
        <v>146</v>
      </c>
      <c r="M108" s="7" t="s">
        <v>203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169</v>
      </c>
      <c r="B109" s="7" t="str">
        <f>IF(A109="","",VLOOKUP(A109,DB!A:B,2,0))</f>
        <v>Patchera Externa Audio</v>
      </c>
      <c r="C109" s="6"/>
      <c r="D109" s="6"/>
      <c r="E109" s="7" t="s">
        <v>204</v>
      </c>
      <c r="F109" s="7" t="s">
        <v>17</v>
      </c>
      <c r="G109" s="7" t="s">
        <v>204</v>
      </c>
      <c r="H109" s="7" t="s">
        <v>86</v>
      </c>
      <c r="I109" s="6" t="str">
        <f>IF(H109="","",VLOOKUP(H109,DB!A:B,2,0))</f>
        <v>Telecast CopperHead ProHD 2</v>
      </c>
      <c r="J109" s="6"/>
      <c r="K109" s="6"/>
      <c r="L109" s="7" t="s">
        <v>142</v>
      </c>
      <c r="M109" s="7" t="s">
        <v>205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169</v>
      </c>
      <c r="B110" s="7" t="str">
        <f>IF(A110="","",VLOOKUP(A110,DB!A:B,2,0))</f>
        <v>Patchera Externa Audio</v>
      </c>
      <c r="C110" s="6"/>
      <c r="D110" s="6"/>
      <c r="E110" s="7" t="s">
        <v>206</v>
      </c>
      <c r="F110" s="7" t="s">
        <v>17</v>
      </c>
      <c r="G110" s="7" t="s">
        <v>206</v>
      </c>
      <c r="H110" s="7" t="s">
        <v>86</v>
      </c>
      <c r="I110" s="6" t="str">
        <f>IF(H110="","",VLOOKUP(H110,DB!A:B,2,0))</f>
        <v>Telecast CopperHead ProHD 2</v>
      </c>
      <c r="J110" s="6"/>
      <c r="K110" s="6"/>
      <c r="L110" s="7" t="s">
        <v>146</v>
      </c>
      <c r="M110" s="7" t="s">
        <v>207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169</v>
      </c>
      <c r="B111" s="7" t="str">
        <f>IF(A111="","",VLOOKUP(A111,DB!A:B,2,0))</f>
        <v>Patchera Externa Audio</v>
      </c>
      <c r="C111" s="6"/>
      <c r="D111" s="6"/>
      <c r="E111" s="7" t="s">
        <v>208</v>
      </c>
      <c r="F111" s="7" t="s">
        <v>17</v>
      </c>
      <c r="G111" s="7" t="s">
        <v>208</v>
      </c>
      <c r="H111" s="7" t="s">
        <v>88</v>
      </c>
      <c r="I111" s="6" t="str">
        <f>IF(H111="","",VLOOKUP(H111,DB!A:B,2,0))</f>
        <v>Telecast CopperHead ProHD 3</v>
      </c>
      <c r="J111" s="6"/>
      <c r="K111" s="6"/>
      <c r="L111" s="7" t="s">
        <v>142</v>
      </c>
      <c r="M111" s="7" t="s">
        <v>209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169</v>
      </c>
      <c r="B112" s="7" t="str">
        <f>IF(A112="","",VLOOKUP(A112,DB!A:B,2,0))</f>
        <v>Patchera Externa Audio</v>
      </c>
      <c r="C112" s="6"/>
      <c r="D112" s="6"/>
      <c r="E112" s="7" t="s">
        <v>210</v>
      </c>
      <c r="F112" s="7" t="s">
        <v>17</v>
      </c>
      <c r="G112" s="7" t="s">
        <v>210</v>
      </c>
      <c r="H112" s="7" t="s">
        <v>88</v>
      </c>
      <c r="I112" s="6" t="str">
        <f>IF(H112="","",VLOOKUP(H112,DB!A:B,2,0))</f>
        <v>Telecast CopperHead ProHD 3</v>
      </c>
      <c r="J112" s="6"/>
      <c r="K112" s="6"/>
      <c r="L112" s="7" t="s">
        <v>146</v>
      </c>
      <c r="M112" s="7" t="s">
        <v>211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169</v>
      </c>
      <c r="B113" s="7" t="str">
        <f>IF(A113="","",VLOOKUP(A113,DB!A:B,2,0))</f>
        <v>Patchera Externa Audio</v>
      </c>
      <c r="C113" s="6"/>
      <c r="D113" s="6"/>
      <c r="E113" s="7" t="s">
        <v>212</v>
      </c>
      <c r="F113" s="7" t="s">
        <v>17</v>
      </c>
      <c r="G113" s="7" t="s">
        <v>212</v>
      </c>
      <c r="H113" s="7" t="s">
        <v>64</v>
      </c>
      <c r="I113" s="6" t="str">
        <f>IF(H113="","",VLOOKUP(H113,DB!A:B,2,0))</f>
        <v>Ikegami BS-80 4</v>
      </c>
      <c r="J113" s="6"/>
      <c r="K113" s="6"/>
      <c r="L113" s="7" t="s">
        <v>142</v>
      </c>
      <c r="M113" s="7" t="s">
        <v>213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169</v>
      </c>
      <c r="B114" s="7" t="str">
        <f>IF(A114="","",VLOOKUP(A114,DB!A:B,2,0))</f>
        <v>Patchera Externa Audio</v>
      </c>
      <c r="C114" s="6"/>
      <c r="D114" s="6"/>
      <c r="E114" s="7" t="s">
        <v>214</v>
      </c>
      <c r="F114" s="7" t="s">
        <v>17</v>
      </c>
      <c r="G114" s="7" t="s">
        <v>214</v>
      </c>
      <c r="H114" s="7" t="s">
        <v>64</v>
      </c>
      <c r="I114" s="6" t="str">
        <f>IF(H114="","",VLOOKUP(H114,DB!A:B,2,0))</f>
        <v>Ikegami BS-80 4</v>
      </c>
      <c r="J114" s="6"/>
      <c r="K114" s="6"/>
      <c r="L114" s="7" t="s">
        <v>146</v>
      </c>
      <c r="M114" s="7" t="s">
        <v>215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169</v>
      </c>
      <c r="B115" s="7" t="str">
        <f>IF(A115="","",VLOOKUP(A115,DB!A:B,2,0))</f>
        <v>Patchera Externa Audio</v>
      </c>
      <c r="C115" s="6"/>
      <c r="D115" s="6"/>
      <c r="E115" s="7" t="s">
        <v>216</v>
      </c>
      <c r="F115" s="7" t="s">
        <v>17</v>
      </c>
      <c r="G115" s="7" t="s">
        <v>216</v>
      </c>
      <c r="H115" s="7" t="s">
        <v>69</v>
      </c>
      <c r="I115" s="6" t="str">
        <f>IF(H115="","",VLOOKUP(H115,DB!A:B,2,0))</f>
        <v>Ikegami BS-80 5</v>
      </c>
      <c r="J115" s="6"/>
      <c r="K115" s="6"/>
      <c r="L115" s="7" t="s">
        <v>142</v>
      </c>
      <c r="M115" s="7" t="s">
        <v>217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169</v>
      </c>
      <c r="B116" s="14" t="str">
        <f>IF(A116="","",VLOOKUP(A116,DB!A:B,2,0))</f>
        <v>Patchera Externa Audio</v>
      </c>
      <c r="C116" s="16"/>
      <c r="D116" s="14"/>
      <c r="E116" s="7" t="s">
        <v>218</v>
      </c>
      <c r="F116" s="7" t="s">
        <v>17</v>
      </c>
      <c r="G116" s="7" t="s">
        <v>218</v>
      </c>
      <c r="H116" s="17" t="s">
        <v>69</v>
      </c>
      <c r="I116" s="14" t="str">
        <f>IF(H116="","",VLOOKUP(H116,DB!A:B,2,0))</f>
        <v>Ikegami BS-80 5</v>
      </c>
      <c r="J116" s="14"/>
      <c r="K116" s="14"/>
      <c r="L116" s="7" t="s">
        <v>146</v>
      </c>
      <c r="M116" s="17" t="s">
        <v>219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40</v>
      </c>
      <c r="B117" s="7" t="str">
        <f>IF(A117="","",VLOOKUP(A117,DB!A:B,2,0))</f>
        <v>ATEM 1 Production Studio</v>
      </c>
      <c r="C117" s="6"/>
      <c r="D117" s="6"/>
      <c r="E117" s="7" t="s">
        <v>220</v>
      </c>
      <c r="F117" s="6"/>
      <c r="G117" s="6"/>
      <c r="H117" s="7" t="s">
        <v>221</v>
      </c>
      <c r="I117" s="6" t="str">
        <f>IF(H117="","",VLOOKUP(H117,DB!A:B,2,0))</f>
        <v>Blackmagic SmartView HD</v>
      </c>
      <c r="J117" s="6"/>
      <c r="K117" s="6"/>
      <c r="L117" s="7" t="s">
        <v>93</v>
      </c>
      <c r="M117" s="9"/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221</v>
      </c>
      <c r="B118" s="7" t="str">
        <f>IF(A118="","",VLOOKUP(A118,DB!A:B,2,0))</f>
        <v>Blackmagic SmartView HD</v>
      </c>
      <c r="C118" s="6"/>
      <c r="D118" s="6"/>
      <c r="E118" s="7" t="s">
        <v>92</v>
      </c>
      <c r="F118" s="7" t="s">
        <v>17</v>
      </c>
      <c r="G118" s="7" t="s">
        <v>93</v>
      </c>
      <c r="H118" s="7" t="s">
        <v>222</v>
      </c>
      <c r="I118" s="6" t="str">
        <f>IF(H118="","",VLOOKUP(H118,DB!A:B,2,0))</f>
        <v>Blackmagic SmartScope Duo</v>
      </c>
      <c r="J118" s="6"/>
      <c r="K118" s="6"/>
      <c r="L118" s="7" t="s">
        <v>116</v>
      </c>
      <c r="M118" s="9"/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222</v>
      </c>
      <c r="B119" s="7" t="str">
        <f>IF(A119="","",VLOOKUP(A119,DB!A:B,2,0))</f>
        <v>Blackmagic SmartScope Duo</v>
      </c>
      <c r="C119" s="6"/>
      <c r="D119" s="6"/>
      <c r="E119" s="7" t="s">
        <v>84</v>
      </c>
      <c r="F119" s="7" t="s">
        <v>17</v>
      </c>
      <c r="G119" s="7" t="s">
        <v>116</v>
      </c>
      <c r="H119" s="7" t="s">
        <v>222</v>
      </c>
      <c r="I119" s="6" t="str">
        <f>IF(H119="","",VLOOKUP(H119,DB!A:B,2,0))</f>
        <v>Blackmagic SmartScope Duo</v>
      </c>
      <c r="J119" s="6"/>
      <c r="K119" s="6"/>
      <c r="L119" s="7" t="s">
        <v>105</v>
      </c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94</v>
      </c>
      <c r="I126" s="6" t="str">
        <f>IF(H126="","",VLOOKUP(H126,DB!A:B,2,0))</f>
        <v>Patchera Externa Video</v>
      </c>
      <c r="J126" s="6"/>
      <c r="K126" s="6"/>
      <c r="L126" s="7" t="s">
        <v>165</v>
      </c>
      <c r="M126" s="8" t="s">
        <v>166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94</v>
      </c>
      <c r="I127" s="6" t="str">
        <f>IF(H127="","",VLOOKUP(H127,DB!A:B,2,0))</f>
        <v>Patchera Externa Video</v>
      </c>
      <c r="J127" s="6"/>
      <c r="K127" s="6"/>
      <c r="L127" s="7" t="s">
        <v>167</v>
      </c>
      <c r="M127" s="8" t="s">
        <v>168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94</v>
      </c>
      <c r="I128" s="6" t="str">
        <f>IF(H128="","",VLOOKUP(H128,DB!A:B,2,0))</f>
        <v>Patchera Externa Video</v>
      </c>
      <c r="J128" s="6"/>
      <c r="K128" s="6"/>
      <c r="L128" s="7" t="s">
        <v>95</v>
      </c>
      <c r="M128" s="8" t="s">
        <v>182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94</v>
      </c>
      <c r="I129" s="6" t="str">
        <f>IF(H129="","",VLOOKUP(H129,DB!A:B,2,0))</f>
        <v>Patchera Externa Video</v>
      </c>
      <c r="J129" s="6"/>
      <c r="K129" s="6"/>
      <c r="L129" s="7" t="s">
        <v>109</v>
      </c>
      <c r="M129" s="8" t="s">
        <v>111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94</v>
      </c>
      <c r="I130" s="6" t="str">
        <f>IF(H130="","",VLOOKUP(H130,DB!A:B,2,0))</f>
        <v>Patchera Externa Video</v>
      </c>
      <c r="J130" s="6"/>
      <c r="K130" s="6"/>
      <c r="L130" s="7" t="s">
        <v>157</v>
      </c>
      <c r="M130" s="8" t="s">
        <v>158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94</v>
      </c>
      <c r="B131" s="7" t="str">
        <f>IF(A131="","",VLOOKUP(A131,DB!A:B,2,0))</f>
        <v>Patchera Externa Video</v>
      </c>
      <c r="C131" s="6"/>
      <c r="D131" s="6"/>
      <c r="E131" s="7" t="s">
        <v>128</v>
      </c>
      <c r="F131" s="7" t="s">
        <v>17</v>
      </c>
      <c r="G131" s="7" t="s">
        <v>128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94</v>
      </c>
      <c r="B132" s="7" t="str">
        <f>IF(A132="","",VLOOKUP(A132,DB!A:B,2,0))</f>
        <v>Patchera Externa Video</v>
      </c>
      <c r="C132" s="6"/>
      <c r="D132" s="6"/>
      <c r="E132" s="7" t="s">
        <v>132</v>
      </c>
      <c r="F132" s="7" t="s">
        <v>17</v>
      </c>
      <c r="G132" s="7" t="s">
        <v>132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94</v>
      </c>
      <c r="B133" s="7" t="str">
        <f>IF(A133="","",VLOOKUP(A133,DB!A:B,2,0))</f>
        <v>Patchera Externa Video</v>
      </c>
      <c r="C133" s="6"/>
      <c r="D133" s="6"/>
      <c r="E133" s="7" t="s">
        <v>136</v>
      </c>
      <c r="F133" s="7" t="s">
        <v>17</v>
      </c>
      <c r="G133" s="7" t="s">
        <v>136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94</v>
      </c>
      <c r="B134" s="7" t="str">
        <f>IF(A134="","",VLOOKUP(A134,DB!A:B,2,0))</f>
        <v>Patchera Externa Video</v>
      </c>
      <c r="C134" s="6"/>
      <c r="D134" s="6"/>
      <c r="E134" s="7" t="s">
        <v>155</v>
      </c>
      <c r="F134" s="7" t="s">
        <v>17</v>
      </c>
      <c r="G134" s="7" t="s">
        <v>155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156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94</v>
      </c>
      <c r="B135" s="7" t="str">
        <f>IF(A135="","",VLOOKUP(A135,DB!A:B,2,0))</f>
        <v>Patchera Externa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223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94</v>
      </c>
      <c r="B136" s="7" t="str">
        <f>IF(A136="","",VLOOKUP(A136,DB!A:B,2,0))</f>
        <v>Patchera Externa Video</v>
      </c>
      <c r="C136" s="6"/>
      <c r="D136" s="6"/>
      <c r="E136" s="7" t="s">
        <v>125</v>
      </c>
      <c r="F136" s="7" t="s">
        <v>17</v>
      </c>
      <c r="G136" s="7" t="s">
        <v>125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224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94</v>
      </c>
      <c r="B137" s="7" t="str">
        <f>IF(A137="","",VLOOKUP(A137,DB!A:B,2,0))</f>
        <v>Patchera Externa Video</v>
      </c>
      <c r="C137" s="6"/>
      <c r="D137" s="6"/>
      <c r="E137" s="7" t="s">
        <v>134</v>
      </c>
      <c r="F137" s="7" t="s">
        <v>17</v>
      </c>
      <c r="G137" s="7" t="s">
        <v>134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225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94</v>
      </c>
      <c r="B138" s="7" t="str">
        <f>IF(A138="","",VLOOKUP(A138,DB!A:B,2,0))</f>
        <v>Patchera Externa Video</v>
      </c>
      <c r="C138" s="6"/>
      <c r="D138" s="6"/>
      <c r="E138" s="7" t="s">
        <v>133</v>
      </c>
      <c r="F138" s="7" t="s">
        <v>17</v>
      </c>
      <c r="G138" s="7" t="s">
        <v>133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226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94</v>
      </c>
      <c r="I139" s="6" t="str">
        <f>IF(H139="","",VLOOKUP(H139,DB!A:B,2,0))</f>
        <v>Patchera Externa Video</v>
      </c>
      <c r="J139" s="6"/>
      <c r="K139" s="6"/>
      <c r="L139" s="7" t="s">
        <v>159</v>
      </c>
      <c r="M139" s="8" t="s">
        <v>81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94</v>
      </c>
      <c r="I140" s="6" t="str">
        <f>IF(H140="","",VLOOKUP(H140,DB!A:B,2,0))</f>
        <v>Patchera Externa Video</v>
      </c>
      <c r="J140" s="6"/>
      <c r="K140" s="6"/>
      <c r="L140" s="7" t="s">
        <v>161</v>
      </c>
      <c r="M140" s="8" t="s">
        <v>82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94</v>
      </c>
      <c r="I141" s="6" t="str">
        <f>IF(H141="","",VLOOKUP(H141,DB!A:B,2,0))</f>
        <v>Patchera Externa Video</v>
      </c>
      <c r="J141" s="6"/>
      <c r="K141" s="6"/>
      <c r="L141" s="7" t="s">
        <v>162</v>
      </c>
      <c r="M141" s="8" t="s">
        <v>85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94</v>
      </c>
      <c r="I142" s="6" t="str">
        <f>IF(H142="","",VLOOKUP(H142,DB!A:B,2,0))</f>
        <v>Patchera Externa Video</v>
      </c>
      <c r="J142" s="6"/>
      <c r="K142" s="6"/>
      <c r="L142" s="7" t="s">
        <v>163</v>
      </c>
      <c r="M142" s="8" t="s">
        <v>87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94</v>
      </c>
      <c r="I143" s="6" t="str">
        <f>IF(H143="","",VLOOKUP(H143,DB!A:B,2,0))</f>
        <v>Patchera Externa Video</v>
      </c>
      <c r="J143" s="6"/>
      <c r="K143" s="6"/>
      <c r="L143" s="7" t="s">
        <v>164</v>
      </c>
      <c r="M143" s="8" t="s">
        <v>89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169</v>
      </c>
      <c r="I147" s="6" t="str">
        <f>IF(H147="","",VLOOKUP(H147,DB!A:B,2,0))</f>
        <v>Patchera Externa Audio</v>
      </c>
      <c r="J147" s="6"/>
      <c r="K147" s="6"/>
      <c r="L147" s="7" t="s">
        <v>120</v>
      </c>
      <c r="M147" s="13" t="s">
        <v>170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169</v>
      </c>
      <c r="I148" s="6" t="str">
        <f>IF(H148="","",VLOOKUP(H148,DB!A:B,2,0))</f>
        <v>Patchera Externa Audio</v>
      </c>
      <c r="J148" s="6"/>
      <c r="K148" s="6"/>
      <c r="L148" s="7" t="s">
        <v>123</v>
      </c>
      <c r="M148" s="13" t="s">
        <v>171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169</v>
      </c>
      <c r="I149" s="6" t="str">
        <f>IF(H149="","",VLOOKUP(H149,DB!A:B,2,0))</f>
        <v>Patchera Externa Audio</v>
      </c>
      <c r="J149" s="6"/>
      <c r="K149" s="6"/>
      <c r="L149" s="7" t="s">
        <v>124</v>
      </c>
      <c r="M149" s="13" t="s">
        <v>172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169</v>
      </c>
      <c r="I150" s="6" t="str">
        <f>IF(H150="","",VLOOKUP(H150,DB!A:B,2,0))</f>
        <v>Patchera Externa Audio</v>
      </c>
      <c r="J150" s="6"/>
      <c r="K150" s="6"/>
      <c r="L150" s="7" t="s">
        <v>173</v>
      </c>
      <c r="M150" s="13" t="s">
        <v>174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169</v>
      </c>
      <c r="I151" s="6" t="str">
        <f>IF(H151="","",VLOOKUP(H151,DB!A:B,2,0))</f>
        <v>Patchera Externa Audio</v>
      </c>
      <c r="J151" s="6"/>
      <c r="K151" s="6"/>
      <c r="L151" s="7" t="s">
        <v>175</v>
      </c>
      <c r="M151" s="13" t="s">
        <v>176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169</v>
      </c>
      <c r="I152" s="6" t="str">
        <f>IF(H152="","",VLOOKUP(H152,DB!A:B,2,0))</f>
        <v>Patchera Externa Audio</v>
      </c>
      <c r="J152" s="6"/>
      <c r="K152" s="6"/>
      <c r="L152" s="7" t="s">
        <v>177</v>
      </c>
      <c r="M152" s="13" t="s">
        <v>178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169</v>
      </c>
      <c r="I153" s="6" t="str">
        <f>IF(H153="","",VLOOKUP(H153,DB!A:B,2,0))</f>
        <v>Patchera Externa Audio</v>
      </c>
      <c r="J153" s="6"/>
      <c r="K153" s="6"/>
      <c r="L153" s="7" t="s">
        <v>179</v>
      </c>
      <c r="M153" s="13" t="s">
        <v>166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169</v>
      </c>
      <c r="I154" s="6" t="str">
        <f>IF(H154="","",VLOOKUP(H154,DB!A:B,2,0))</f>
        <v>Patchera Externa Audio</v>
      </c>
      <c r="J154" s="6"/>
      <c r="K154" s="6"/>
      <c r="L154" s="7" t="s">
        <v>180</v>
      </c>
      <c r="M154" s="13" t="s">
        <v>168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169</v>
      </c>
      <c r="I155" s="6" t="str">
        <f>IF(H155="","",VLOOKUP(H155,DB!A:B,2,0))</f>
        <v>Patchera Externa Audio</v>
      </c>
      <c r="J155" s="6"/>
      <c r="K155" s="6"/>
      <c r="L155" s="7" t="s">
        <v>181</v>
      </c>
      <c r="M155" s="13" t="s">
        <v>182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169</v>
      </c>
      <c r="I156" s="6" t="str">
        <f>IF(H156="","",VLOOKUP(H156,DB!A:B,2,0))</f>
        <v>Patchera Externa Audio</v>
      </c>
      <c r="J156" s="6"/>
      <c r="K156" s="6"/>
      <c r="L156" s="7" t="s">
        <v>183</v>
      </c>
      <c r="M156" s="8" t="s">
        <v>37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169</v>
      </c>
      <c r="I157" s="6" t="str">
        <f>IF(H157="","",VLOOKUP(H157,DB!A:B,2,0))</f>
        <v>Patchera Externa Audio</v>
      </c>
      <c r="J157" s="6"/>
      <c r="K157" s="6"/>
      <c r="L157" s="7" t="s">
        <v>184</v>
      </c>
      <c r="M157" s="8" t="s">
        <v>37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37</v>
      </c>
      <c r="B158" s="7" t="str">
        <f>IF(A158="","",VLOOKUP(A158,DB!A:B,2,0))</f>
        <v/>
      </c>
      <c r="C158" s="6"/>
      <c r="D158" s="6"/>
      <c r="E158" s="6"/>
      <c r="F158" s="6"/>
      <c r="G158" s="6"/>
      <c r="H158" s="7" t="s">
        <v>169</v>
      </c>
      <c r="I158" s="6" t="str">
        <f>IF(H158="","",VLOOKUP(H158,DB!A:B,2,0))</f>
        <v>Patchera Externa Audio</v>
      </c>
      <c r="J158" s="6"/>
      <c r="K158" s="6"/>
      <c r="L158" s="7" t="s">
        <v>185</v>
      </c>
      <c r="M158" s="8" t="s">
        <v>37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169</v>
      </c>
      <c r="B159" s="7" t="str">
        <f>IF(A159="","",VLOOKUP(A159,DB!A:B,2,0))</f>
        <v>Patchera Externa Audio</v>
      </c>
      <c r="C159" s="6"/>
      <c r="D159" s="6"/>
      <c r="E159" s="7" t="s">
        <v>186</v>
      </c>
      <c r="F159" s="7" t="s">
        <v>17</v>
      </c>
      <c r="G159" s="7" t="s">
        <v>186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187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169</v>
      </c>
      <c r="B160" s="7" t="str">
        <f>IF(A160="","",VLOOKUP(A160,DB!A:B,2,0))</f>
        <v>Patchera Externa Audio</v>
      </c>
      <c r="C160" s="6"/>
      <c r="D160" s="6"/>
      <c r="E160" s="7" t="s">
        <v>188</v>
      </c>
      <c r="F160" s="7" t="s">
        <v>17</v>
      </c>
      <c r="G160" s="7" t="s">
        <v>188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187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169</v>
      </c>
      <c r="B161" s="7" t="str">
        <f>IF(A161="","",VLOOKUP(A161,DB!A:B,2,0))</f>
        <v>Patchera Externa Audio</v>
      </c>
      <c r="C161" s="6"/>
      <c r="D161" s="6"/>
      <c r="E161" s="7" t="s">
        <v>189</v>
      </c>
      <c r="F161" s="7" t="s">
        <v>17</v>
      </c>
      <c r="G161" s="7" t="s">
        <v>189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187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169</v>
      </c>
      <c r="B162" s="7" t="str">
        <f>IF(A162="","",VLOOKUP(A162,DB!A:B,2,0))</f>
        <v>Patchera Externa Audio</v>
      </c>
      <c r="C162" s="6"/>
      <c r="D162" s="6"/>
      <c r="E162" s="7" t="s">
        <v>190</v>
      </c>
      <c r="F162" s="7" t="s">
        <v>17</v>
      </c>
      <c r="G162" s="7" t="s">
        <v>190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187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169</v>
      </c>
      <c r="B163" s="7" t="str">
        <f>IF(A163="","",VLOOKUP(A163,DB!A:B,2,0))</f>
        <v>Patchera Externa Audio</v>
      </c>
      <c r="C163" s="6"/>
      <c r="D163" s="6"/>
      <c r="E163" s="7" t="s">
        <v>191</v>
      </c>
      <c r="F163" s="7" t="s">
        <v>17</v>
      </c>
      <c r="G163" s="7" t="s">
        <v>191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169</v>
      </c>
      <c r="B164" s="7" t="str">
        <f>IF(A164="","",VLOOKUP(A164,DB!A:B,2,0))</f>
        <v>Patchera Externa Audio</v>
      </c>
      <c r="C164" s="6"/>
      <c r="D164" s="6"/>
      <c r="E164" s="7" t="s">
        <v>192</v>
      </c>
      <c r="F164" s="7" t="s">
        <v>17</v>
      </c>
      <c r="G164" s="7" t="s">
        <v>192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106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169</v>
      </c>
      <c r="B165" s="7" t="str">
        <f>IF(A165="","",VLOOKUP(A165,DB!A:B,2,0))</f>
        <v>Patchera Externa Audio</v>
      </c>
      <c r="C165" s="6"/>
      <c r="D165" s="6"/>
      <c r="E165" s="7" t="s">
        <v>193</v>
      </c>
      <c r="F165" s="7" t="s">
        <v>17</v>
      </c>
      <c r="G165" s="7" t="s">
        <v>193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153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169</v>
      </c>
      <c r="B166" s="7" t="str">
        <f>IF(A166="","",VLOOKUP(A166,DB!A:B,2,0))</f>
        <v>Patchera Externa Audio</v>
      </c>
      <c r="C166" s="6"/>
      <c r="D166" s="6"/>
      <c r="E166" s="7" t="s">
        <v>194</v>
      </c>
      <c r="F166" s="7" t="s">
        <v>17</v>
      </c>
      <c r="G166" s="7" t="s">
        <v>194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195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169</v>
      </c>
      <c r="B167" s="7" t="str">
        <f>IF(A167="","",VLOOKUP(A167,DB!A:B,2,0))</f>
        <v>Patchera Externa Audio</v>
      </c>
      <c r="C167" s="6"/>
      <c r="D167" s="6"/>
      <c r="E167" s="7" t="s">
        <v>196</v>
      </c>
      <c r="F167" s="7" t="s">
        <v>17</v>
      </c>
      <c r="G167" s="7" t="s">
        <v>196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8" t="s">
        <v>96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169</v>
      </c>
      <c r="B168" s="7" t="str">
        <f>IF(A168="","",VLOOKUP(A168,DB!A:B,2,0))</f>
        <v>Patchera Externa Audio</v>
      </c>
      <c r="C168" s="6"/>
      <c r="D168" s="6"/>
      <c r="E168" s="7" t="s">
        <v>197</v>
      </c>
      <c r="F168" s="7" t="s">
        <v>17</v>
      </c>
      <c r="G168" s="7" t="s">
        <v>197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100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169</v>
      </c>
      <c r="B169" s="7" t="str">
        <f>IF(A169="","",VLOOKUP(A169,DB!A:B,2,0))</f>
        <v>Patchera Externa Audio</v>
      </c>
      <c r="C169" s="6"/>
      <c r="D169" s="6"/>
      <c r="E169" s="7" t="s">
        <v>198</v>
      </c>
      <c r="F169" s="7" t="s">
        <v>17</v>
      </c>
      <c r="G169" s="7" t="s">
        <v>198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96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169</v>
      </c>
      <c r="B170" s="7" t="str">
        <f>IF(A170="","",VLOOKUP(A170,DB!A:B,2,0))</f>
        <v>Patchera Externa Audio</v>
      </c>
      <c r="C170" s="6"/>
      <c r="D170" s="6"/>
      <c r="E170" s="7" t="s">
        <v>199</v>
      </c>
      <c r="F170" s="7" t="s">
        <v>17</v>
      </c>
      <c r="G170" s="7" t="s">
        <v>199</v>
      </c>
      <c r="H170" s="7" t="s">
        <v>37</v>
      </c>
      <c r="I170" s="6" t="str">
        <f>IF(H170="","",VLOOKUP(H170,DB!A:B,2,0))</f>
        <v/>
      </c>
      <c r="J170" s="6"/>
      <c r="K170" s="6"/>
      <c r="L170" s="6"/>
      <c r="M170" s="7" t="s">
        <v>195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169</v>
      </c>
      <c r="I171" s="6" t="str">
        <f>IF(H171="","",VLOOKUP(H171,DB!A:B,2,0))</f>
        <v>Patchera Externa Audio</v>
      </c>
      <c r="J171" s="6"/>
      <c r="K171" s="6"/>
      <c r="L171" s="7" t="s">
        <v>200</v>
      </c>
      <c r="M171" s="7" t="s">
        <v>201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169</v>
      </c>
      <c r="I172" s="6" t="str">
        <f>IF(H172="","",VLOOKUP(H172,DB!A:B,2,0))</f>
        <v>Patchera Externa Audio</v>
      </c>
      <c r="J172" s="6"/>
      <c r="K172" s="6"/>
      <c r="L172" s="7" t="s">
        <v>202</v>
      </c>
      <c r="M172" s="7" t="s">
        <v>203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169</v>
      </c>
      <c r="I173" s="6" t="str">
        <f>IF(H173="","",VLOOKUP(H173,DB!A:B,2,0))</f>
        <v>Patchera Externa Audio</v>
      </c>
      <c r="J173" s="6"/>
      <c r="K173" s="6"/>
      <c r="L173" s="7" t="s">
        <v>204</v>
      </c>
      <c r="M173" s="7" t="s">
        <v>205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169</v>
      </c>
      <c r="I174" s="6" t="str">
        <f>IF(H174="","",VLOOKUP(H174,DB!A:B,2,0))</f>
        <v>Patchera Externa Audio</v>
      </c>
      <c r="J174" s="6"/>
      <c r="K174" s="6"/>
      <c r="L174" s="7" t="s">
        <v>206</v>
      </c>
      <c r="M174" s="7" t="s">
        <v>207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169</v>
      </c>
      <c r="I175" s="6" t="str">
        <f>IF(H175="","",VLOOKUP(H175,DB!A:B,2,0))</f>
        <v>Patchera Externa Audio</v>
      </c>
      <c r="J175" s="6"/>
      <c r="K175" s="6"/>
      <c r="L175" s="7" t="s">
        <v>208</v>
      </c>
      <c r="M175" s="7" t="s">
        <v>209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169</v>
      </c>
      <c r="I176" s="6" t="str">
        <f>IF(H176="","",VLOOKUP(H176,DB!A:B,2,0))</f>
        <v>Patchera Externa Audio</v>
      </c>
      <c r="J176" s="6"/>
      <c r="K176" s="6"/>
      <c r="L176" s="7" t="s">
        <v>210</v>
      </c>
      <c r="M176" s="7" t="s">
        <v>211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37</v>
      </c>
      <c r="B177" s="7" t="str">
        <f>IF(A177="","",VLOOKUP(A177,DB!A:B,2,0))</f>
        <v/>
      </c>
      <c r="C177" s="6"/>
      <c r="D177" s="6"/>
      <c r="E177" s="6"/>
      <c r="F177" s="6"/>
      <c r="G177" s="6"/>
      <c r="H177" s="7" t="s">
        <v>169</v>
      </c>
      <c r="I177" s="6" t="str">
        <f>IF(H177="","",VLOOKUP(H177,DB!A:B,2,0))</f>
        <v>Patchera Externa Audio</v>
      </c>
      <c r="J177" s="6"/>
      <c r="K177" s="6"/>
      <c r="L177" s="7" t="s">
        <v>212</v>
      </c>
      <c r="M177" s="7" t="s">
        <v>213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37</v>
      </c>
      <c r="B178" s="7" t="str">
        <f>IF(A178="","",VLOOKUP(A178,DB!A:B,2,0))</f>
        <v/>
      </c>
      <c r="C178" s="6"/>
      <c r="D178" s="6"/>
      <c r="E178" s="6"/>
      <c r="F178" s="6"/>
      <c r="G178" s="6"/>
      <c r="H178" s="7" t="s">
        <v>169</v>
      </c>
      <c r="I178" s="6" t="str">
        <f>IF(H178="","",VLOOKUP(H178,DB!A:B,2,0))</f>
        <v>Patchera Externa Audio</v>
      </c>
      <c r="J178" s="6"/>
      <c r="K178" s="6"/>
      <c r="L178" s="7" t="s">
        <v>214</v>
      </c>
      <c r="M178" s="7" t="s">
        <v>215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37</v>
      </c>
      <c r="B179" s="7" t="str">
        <f>IF(A179="","",VLOOKUP(A179,DB!A:B,2,0))</f>
        <v/>
      </c>
      <c r="C179" s="6"/>
      <c r="D179" s="6"/>
      <c r="E179" s="6"/>
      <c r="F179" s="6"/>
      <c r="G179" s="6"/>
      <c r="H179" s="7" t="s">
        <v>169</v>
      </c>
      <c r="I179" s="6" t="str">
        <f>IF(H179="","",VLOOKUP(H179,DB!A:B,2,0))</f>
        <v>Patchera Externa Audio</v>
      </c>
      <c r="J179" s="6"/>
      <c r="K179" s="6"/>
      <c r="L179" s="7" t="s">
        <v>216</v>
      </c>
      <c r="M179" s="7" t="s">
        <v>217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37</v>
      </c>
      <c r="B180" s="7" t="str">
        <f>IF(A180="","",VLOOKUP(A180,DB!A:B,2,0))</f>
        <v/>
      </c>
      <c r="C180" s="6"/>
      <c r="D180" s="6"/>
      <c r="E180" s="6"/>
      <c r="F180" s="6"/>
      <c r="G180" s="6"/>
      <c r="H180" s="7" t="s">
        <v>169</v>
      </c>
      <c r="I180" s="6" t="str">
        <f>IF(H180="","",VLOOKUP(H180,DB!A:B,2,0))</f>
        <v>Patchera Externa Audio</v>
      </c>
      <c r="J180" s="6"/>
      <c r="K180" s="6"/>
      <c r="L180" s="7" t="s">
        <v>218</v>
      </c>
      <c r="M180" s="17" t="s">
        <v>219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H2:H91 A2:A490 H95:H490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227</v>
      </c>
      <c r="B1" s="19" t="s">
        <v>228</v>
      </c>
      <c r="C1" s="20" t="s">
        <v>229</v>
      </c>
      <c r="D1" s="21" t="s">
        <v>230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231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232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0" t="s">
        <v>233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86</v>
      </c>
      <c r="B6" s="24" t="s">
        <v>234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0" t="s">
        <v>235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4" t="s">
        <v>236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115</v>
      </c>
      <c r="B9" s="10" t="s">
        <v>237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238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239</v>
      </c>
      <c r="B13" s="12" t="s">
        <v>240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5" t="s">
        <v>241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242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243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241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104</v>
      </c>
      <c r="B18" s="14" t="s">
        <v>244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245</v>
      </c>
      <c r="B19" s="7" t="s">
        <v>246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143</v>
      </c>
      <c r="B21" s="14" t="s">
        <v>247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248</v>
      </c>
      <c r="B22" s="24" t="s">
        <v>249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250</v>
      </c>
      <c r="B23" s="10" t="s">
        <v>251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252</v>
      </c>
      <c r="B24" s="14" t="s">
        <v>253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221</v>
      </c>
      <c r="B25" s="10" t="s">
        <v>254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222</v>
      </c>
      <c r="B26" s="14" t="s">
        <v>244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137</v>
      </c>
      <c r="B27" s="10" t="s">
        <v>255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256</v>
      </c>
      <c r="B28" s="14" t="s">
        <v>257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258</v>
      </c>
      <c r="B29" s="10" t="s">
        <v>259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94</v>
      </c>
      <c r="B31" s="12" t="s">
        <v>260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169</v>
      </c>
      <c r="B32" s="12" t="s">
        <v>261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3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262</v>
      </c>
      <c r="B34" s="10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263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264</v>
      </c>
      <c r="B36" s="10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4" t="s">
        <v>265</v>
      </c>
      <c r="B37" s="14"/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266</v>
      </c>
      <c r="B38" s="10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4" t="s">
        <v>267</v>
      </c>
      <c r="B39" s="14"/>
      <c r="C39" s="14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268</v>
      </c>
      <c r="B40" s="10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 t="s">
        <v>269</v>
      </c>
      <c r="B41" s="14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270</v>
      </c>
      <c r="B42" s="10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271</v>
      </c>
      <c r="B43" s="14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272</v>
      </c>
      <c r="B44" s="10"/>
      <c r="C44" s="22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273</v>
      </c>
      <c r="B45" s="14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274</v>
      </c>
      <c r="B46" s="25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275</v>
      </c>
      <c r="B47" s="24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276</v>
      </c>
      <c r="B48" s="25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277</v>
      </c>
      <c r="B49" s="24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/>
      <c r="B50" s="10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278</v>
      </c>
      <c r="B51" s="14"/>
      <c r="C51" s="23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/>
      <c r="B52" s="10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6" t="s">
        <v>279</v>
      </c>
      <c r="B53" s="14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5"/>
      <c r="B54" s="25"/>
      <c r="C54" s="23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4" t="s">
        <v>37</v>
      </c>
      <c r="B55" s="24"/>
      <c r="C55" s="23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2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7"/>
      <c r="B57" s="17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7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7"/>
      <c r="B60" s="17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7"/>
      <c r="B61" s="17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7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14"/>
      <c r="C64" s="22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4"/>
      <c r="C65" s="22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6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4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7"/>
      <c r="B84" s="17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7"/>
      <c r="B88" s="17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"N/D"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280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129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