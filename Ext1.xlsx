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<sst xmlns="http://schemas.openxmlformats.org/spreadsheetml/2006/main" count="851" uniqueCount="261">
  <si>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</si>
  <si>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</si>
  <si>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</si>
  <si>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</si>
  <si>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</si>
  <si>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</si>
  <si>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</si>
  <si>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</si>
  <si>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</si>
  <si>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</si>
  <si>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</si>
  <si>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</si>
  <si>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</si>
  <si>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</si>
  <si>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</si>
  <si>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</si>
  <si>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</si>
  <si>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</si>
  <si>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</si>
  <si>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</si>
  <si>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</si>
  <si>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</si>
  <si>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</si>
  <si>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</si>
  <si>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</si>
  <si>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</si>
  <si>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</si>
  <si>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</si>
  <si>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</si>
  <si>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</si>
  <si>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</si>
  <si>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</si>
  <si>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</si>
  <si>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</si>
  <si>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</si>
  <si>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</si>
  <si>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</si>
  <si>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</si>
  <si>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</si>
  <si>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</si>
  <si>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</si>
  <si>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</si>
  <si>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</si>
  <si>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</si>
  <si>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</si>
  <si>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</si>
  <si>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</si>
  <si>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</si>
  <si>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</si>
  <si>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</si>
  <si>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</si>
  <si>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</si>
  <si>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</si>
  <si>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</si>
  <si>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</si>
  <si>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</si>
  <si>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</si>
  <si>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</si>
  <si>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</si>
  <si>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</si>
  <si>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</si>
  <si>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</si>
  <si>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</si>
  <si>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</si>
  <si>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</si>
  <si>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</si>
  <si>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</si>
  <si>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</si>
  <si>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</si>
  <si>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</si>
  <si>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</si>
  <si>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</si>
  <si>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</si>
  <si>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</si>
  <si>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</si>
  <si>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</si>
  <si>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</si>
  <si>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</si>
  <si>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</si>
  <si>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</si>
  <si>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</si>
  <si>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</si>
  <si>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</si>
  <si>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</si>
  <si>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</si>
  <si>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</si>
  <si>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</si>
  <si>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</si>
  <si>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</si>
  <si>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</si>
  <si>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</si>
  <si>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</si>
  <si>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</si>
  <si>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</si>
  <si>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</si>
  <si>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</si>
  <si>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</si>
  <si>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</si>
  <si>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</si>
  <si>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SDI 9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</si>
  <si>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</si>
  <si>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</si>
  <si>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</si>
  <si>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</si>
  <si>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</si>
  <si>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</si>
  <si>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</si>
  <si>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</si>
  <si>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</si>
  <si>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</si>
  <si>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</si>
  <si>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</si>
  <si>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</si>
  <si>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</si>
  <si>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</si>
  <si>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</si>
  <si>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</si>
  <si>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</si>
  <si>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</si>
  <si>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</si>
  <si>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</si>
  <si>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</si>
  <si>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</si>
  <si>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</si>
  <si>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</si>
  <si>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</si>
  <si>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</si>
  <si>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</si>
  <si>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</si>
  <si>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A</t>
  </si>
  <si>
    <t>AIRE Out A</t>
  </si>
  <si>
    <t>B3</t>
  </si>
  <si>
    <t>PGM B</t>
  </si>
  <si>
    <t>AIRE Out B</t>
  </si>
  <si>
    <t>B4</t>
  </si>
  <si>
    <t>PGM C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</si>
  <si>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</si>
  <si>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</si>
  <si>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</si>
  <si>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</si>
  <si>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</si>
  <si>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</si>
  <si>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</si>
  <si>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</si>
  <si>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</si>
  <si>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</si>
  <si>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</si>
  <si>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</si>
  <si>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</si>
  <si>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</si>
  <si>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</si>
  <si>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</si>
  <si>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</si>
  <si>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</si>
  <si>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</si>
  <si>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AIRE</t>
  </si>
  <si>
    <t>AIRE IN</t>
  </si>
  <si>
    <t>OF IKE 4</t>
  </si>
  <si>
    <t>OF I/O</t>
  </si>
  <si>
    <t>OF IKE 5</t>
  </si>
  <si>
    <t>OF JVC 1</t>
  </si>
  <si>
    <t>OF JVC 2</t>
  </si>
  <si>
    <t>OF JVC 3</t>
  </si>
  <si>
    <t>SDI 7</t>
  </si>
  <si>
    <t>IN 7</t>
  </si>
  <si>
    <t>SDI 8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</si>
  <si>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</si>
  <si>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</si>
  <si>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</si>
  <si>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</si>
  <si>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</si>
  <si>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</si>
  <si>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</si>
  <si>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</si>
  <si>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</si>
  <si>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</si>
  <si>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</si>
  <si>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</si>
  <si>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</si>
  <si>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</si>
  <si>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</si>
  <si>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</si>
  <si>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</si>
  <si>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</si>
  <si>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</si>
  <si>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</si>
  <si>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</si>
  <si>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</si>
  <si>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</si>
  <si>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</si>
  <si>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</si>
  <si>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</si>
  <si>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</si>
  <si>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</si>
  <si>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</si>
  <si>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</si>
  <si>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</si>
  <si>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</si>
  <si>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</si>
  <si>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</si>
  <si>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</si>
  <si>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</si>
  <si>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</si>
  <si>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</si>
  <si>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</si>
  <si>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</si>
  <si>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</si>
  <si>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</si>
  <si>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</si>
  <si>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</si>
  <si>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</si>
  <si>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</si>
  <si>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</si>
  <si>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</si>
  <si>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</si>
  <si>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</si>
  <si>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</si>
  <si>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</si>
  <si>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</si>
  <si>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</si>
  <si>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</si>
  <si>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</si>
  <si>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</si>
  <si>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</si>
  <si>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</si>
  <si>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</si>
  <si>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</si>
  <si>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</si>
  <si>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</si>
  <si>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</si>
  <si>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</si>
  <si>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</si>
  <si>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</si>
  <si>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</si>
  <si>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</si>
  <si>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</si>
  <si>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</si>
  <si>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</si>
  <si>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</si>
  <si>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</si>
  <si>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</si>
  <si>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</si>
  <si>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</si>
  <si>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</si>
  <si>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</si>
  <si>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</si>
  <si>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</si>
  <si>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</si>
  <si>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</si>
  <si>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</si>
  <si>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</si>
  <si>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</si>
  <si>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</si>
  <si>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</si>
  <si>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</si>
  <si>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</si>
  <si>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</si>
  <si>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</si>
  <si>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</si>
  <si>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</si>
  <si>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Mon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</si>
</sst>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85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86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87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1</v>
      </c>
      <c r="C22" s="6"/>
      <c r="D22" s="6"/>
      <c r="E22" s="7" t="s">
        <v>89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91</v>
      </c>
      <c r="B23" s="7" t="str">
        <f>IF(A23="","",VLOOKUP(A23,DB!A:B,2,0))</f>
        <v>Telecast CopperHead ProHD 2</v>
      </c>
      <c r="C23" s="6"/>
      <c r="D23" s="6"/>
      <c r="E23" s="7" t="s">
        <v>89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92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93</v>
      </c>
      <c r="B24" s="7" t="str">
        <f>IF(A24="","",VLOOKUP(A24,DB!A:B,2,0))</f>
        <v>Telecast CopperHead ProHD 3</v>
      </c>
      <c r="C24" s="6"/>
      <c r="D24" s="6"/>
      <c r="E24" s="7" t="s">
        <v>89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94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95</v>
      </c>
      <c r="B25" s="7" t="str">
        <f>IF(A25="","",VLOOKUP(A25,DB!A:B,2,0))</f>
        <v>Miranda Densite3</v>
      </c>
      <c r="C25" s="7">
        <v>5.0</v>
      </c>
      <c r="D25" s="7" t="s">
        <v>96</v>
      </c>
      <c r="E25" s="7" t="s">
        <v>97</v>
      </c>
      <c r="F25" s="7" t="s">
        <v>17</v>
      </c>
      <c r="G25" s="7" t="s">
        <v>98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Miranda Densite3</v>
      </c>
      <c r="C26" s="7">
        <v>6.0</v>
      </c>
      <c r="D26" s="7" t="s">
        <v>96</v>
      </c>
      <c r="E26" s="7" t="s">
        <v>97</v>
      </c>
      <c r="F26" s="7" t="s">
        <v>17</v>
      </c>
      <c r="G26" s="7" t="s">
        <v>98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99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100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101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103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104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105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108</v>
      </c>
      <c r="B35" s="7" t="str">
        <f>IF(A35="","",VLOOKUP(A35,DB!A:B,2,0))</f>
        <v>Blackmagic SmartScope Duo</v>
      </c>
      <c r="C35" s="6"/>
      <c r="D35" s="6"/>
      <c r="E35" s="7" t="s">
        <v>85</v>
      </c>
      <c r="F35" s="7" t="s">
        <v>17</v>
      </c>
      <c r="G35" s="7" t="s">
        <v>109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110</v>
      </c>
      <c r="N35" s="7" t="s">
        <v>110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111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112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89</v>
      </c>
      <c r="F38" s="6"/>
      <c r="G38" s="6"/>
      <c r="H38" s="7" t="s">
        <v>95</v>
      </c>
      <c r="I38" s="6" t="str">
        <f>IF(H38="","",VLOOKUP(H38,DB!A:B,2,0))</f>
        <v>Miranda Densite3</v>
      </c>
      <c r="J38" s="7">
        <v>1.0</v>
      </c>
      <c r="K38" s="7" t="s">
        <v>113</v>
      </c>
      <c r="L38" s="7" t="s">
        <v>98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88</v>
      </c>
      <c r="B39" s="7" t="str">
        <f>IF(A39="","",VLOOKUP(A39,DB!A:B,2,0))</f>
        <v>Telecast CopperHead ProHD 1</v>
      </c>
      <c r="C39" s="6"/>
      <c r="D39" s="6"/>
      <c r="E39" s="7" t="s">
        <v>85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109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91</v>
      </c>
      <c r="B40" s="7" t="str">
        <f>IF(A40="","",VLOOKUP(A40,DB!A:B,2,0))</f>
        <v>Telecast CopperHead ProHD 2</v>
      </c>
      <c r="C40" s="6"/>
      <c r="D40" s="6"/>
      <c r="E40" s="7" t="s">
        <v>85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114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93</v>
      </c>
      <c r="B41" s="7" t="str">
        <f>IF(A41="","",VLOOKUP(A41,DB!A:B,2,0))</f>
        <v>Telecast CopperHead ProHD 3</v>
      </c>
      <c r="C41" s="6"/>
      <c r="D41" s="6"/>
      <c r="E41" s="7" t="s">
        <v>85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115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116</v>
      </c>
      <c r="B42" s="7" t="str">
        <f>IF(A42="","",VLOOKUP(A42,DB!A:B,2,0))</f>
        <v>Blackmagic SmartView Duo</v>
      </c>
      <c r="C42" s="6"/>
      <c r="D42" s="6"/>
      <c r="E42" s="7" t="s">
        <v>85</v>
      </c>
      <c r="F42" s="7" t="s">
        <v>17</v>
      </c>
      <c r="G42" s="7" t="s">
        <v>109</v>
      </c>
      <c r="H42" s="7" t="s">
        <v>108</v>
      </c>
      <c r="I42" s="6" t="str">
        <f>IF(H42="","",VLOOKUP(H42,DB!A:B,2,0))</f>
        <v>Blackmagic SmartScope Duo</v>
      </c>
      <c r="J42" s="6"/>
      <c r="K42" s="6"/>
      <c r="L42" s="7" t="s">
        <v>117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116</v>
      </c>
      <c r="B43" s="7" t="str">
        <f>IF(A43="","",VLOOKUP(A43,DB!A:B,2,0))</f>
        <v>Blackmagic SmartView Duo</v>
      </c>
      <c r="C43" s="6"/>
      <c r="D43" s="6"/>
      <c r="E43" s="7" t="s">
        <v>85</v>
      </c>
      <c r="F43" s="7" t="s">
        <v>17</v>
      </c>
      <c r="G43" s="7" t="s">
        <v>117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118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119</v>
      </c>
      <c r="E44" s="7" t="s">
        <v>120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121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116</v>
      </c>
      <c r="I45" s="6" t="str">
        <f>IF(H45="","",VLOOKUP(H45,DB!A:B,2,0))</f>
        <v>Blackmagic SmartView Duo</v>
      </c>
      <c r="J45" s="6"/>
      <c r="K45" s="6"/>
      <c r="L45" s="7" t="s">
        <v>117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123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122</v>
      </c>
      <c r="F47" s="7" t="s">
        <v>17</v>
      </c>
      <c r="G47" s="7" t="s">
        <v>54</v>
      </c>
      <c r="H47" s="7" t="s">
        <v>93</v>
      </c>
      <c r="I47" s="6" t="str">
        <f>IF(H47="","",VLOOKUP(H47,DB!A:B,2,0))</f>
        <v>Telecast CopperHead ProHD 3</v>
      </c>
      <c r="J47" s="6"/>
      <c r="K47" s="6"/>
      <c r="L47" s="7" t="s">
        <v>98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124</v>
      </c>
      <c r="E48" s="7" t="s">
        <v>122</v>
      </c>
      <c r="F48" s="7" t="s">
        <v>17</v>
      </c>
      <c r="G48" s="7" t="s">
        <v>54</v>
      </c>
      <c r="H48" s="7" t="s">
        <v>116</v>
      </c>
      <c r="I48" s="6" t="str">
        <f>IF(H48="","",VLOOKUP(H48,DB!A:B,2,0))</f>
        <v>Blackmagic SmartView Duo</v>
      </c>
      <c r="J48" s="6"/>
      <c r="K48" s="6"/>
      <c r="L48" s="7" t="s">
        <v>109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88</v>
      </c>
      <c r="I49" s="6" t="str">
        <f>IF(H49="","",VLOOKUP(H49,DB!A:B,2,0))</f>
        <v>Telecast CopperHead ProHD 1</v>
      </c>
      <c r="J49" s="6"/>
      <c r="K49" s="6"/>
      <c r="L49" s="7" t="s">
        <v>98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124</v>
      </c>
      <c r="E50" s="7" t="s">
        <v>125</v>
      </c>
      <c r="F50" s="7" t="s">
        <v>17</v>
      </c>
      <c r="G50" s="7" t="s">
        <v>54</v>
      </c>
      <c r="H50" s="7" t="s">
        <v>106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126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100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127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123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91</v>
      </c>
      <c r="I53" s="6" t="str">
        <f>IF(H53="","",VLOOKUP(H53,DB!A:B,2,0))</f>
        <v>Telecast CopperHead ProHD 2</v>
      </c>
      <c r="J53" s="6"/>
      <c r="K53" s="6"/>
      <c r="L53" s="7" t="s">
        <v>98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124</v>
      </c>
      <c r="E54" s="7" t="s">
        <v>128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129</v>
      </c>
      <c r="M54" s="8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128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130</v>
      </c>
      <c r="M55" s="8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124</v>
      </c>
      <c r="E56" s="7" t="s">
        <v>131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132</v>
      </c>
      <c r="M56" s="8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131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133</v>
      </c>
      <c r="M57" s="8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131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102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124</v>
      </c>
      <c r="E59" s="7" t="s">
        <v>134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135</v>
      </c>
      <c r="M59" s="8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134</v>
      </c>
      <c r="F60" s="7" t="s">
        <v>17</v>
      </c>
      <c r="G60" s="7" t="s">
        <v>58</v>
      </c>
      <c r="H60" s="7" t="s">
        <v>136</v>
      </c>
      <c r="I60" s="6" t="str">
        <f>IF(H60="","",VLOOKUP(H60,DB!A:B,2,0))</f>
        <v>Monitor Aire</v>
      </c>
      <c r="J60" s="6"/>
      <c r="K60" s="6"/>
      <c r="L60" s="7" t="s">
        <v>98</v>
      </c>
      <c r="M60" s="9"/>
      <c r="N60" s="6"/>
      <c r="O60" s="7" t="s">
        <v>137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138</v>
      </c>
      <c r="E61" s="7" t="s">
        <v>97</v>
      </c>
      <c r="F61" s="7" t="s">
        <v>17</v>
      </c>
      <c r="G61" s="7" t="s">
        <v>98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124</v>
      </c>
      <c r="L61" s="7" t="s">
        <v>122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89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139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89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140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95</v>
      </c>
      <c r="B64" s="7" t="str">
        <f>IF(A64="","",VLOOKUP(A64,DB!A:B,2,0))</f>
        <v>Miranda Densite3</v>
      </c>
      <c r="C64" s="7">
        <v>5.0</v>
      </c>
      <c r="D64" s="7" t="s">
        <v>96</v>
      </c>
      <c r="E64" s="7" t="s">
        <v>141</v>
      </c>
      <c r="F64" s="7" t="s">
        <v>17</v>
      </c>
      <c r="G64" s="7" t="s">
        <v>98</v>
      </c>
      <c r="H64" s="7" t="s">
        <v>142</v>
      </c>
      <c r="I64" s="6" t="str">
        <f>IF(H64="","",VLOOKUP(H64,DB!A:B,2,0))</f>
        <v>Yamaha MG166</v>
      </c>
      <c r="J64" s="6"/>
      <c r="K64" s="6"/>
      <c r="L64" s="7" t="s">
        <v>143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95</v>
      </c>
      <c r="B65" s="7" t="str">
        <f>IF(A65="","",VLOOKUP(A65,DB!A:B,2,0))</f>
        <v>Miranda Densite3</v>
      </c>
      <c r="C65" s="7">
        <v>6.0</v>
      </c>
      <c r="D65" s="7" t="s">
        <v>96</v>
      </c>
      <c r="E65" s="7" t="s">
        <v>141</v>
      </c>
      <c r="F65" s="7" t="s">
        <v>17</v>
      </c>
      <c r="G65" s="7" t="s">
        <v>98</v>
      </c>
      <c r="H65" s="7" t="s">
        <v>142</v>
      </c>
      <c r="I65" s="6" t="str">
        <f>IF(H65="","",VLOOKUP(H65,DB!A:B,2,0))</f>
        <v>Yamaha MG166</v>
      </c>
      <c r="J65" s="6"/>
      <c r="K65" s="6"/>
      <c r="L65" s="7" t="s">
        <v>144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95</v>
      </c>
      <c r="B66" s="7" t="str">
        <f>IF(A66="","",VLOOKUP(A66,DB!A:B,2,0))</f>
        <v>Miranda Densite3</v>
      </c>
      <c r="C66" s="7">
        <v>5.0</v>
      </c>
      <c r="D66" s="7" t="s">
        <v>96</v>
      </c>
      <c r="E66" s="7" t="s">
        <v>145</v>
      </c>
      <c r="F66" s="7" t="s">
        <v>17</v>
      </c>
      <c r="G66" s="7" t="s">
        <v>98</v>
      </c>
      <c r="H66" s="7" t="s">
        <v>142</v>
      </c>
      <c r="I66" s="6" t="str">
        <f>IF(H66="","",VLOOKUP(H66,DB!A:B,2,0))</f>
        <v>Yamaha MG166</v>
      </c>
      <c r="J66" s="6"/>
      <c r="K66" s="6"/>
      <c r="L66" s="7" t="s">
        <v>146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95</v>
      </c>
      <c r="B67" s="7" t="str">
        <f>IF(A67="","",VLOOKUP(A67,DB!A:B,2,0))</f>
        <v>Miranda Densite3</v>
      </c>
      <c r="C67" s="7">
        <v>6.0</v>
      </c>
      <c r="D67" s="7" t="s">
        <v>96</v>
      </c>
      <c r="E67" s="7" t="s">
        <v>145</v>
      </c>
      <c r="F67" s="7" t="s">
        <v>17</v>
      </c>
      <c r="G67" s="7" t="s">
        <v>98</v>
      </c>
      <c r="H67" s="7" t="s">
        <v>142</v>
      </c>
      <c r="I67" s="6" t="str">
        <f>IF(H67="","",VLOOKUP(H67,DB!A:B,2,0))</f>
        <v>Yamaha MG166</v>
      </c>
      <c r="J67" s="6"/>
      <c r="K67" s="6"/>
      <c r="L67" s="7" t="s">
        <v>147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95</v>
      </c>
      <c r="B68" s="7" t="str">
        <f>IF(A68="","",VLOOKUP(A68,DB!A:B,2,0))</f>
        <v>Miranda Densite3</v>
      </c>
      <c r="C68" s="7">
        <v>7.0</v>
      </c>
      <c r="D68" s="7" t="s">
        <v>148</v>
      </c>
      <c r="E68" s="7" t="s">
        <v>16</v>
      </c>
      <c r="F68" s="7" t="s">
        <v>17</v>
      </c>
      <c r="G68" s="7" t="s">
        <v>18</v>
      </c>
      <c r="H68" s="7" t="s">
        <v>95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149</v>
      </c>
      <c r="M68" s="9"/>
      <c r="N68" s="7" t="s">
        <v>110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95</v>
      </c>
      <c r="B69" s="7" t="str">
        <f>IF(A69="","",VLOOKUP(A69,DB!A:B,2,0))</f>
        <v>Miranda Densite3</v>
      </c>
      <c r="C69" s="7">
        <v>7.0</v>
      </c>
      <c r="D69" s="7" t="s">
        <v>148</v>
      </c>
      <c r="E69" s="7" t="s">
        <v>35</v>
      </c>
      <c r="F69" s="7" t="s">
        <v>17</v>
      </c>
      <c r="G69" s="7" t="s">
        <v>24</v>
      </c>
      <c r="H69" s="7" t="s">
        <v>95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150</v>
      </c>
      <c r="M69" s="9"/>
      <c r="N69" s="7" t="s">
        <v>110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95</v>
      </c>
      <c r="B70" s="7" t="str">
        <f>IF(A70="","",VLOOKUP(A70,DB!A:B,2,0))</f>
        <v>Miranda Densite3</v>
      </c>
      <c r="C70" s="7">
        <v>8.0</v>
      </c>
      <c r="D70" s="7" t="s">
        <v>148</v>
      </c>
      <c r="E70" s="7" t="s">
        <v>35</v>
      </c>
      <c r="F70" s="7" t="s">
        <v>17</v>
      </c>
      <c r="G70" s="7" t="s">
        <v>24</v>
      </c>
      <c r="H70" s="7" t="s">
        <v>95</v>
      </c>
      <c r="I70" s="6" t="str">
        <f>IF(H70="","",VLOOKUP(H70,DB!A:B,2,0))</f>
        <v>Miranda Densite3</v>
      </c>
      <c r="J70" s="7">
        <v>1.0</v>
      </c>
      <c r="K70" s="7" t="s">
        <v>113</v>
      </c>
      <c r="L70" s="7" t="s">
        <v>151</v>
      </c>
      <c r="M70" s="9"/>
      <c r="N70" s="7" t="s">
        <v>152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95</v>
      </c>
      <c r="B71" s="7" t="str">
        <f>IF(A71="","",VLOOKUP(A71,DB!A:B,2,0))</f>
        <v>Miranda Densite3</v>
      </c>
      <c r="C71" s="7">
        <v>8.0</v>
      </c>
      <c r="D71" s="7" t="s">
        <v>148</v>
      </c>
      <c r="E71" s="7" t="s">
        <v>35</v>
      </c>
      <c r="F71" s="7" t="s">
        <v>17</v>
      </c>
      <c r="G71" s="7" t="s">
        <v>24</v>
      </c>
      <c r="H71" s="7" t="s">
        <v>95</v>
      </c>
      <c r="I71" s="6" t="str">
        <f>IF(H71="","",VLOOKUP(H71,DB!A:B,2,0))</f>
        <v>Miranda Densite3</v>
      </c>
      <c r="J71" s="7">
        <v>1.0</v>
      </c>
      <c r="K71" s="7" t="s">
        <v>113</v>
      </c>
      <c r="L71" s="7" t="s">
        <v>153</v>
      </c>
      <c r="M71" s="9"/>
      <c r="N71" s="7" t="s">
        <v>152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95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89</v>
      </c>
      <c r="F72" s="7" t="s">
        <v>17</v>
      </c>
      <c r="G72" s="7" t="s">
        <v>98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138</v>
      </c>
      <c r="L72" s="7" t="s">
        <v>98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95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98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154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95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89</v>
      </c>
      <c r="F74" s="7" t="s">
        <v>17</v>
      </c>
      <c r="G74" s="7" t="s">
        <v>149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95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89</v>
      </c>
      <c r="F75" s="7" t="s">
        <v>17</v>
      </c>
      <c r="G75" s="7" t="s">
        <v>150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95</v>
      </c>
      <c r="B76" s="7" t="str">
        <f>IF(A76="","",VLOOKUP(A76,DB!A:B,2,0))</f>
        <v>Miranda Densite3</v>
      </c>
      <c r="C76" s="7">
        <v>1.0</v>
      </c>
      <c r="D76" s="7" t="s">
        <v>113</v>
      </c>
      <c r="E76" s="7" t="s">
        <v>89</v>
      </c>
      <c r="F76" s="7" t="s">
        <v>17</v>
      </c>
      <c r="G76" s="7" t="s">
        <v>151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Miranda Densite3</v>
      </c>
      <c r="C77" s="7">
        <v>1.0</v>
      </c>
      <c r="D77" s="7" t="s">
        <v>113</v>
      </c>
      <c r="E77" s="7" t="s">
        <v>89</v>
      </c>
      <c r="F77" s="7" t="s">
        <v>17</v>
      </c>
      <c r="G77" s="7" t="s">
        <v>153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108</v>
      </c>
      <c r="B78" s="7" t="str">
        <f>IF(A78="","",VLOOKUP(A78,DB!A:B,2,0))</f>
        <v>Blackmagic SmartScope Duo</v>
      </c>
      <c r="C78" s="6"/>
      <c r="D78" s="6"/>
      <c r="E78" s="7" t="s">
        <v>89</v>
      </c>
      <c r="F78" s="7" t="s">
        <v>17</v>
      </c>
      <c r="G78" s="7" t="s">
        <v>117</v>
      </c>
      <c r="H78" s="7" t="s">
        <v>108</v>
      </c>
      <c r="I78" s="6" t="str">
        <f>IF(H78="","",VLOOKUP(H78,DB!A:B,2,0))</f>
        <v>Blackmagic SmartScope Duo</v>
      </c>
      <c r="J78" s="6"/>
      <c r="K78" s="6"/>
      <c r="L78" s="7" t="s">
        <v>109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155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8" t="s">
        <v>156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157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158</v>
      </c>
      <c r="M80" s="8" t="s">
        <v>86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159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158</v>
      </c>
      <c r="M81" s="8" t="s">
        <v>87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160</v>
      </c>
      <c r="F82" s="6"/>
      <c r="G82" s="6"/>
      <c r="H82" s="7" t="s">
        <v>88</v>
      </c>
      <c r="I82" s="6" t="str">
        <f>IF(H82="","",VLOOKUP(H82,DB!A:B,2,0))</f>
        <v>Telecast CopperHead ProHD 1</v>
      </c>
      <c r="J82" s="6"/>
      <c r="K82" s="6"/>
      <c r="L82" s="7" t="s">
        <v>158</v>
      </c>
      <c r="M82" s="8" t="s">
        <v>90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161</v>
      </c>
      <c r="F83" s="6"/>
      <c r="G83" s="6"/>
      <c r="H83" s="7" t="s">
        <v>91</v>
      </c>
      <c r="I83" s="6" t="str">
        <f>IF(H83="","",VLOOKUP(H83,DB!A:B,2,0))</f>
        <v>Telecast CopperHead ProHD 2</v>
      </c>
      <c r="J83" s="6"/>
      <c r="K83" s="6"/>
      <c r="L83" s="7" t="s">
        <v>158</v>
      </c>
      <c r="M83" s="8" t="s">
        <v>92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162</v>
      </c>
      <c r="F84" s="6"/>
      <c r="G84" s="6"/>
      <c r="H84" s="7" t="s">
        <v>93</v>
      </c>
      <c r="I84" s="6" t="str">
        <f>IF(H84="","",VLOOKUP(H84,DB!A:B,2,0))</f>
        <v>Telecast CopperHead ProHD 3</v>
      </c>
      <c r="J84" s="6"/>
      <c r="K84" s="6"/>
      <c r="L84" s="7" t="s">
        <v>158</v>
      </c>
      <c r="M84" s="8" t="s">
        <v>94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163</v>
      </c>
      <c r="F85" s="6"/>
      <c r="G85" s="6"/>
      <c r="H85" s="7" t="s">
        <v>95</v>
      </c>
      <c r="I85" s="6" t="str">
        <f>IF(H85="","",VLOOKUP(H85,DB!A:B,2,0))</f>
        <v>Miranda Densite3</v>
      </c>
      <c r="J85" s="7">
        <v>5.0</v>
      </c>
      <c r="K85" s="7" t="s">
        <v>96</v>
      </c>
      <c r="L85" s="7" t="s">
        <v>98</v>
      </c>
      <c r="M85" s="8" t="s">
        <v>164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165</v>
      </c>
      <c r="F86" s="6"/>
      <c r="G86" s="6"/>
      <c r="H86" s="7" t="s">
        <v>95</v>
      </c>
      <c r="I86" s="6" t="str">
        <f>IF(H86="","",VLOOKUP(H86,DB!A:B,2,0))</f>
        <v>Miranda Densite3</v>
      </c>
      <c r="J86" s="7">
        <v>6.0</v>
      </c>
      <c r="K86" s="7" t="s">
        <v>96</v>
      </c>
      <c r="L86" s="7" t="s">
        <v>98</v>
      </c>
      <c r="M86" s="8" t="s">
        <v>166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167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142</v>
      </c>
      <c r="I87" s="10" t="str">
        <f>IF(H87="","",VLOOKUP(H87,DB!A:B,2,0))</f>
        <v>Yamaha MG166</v>
      </c>
      <c r="J87" s="10"/>
      <c r="K87" s="10"/>
      <c r="L87" s="12" t="s">
        <v>18</v>
      </c>
      <c r="M87" s="13" t="s">
        <v>168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167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142</v>
      </c>
      <c r="I88" s="14" t="str">
        <f>IF(H88="","",VLOOKUP(H88,DB!A:B,2,0))</f>
        <v>Yamaha MG166</v>
      </c>
      <c r="J88" s="14"/>
      <c r="K88" s="14"/>
      <c r="L88" s="12" t="s">
        <v>24</v>
      </c>
      <c r="M88" s="13" t="s">
        <v>169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167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142</v>
      </c>
      <c r="I89" s="14" t="str">
        <f>IF(H89="","",VLOOKUP(H89,DB!A:B,2,0))</f>
        <v>Yamaha MG166</v>
      </c>
      <c r="J89" s="14"/>
      <c r="K89" s="14"/>
      <c r="L89" s="12" t="s">
        <v>28</v>
      </c>
      <c r="M89" s="13" t="s">
        <v>170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167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142</v>
      </c>
      <c r="I90" s="14" t="str">
        <f>IF(H90="","",VLOOKUP(H90,DB!A:B,2,0))</f>
        <v>Yamaha MG166</v>
      </c>
      <c r="J90" s="14"/>
      <c r="K90" s="14"/>
      <c r="L90" s="12" t="s">
        <v>32</v>
      </c>
      <c r="M90" s="13" t="s">
        <v>171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167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142</v>
      </c>
      <c r="I91" s="10" t="str">
        <f>IF(H91="","",VLOOKUP(H91,DB!A:B,2,0))</f>
        <v>Yamaha MG166</v>
      </c>
      <c r="J91" s="10"/>
      <c r="K91" s="10"/>
      <c r="L91" s="12" t="s">
        <v>36</v>
      </c>
      <c r="M91" s="13" t="s">
        <v>172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167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142</v>
      </c>
      <c r="I92" s="14" t="str">
        <f>IF(H92="","",VLOOKUP(H92,DB!A:B,2,0))</f>
        <v>Yamaha MG166</v>
      </c>
      <c r="J92" s="14"/>
      <c r="K92" s="14"/>
      <c r="L92" s="12" t="s">
        <v>39</v>
      </c>
      <c r="M92" s="13" t="s">
        <v>173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167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142</v>
      </c>
      <c r="I93" s="6" t="str">
        <f>IF(H93="","",VLOOKUP(H93,DB!A:B,2,0))</f>
        <v>Yamaha MG166</v>
      </c>
      <c r="J93" s="6"/>
      <c r="K93" s="6"/>
      <c r="L93" s="12" t="s">
        <v>41</v>
      </c>
      <c r="M93" s="13" t="s">
        <v>164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167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142</v>
      </c>
      <c r="I94" s="6" t="str">
        <f>IF(H94="","",VLOOKUP(H94,DB!A:B,2,0))</f>
        <v>Yamaha MG166</v>
      </c>
      <c r="J94" s="6"/>
      <c r="K94" s="6"/>
      <c r="L94" s="12" t="s">
        <v>44</v>
      </c>
      <c r="M94" s="13" t="s">
        <v>166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167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142</v>
      </c>
      <c r="I95" s="6" t="str">
        <f>IF(H95="","",VLOOKUP(H95,DB!A:B,2,0))</f>
        <v>Yamaha MG166</v>
      </c>
      <c r="J95" s="6"/>
      <c r="K95" s="6"/>
      <c r="L95" s="12" t="s">
        <v>47</v>
      </c>
      <c r="M95" s="13" t="s">
        <v>174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167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6"/>
      <c r="O96" s="6"/>
      <c r="P96" s="15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167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167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95</v>
      </c>
      <c r="B99" s="7" t="str">
        <f>IF(A99="","",VLOOKUP(A99,DB!A:B,2,0))</f>
        <v>Miranda Densite3</v>
      </c>
      <c r="C99" s="7">
        <v>10.0</v>
      </c>
      <c r="D99" s="7" t="s">
        <v>148</v>
      </c>
      <c r="E99" s="7" t="s">
        <v>46</v>
      </c>
      <c r="F99" s="7" t="s">
        <v>17</v>
      </c>
      <c r="G99" s="7" t="s">
        <v>18</v>
      </c>
      <c r="H99" s="7" t="s">
        <v>167</v>
      </c>
      <c r="I99" s="6" t="str">
        <f>IF(H99="","",VLOOKUP(H99,DB!A:B,2,0))</f>
        <v>Patchera Externa Audio</v>
      </c>
      <c r="J99" s="6"/>
      <c r="K99" s="6"/>
      <c r="L99" s="7" t="s">
        <v>175</v>
      </c>
      <c r="M99" s="8" t="s">
        <v>176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95</v>
      </c>
      <c r="B100" s="7" t="str">
        <f>IF(A100="","",VLOOKUP(A100,DB!A:B,2,0))</f>
        <v>Miranda Densite3</v>
      </c>
      <c r="C100" s="7">
        <v>10.0</v>
      </c>
      <c r="D100" s="7" t="s">
        <v>148</v>
      </c>
      <c r="E100" s="7" t="s">
        <v>46</v>
      </c>
      <c r="F100" s="7" t="s">
        <v>17</v>
      </c>
      <c r="G100" s="7" t="s">
        <v>18</v>
      </c>
      <c r="H100" s="7" t="s">
        <v>167</v>
      </c>
      <c r="I100" s="6" t="str">
        <f>IF(H100="","",VLOOKUP(H100,DB!A:B,2,0))</f>
        <v>Patchera Externa Audio</v>
      </c>
      <c r="J100" s="6"/>
      <c r="K100" s="6"/>
      <c r="L100" s="7" t="s">
        <v>177</v>
      </c>
      <c r="M100" s="8" t="s">
        <v>176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95</v>
      </c>
      <c r="B101" s="7" t="str">
        <f>IF(A101="","",VLOOKUP(A101,DB!A:B,2,0))</f>
        <v>Miranda Densite3</v>
      </c>
      <c r="C101" s="7">
        <v>10.0</v>
      </c>
      <c r="D101" s="7" t="s">
        <v>148</v>
      </c>
      <c r="E101" s="7" t="s">
        <v>46</v>
      </c>
      <c r="F101" s="7" t="s">
        <v>17</v>
      </c>
      <c r="G101" s="7" t="s">
        <v>18</v>
      </c>
      <c r="H101" s="7" t="s">
        <v>167</v>
      </c>
      <c r="I101" s="6" t="str">
        <f>IF(H101="","",VLOOKUP(H101,DB!A:B,2,0))</f>
        <v>Patchera Externa Audio</v>
      </c>
      <c r="J101" s="6"/>
      <c r="K101" s="6"/>
      <c r="L101" s="7" t="s">
        <v>178</v>
      </c>
      <c r="M101" s="8" t="s">
        <v>176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95</v>
      </c>
      <c r="B102" s="7" t="str">
        <f>IF(A102="","",VLOOKUP(A102,DB!A:B,2,0))</f>
        <v>Miranda Densite3</v>
      </c>
      <c r="C102" s="7">
        <v>10.0</v>
      </c>
      <c r="D102" s="7" t="s">
        <v>148</v>
      </c>
      <c r="E102" s="7" t="s">
        <v>46</v>
      </c>
      <c r="F102" s="7" t="s">
        <v>17</v>
      </c>
      <c r="G102" s="7" t="s">
        <v>18</v>
      </c>
      <c r="H102" s="7" t="s">
        <v>167</v>
      </c>
      <c r="I102" s="6" t="str">
        <f>IF(H102="","",VLOOKUP(H102,DB!A:B,2,0))</f>
        <v>Patchera Externa Audio</v>
      </c>
      <c r="J102" s="6"/>
      <c r="K102" s="6"/>
      <c r="L102" s="7" t="s">
        <v>179</v>
      </c>
      <c r="M102" s="8" t="s">
        <v>176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95</v>
      </c>
      <c r="B103" s="7" t="str">
        <f>IF(A103="","",VLOOKUP(A103,DB!A:B,2,0))</f>
        <v>Miranda Densite3</v>
      </c>
      <c r="C103" s="7">
        <v>7.0</v>
      </c>
      <c r="D103" s="7" t="s">
        <v>148</v>
      </c>
      <c r="E103" s="7" t="s">
        <v>23</v>
      </c>
      <c r="F103" s="7" t="s">
        <v>17</v>
      </c>
      <c r="G103" s="7" t="s">
        <v>18</v>
      </c>
      <c r="H103" s="7" t="s">
        <v>167</v>
      </c>
      <c r="I103" s="6" t="str">
        <f>IF(H103="","",VLOOKUP(H103,DB!A:B,2,0))</f>
        <v>Patchera Externa Audio</v>
      </c>
      <c r="J103" s="6"/>
      <c r="K103" s="6"/>
      <c r="L103" s="7" t="s">
        <v>180</v>
      </c>
      <c r="M103" s="8" t="s">
        <v>110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95</v>
      </c>
      <c r="B104" s="7" t="str">
        <f>IF(A104="","",VLOOKUP(A104,DB!A:B,2,0))</f>
        <v>Miranda Densite3</v>
      </c>
      <c r="C104" s="7">
        <v>7.0</v>
      </c>
      <c r="D104" s="7" t="s">
        <v>148</v>
      </c>
      <c r="E104" s="7" t="s">
        <v>38</v>
      </c>
      <c r="F104" s="7" t="s">
        <v>17</v>
      </c>
      <c r="G104" s="7" t="s">
        <v>24</v>
      </c>
      <c r="H104" s="7" t="s">
        <v>167</v>
      </c>
      <c r="I104" s="6" t="str">
        <f>IF(H104="","",VLOOKUP(H104,DB!A:B,2,0))</f>
        <v>Patchera Externa Audio</v>
      </c>
      <c r="J104" s="6"/>
      <c r="K104" s="6"/>
      <c r="L104" s="7" t="s">
        <v>181</v>
      </c>
      <c r="M104" s="8" t="s">
        <v>110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95</v>
      </c>
      <c r="B105" s="7" t="str">
        <f>IF(A105="","",VLOOKUP(A105,DB!A:B,2,0))</f>
        <v>Miranda Densite3</v>
      </c>
      <c r="C105" s="7">
        <v>8.0</v>
      </c>
      <c r="D105" s="7" t="s">
        <v>148</v>
      </c>
      <c r="E105" s="7" t="s">
        <v>38</v>
      </c>
      <c r="F105" s="6"/>
      <c r="G105" s="6"/>
      <c r="H105" s="7" t="s">
        <v>167</v>
      </c>
      <c r="I105" s="6" t="str">
        <f>IF(H105="","",VLOOKUP(H105,DB!A:B,2,0))</f>
        <v>Patchera Externa Audio</v>
      </c>
      <c r="J105" s="6"/>
      <c r="K105" s="6"/>
      <c r="L105" s="7" t="s">
        <v>152</v>
      </c>
      <c r="M105" s="8" t="s">
        <v>152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95</v>
      </c>
      <c r="B106" s="6" t="str">
        <f>IF(A106="","",VLOOKUP(A106,DB!A:B,2,0))</f>
        <v>Miranda Densite3</v>
      </c>
      <c r="C106" s="7">
        <v>8.0</v>
      </c>
      <c r="D106" s="7" t="s">
        <v>148</v>
      </c>
      <c r="E106" s="7" t="s">
        <v>16</v>
      </c>
      <c r="F106" s="6"/>
      <c r="G106" s="6"/>
      <c r="H106" s="7" t="s">
        <v>167</v>
      </c>
      <c r="I106" s="7" t="str">
        <f>IF(H106="","",VLOOKUP(H106,DB!A:B,2,0))</f>
        <v>Patchera Externa Audio</v>
      </c>
      <c r="J106" s="6"/>
      <c r="K106" s="6"/>
      <c r="L106" s="7" t="s">
        <v>182</v>
      </c>
      <c r="M106" s="8" t="s">
        <v>182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95</v>
      </c>
      <c r="B107" s="6" t="str">
        <f>IF(A107="","",VLOOKUP(A107,DB!A:B,2,0))</f>
        <v>Miranda Densite3</v>
      </c>
      <c r="C107" s="7">
        <v>9.0</v>
      </c>
      <c r="D107" s="7" t="s">
        <v>148</v>
      </c>
      <c r="E107" s="7" t="s">
        <v>35</v>
      </c>
      <c r="F107" s="6"/>
      <c r="G107" s="6"/>
      <c r="H107" s="7" t="s">
        <v>167</v>
      </c>
      <c r="I107" s="7" t="str">
        <f>IF(H107="","",VLOOKUP(H107,DB!A:B,2,0))</f>
        <v>Patchera Externa Audio</v>
      </c>
      <c r="J107" s="6"/>
      <c r="K107" s="6"/>
      <c r="L107" s="7" t="s">
        <v>100</v>
      </c>
      <c r="M107" s="8" t="s">
        <v>100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95</v>
      </c>
      <c r="B108" s="6" t="str">
        <f>IF(A108="","",VLOOKUP(A108,DB!A:B,2,0))</f>
        <v>Miranda Densite3</v>
      </c>
      <c r="C108" s="7">
        <v>9.0</v>
      </c>
      <c r="D108" s="7" t="s">
        <v>148</v>
      </c>
      <c r="E108" s="7" t="s">
        <v>16</v>
      </c>
      <c r="F108" s="6"/>
      <c r="G108" s="6"/>
      <c r="H108" s="7" t="s">
        <v>167</v>
      </c>
      <c r="I108" s="7" t="str">
        <f>IF(H108="","",VLOOKUP(H108,DB!A:B,2,0))</f>
        <v>Patchera Externa Audio</v>
      </c>
      <c r="J108" s="6"/>
      <c r="K108" s="6"/>
      <c r="L108" s="7" t="s">
        <v>104</v>
      </c>
      <c r="M108" s="7" t="s">
        <v>104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95</v>
      </c>
      <c r="B109" s="6" t="str">
        <f>IF(A109="","",VLOOKUP(A109,DB!A:B,2,0))</f>
        <v>Miranda Densite3</v>
      </c>
      <c r="C109" s="7">
        <v>9.0</v>
      </c>
      <c r="D109" s="7" t="s">
        <v>148</v>
      </c>
      <c r="E109" s="7" t="s">
        <v>38</v>
      </c>
      <c r="F109" s="6"/>
      <c r="G109" s="6"/>
      <c r="H109" s="7" t="s">
        <v>167</v>
      </c>
      <c r="I109" s="7" t="str">
        <f>IF(H109="","",VLOOKUP(H109,DB!A:B,2,0))</f>
        <v>Patchera Externa Audio</v>
      </c>
      <c r="J109" s="6"/>
      <c r="K109" s="6"/>
      <c r="L109" s="7" t="s">
        <v>100</v>
      </c>
      <c r="M109" s="7" t="s">
        <v>100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95</v>
      </c>
      <c r="B110" s="6" t="str">
        <f>IF(A110="","",VLOOKUP(A110,DB!A:B,2,0))</f>
        <v>Miranda Densite3</v>
      </c>
      <c r="C110" s="7">
        <v>8.0</v>
      </c>
      <c r="D110" s="7" t="s">
        <v>148</v>
      </c>
      <c r="E110" s="7" t="s">
        <v>23</v>
      </c>
      <c r="F110" s="6"/>
      <c r="G110" s="6"/>
      <c r="H110" s="7" t="s">
        <v>167</v>
      </c>
      <c r="I110" s="7" t="str">
        <f>IF(H110="","",VLOOKUP(H110,DB!A:B,2,0))</f>
        <v>Patchera Externa Audio</v>
      </c>
      <c r="J110" s="6"/>
      <c r="K110" s="6"/>
      <c r="L110" s="7" t="s">
        <v>182</v>
      </c>
      <c r="M110" s="7" t="s">
        <v>182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167</v>
      </c>
      <c r="B111" s="7" t="str">
        <f>IF(A111="","",VLOOKUP(A111,DB!A:B,2,0))</f>
        <v>Patchera Externa Audio</v>
      </c>
      <c r="C111" s="6"/>
      <c r="D111" s="6"/>
      <c r="E111" s="7" t="s">
        <v>183</v>
      </c>
      <c r="F111" s="6"/>
      <c r="G111" s="6"/>
      <c r="H111" s="7" t="s">
        <v>88</v>
      </c>
      <c r="I111" s="6" t="str">
        <f>IF(H111="","",VLOOKUP(H111,DB!A:B,2,0))</f>
        <v>Telecast CopperHead ProHD 1</v>
      </c>
      <c r="J111" s="6"/>
      <c r="K111" s="6"/>
      <c r="L111" s="7" t="s">
        <v>141</v>
      </c>
      <c r="M111" s="7" t="s">
        <v>183</v>
      </c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167</v>
      </c>
      <c r="B112" s="7" t="str">
        <f>IF(A112="","",VLOOKUP(A112,DB!A:B,2,0))</f>
        <v>Patchera Externa Audio</v>
      </c>
      <c r="C112" s="6"/>
      <c r="D112" s="6"/>
      <c r="E112" s="7" t="s">
        <v>184</v>
      </c>
      <c r="F112" s="6"/>
      <c r="G112" s="6"/>
      <c r="H112" s="7" t="s">
        <v>88</v>
      </c>
      <c r="I112" s="6" t="str">
        <f>IF(H112="","",VLOOKUP(H112,DB!A:B,2,0))</f>
        <v>Telecast CopperHead ProHD 1</v>
      </c>
      <c r="J112" s="6"/>
      <c r="K112" s="6"/>
      <c r="L112" s="7" t="s">
        <v>145</v>
      </c>
      <c r="M112" s="7" t="s">
        <v>184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167</v>
      </c>
      <c r="B113" s="7" t="str">
        <f>IF(A113="","",VLOOKUP(A113,DB!A:B,2,0))</f>
        <v>Patchera Externa Audio</v>
      </c>
      <c r="C113" s="6"/>
      <c r="D113" s="6"/>
      <c r="E113" s="7" t="s">
        <v>185</v>
      </c>
      <c r="F113" s="6"/>
      <c r="G113" s="6"/>
      <c r="H113" s="7" t="s">
        <v>91</v>
      </c>
      <c r="I113" s="6" t="str">
        <f>IF(H113="","",VLOOKUP(H113,DB!A:B,2,0))</f>
        <v>Telecast CopperHead ProHD 2</v>
      </c>
      <c r="J113" s="6"/>
      <c r="K113" s="6"/>
      <c r="L113" s="7" t="s">
        <v>141</v>
      </c>
      <c r="M113" s="7" t="s">
        <v>185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167</v>
      </c>
      <c r="B114" s="7" t="str">
        <f>IF(A114="","",VLOOKUP(A114,DB!A:B,2,0))</f>
        <v>Patchera Externa Audio</v>
      </c>
      <c r="C114" s="6"/>
      <c r="D114" s="6"/>
      <c r="E114" s="7" t="s">
        <v>186</v>
      </c>
      <c r="F114" s="6"/>
      <c r="G114" s="6"/>
      <c r="H114" s="7" t="s">
        <v>91</v>
      </c>
      <c r="I114" s="6" t="str">
        <f>IF(H114="","",VLOOKUP(H114,DB!A:B,2,0))</f>
        <v>Telecast CopperHead ProHD 2</v>
      </c>
      <c r="J114" s="6"/>
      <c r="K114" s="6"/>
      <c r="L114" s="7" t="s">
        <v>145</v>
      </c>
      <c r="M114" s="7" t="s">
        <v>186</v>
      </c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167</v>
      </c>
      <c r="B115" s="7" t="str">
        <f>IF(A115="","",VLOOKUP(A115,DB!A:B,2,0))</f>
        <v>Patchera Externa Audio</v>
      </c>
      <c r="C115" s="6"/>
      <c r="D115" s="6"/>
      <c r="E115" s="7" t="s">
        <v>187</v>
      </c>
      <c r="F115" s="6"/>
      <c r="G115" s="6"/>
      <c r="H115" s="7" t="s">
        <v>93</v>
      </c>
      <c r="I115" s="6" t="str">
        <f>IF(H115="","",VLOOKUP(H115,DB!A:B,2,0))</f>
        <v>Telecast CopperHead ProHD 3</v>
      </c>
      <c r="J115" s="6"/>
      <c r="K115" s="6"/>
      <c r="L115" s="7" t="s">
        <v>141</v>
      </c>
      <c r="M115" s="7" t="s">
        <v>187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167</v>
      </c>
      <c r="B116" s="7" t="str">
        <f>IF(A116="","",VLOOKUP(A116,DB!A:B,2,0))</f>
        <v>Patchera Externa Audio</v>
      </c>
      <c r="C116" s="6"/>
      <c r="D116" s="6"/>
      <c r="E116" s="7" t="s">
        <v>188</v>
      </c>
      <c r="F116" s="6"/>
      <c r="G116" s="6"/>
      <c r="H116" s="7" t="s">
        <v>93</v>
      </c>
      <c r="I116" s="6" t="str">
        <f>IF(H116="","",VLOOKUP(H116,DB!A:B,2,0))</f>
        <v>Telecast CopperHead ProHD 3</v>
      </c>
      <c r="J116" s="6"/>
      <c r="K116" s="6"/>
      <c r="L116" s="7" t="s">
        <v>145</v>
      </c>
      <c r="M116" s="7" t="s">
        <v>188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167</v>
      </c>
      <c r="B117" s="7" t="str">
        <f>IF(A117="","",VLOOKUP(A117,DB!A:B,2,0))</f>
        <v>Patchera Externa Audio</v>
      </c>
      <c r="C117" s="6"/>
      <c r="D117" s="6"/>
      <c r="E117" s="7" t="s">
        <v>189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141</v>
      </c>
      <c r="M117" s="7" t="s">
        <v>189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167</v>
      </c>
      <c r="B118" s="7" t="str">
        <f>IF(A118="","",VLOOKUP(A118,DB!A:B,2,0))</f>
        <v>Patchera Externa Audio</v>
      </c>
      <c r="C118" s="6"/>
      <c r="D118" s="6"/>
      <c r="E118" s="7" t="s">
        <v>190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145</v>
      </c>
      <c r="M118" s="7" t="s">
        <v>190</v>
      </c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167</v>
      </c>
      <c r="B119" s="7" t="str">
        <f>IF(A119="","",VLOOKUP(A119,DB!A:B,2,0))</f>
        <v>Patchera Externa Audio</v>
      </c>
      <c r="C119" s="6"/>
      <c r="D119" s="6"/>
      <c r="E119" s="7" t="s">
        <v>191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141</v>
      </c>
      <c r="M119" s="7" t="s">
        <v>191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167</v>
      </c>
      <c r="B120" s="14" t="str">
        <f>IF(A120="","",VLOOKUP(A120,DB!A:B,2,0))</f>
        <v>Patchera Externa Audio</v>
      </c>
      <c r="C120" s="16"/>
      <c r="D120" s="14"/>
      <c r="E120" s="17" t="s">
        <v>192</v>
      </c>
      <c r="F120" s="14"/>
      <c r="G120" s="14"/>
      <c r="H120" s="17" t="s">
        <v>70</v>
      </c>
      <c r="I120" s="14" t="str">
        <f>IF(H120="","",VLOOKUP(H120,DB!A:B,2,0))</f>
        <v>Ikegami BS-80 5</v>
      </c>
      <c r="J120" s="14"/>
      <c r="K120" s="14"/>
      <c r="L120" s="7" t="s">
        <v>145</v>
      </c>
      <c r="M120" s="17" t="s">
        <v>192</v>
      </c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40</v>
      </c>
      <c r="B121" s="7" t="str">
        <f>IF(A121="","",VLOOKUP(A121,DB!A:B,2,0))</f>
        <v>ATEM 1 Production Studio</v>
      </c>
      <c r="C121" s="6"/>
      <c r="D121" s="6"/>
      <c r="E121" s="7" t="s">
        <v>193</v>
      </c>
      <c r="F121" s="6"/>
      <c r="G121" s="6"/>
      <c r="H121" s="7" t="s">
        <v>194</v>
      </c>
      <c r="I121" s="6" t="str">
        <f>IF(H121="","",VLOOKUP(H121,DB!A:B,2,0))</f>
        <v>Blackmagic SmartView HD</v>
      </c>
      <c r="J121" s="6"/>
      <c r="K121" s="6"/>
      <c r="L121" s="7" t="s">
        <v>98</v>
      </c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194</v>
      </c>
      <c r="B122" s="7" t="str">
        <f>IF(A122="","",VLOOKUP(A122,DB!A:B,2,0))</f>
        <v>Blackmagic SmartView HD</v>
      </c>
      <c r="C122" s="6"/>
      <c r="D122" s="6"/>
      <c r="E122" s="7" t="s">
        <v>97</v>
      </c>
      <c r="F122" s="7" t="s">
        <v>17</v>
      </c>
      <c r="G122" s="7" t="s">
        <v>98</v>
      </c>
      <c r="H122" s="7" t="s">
        <v>195</v>
      </c>
      <c r="I122" s="6" t="str">
        <f>IF(H122="","",VLOOKUP(H122,DB!A:B,2,0))</f>
        <v>Blackmagic SmartScope Duo</v>
      </c>
      <c r="J122" s="6"/>
      <c r="K122" s="6"/>
      <c r="L122" s="7" t="s">
        <v>117</v>
      </c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195</v>
      </c>
      <c r="B123" s="7" t="str">
        <f>IF(A123="","",VLOOKUP(A123,DB!A:B,2,0))</f>
        <v>Blackmagic SmartScope Duo</v>
      </c>
      <c r="C123" s="6"/>
      <c r="D123" s="6"/>
      <c r="E123" s="7" t="s">
        <v>89</v>
      </c>
      <c r="F123" s="7" t="s">
        <v>17</v>
      </c>
      <c r="G123" s="7" t="s">
        <v>117</v>
      </c>
      <c r="H123" s="7" t="s">
        <v>195</v>
      </c>
      <c r="I123" s="6" t="str">
        <f>IF(H123="","",VLOOKUP(H123,DB!A:B,2,0))</f>
        <v>Blackmagic SmartScope Duo</v>
      </c>
      <c r="J123" s="6"/>
      <c r="K123" s="6"/>
      <c r="L123" s="7" t="s">
        <v>109</v>
      </c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196</v>
      </c>
      <c r="B1" s="19" t="s">
        <v>197</v>
      </c>
      <c r="C1" s="20" t="s">
        <v>198</v>
      </c>
      <c r="D1" s="21" t="s">
        <v>199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200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201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88</v>
      </c>
      <c r="B5" s="10" t="s">
        <v>202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91</v>
      </c>
      <c r="B6" s="24" t="s">
        <v>203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93</v>
      </c>
      <c r="B7" s="10" t="s">
        <v>204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205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206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207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106</v>
      </c>
      <c r="B11" s="12" t="s">
        <v>107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208</v>
      </c>
      <c r="B13" s="12" t="s">
        <v>209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210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211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212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95</v>
      </c>
      <c r="B17" s="14" t="s">
        <v>210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108</v>
      </c>
      <c r="B18" s="14" t="s">
        <v>213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214</v>
      </c>
      <c r="B19" s="7" t="s">
        <v>215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142</v>
      </c>
      <c r="B21" s="14" t="s">
        <v>216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217</v>
      </c>
      <c r="B22" s="24" t="s">
        <v>218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219</v>
      </c>
      <c r="B23" s="10" t="s">
        <v>220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221</v>
      </c>
      <c r="B24" s="14" t="s">
        <v>222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194</v>
      </c>
      <c r="B25" s="10" t="s">
        <v>223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195</v>
      </c>
      <c r="B26" s="14" t="s">
        <v>213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136</v>
      </c>
      <c r="B27" s="10" t="s">
        <v>224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225</v>
      </c>
      <c r="B28" s="14" t="s">
        <v>226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227</v>
      </c>
      <c r="B29" s="10" t="s">
        <v>228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229</v>
      </c>
      <c r="B30" s="14" t="s">
        <v>230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231</v>
      </c>
      <c r="B31" s="10" t="s">
        <v>232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233</v>
      </c>
      <c r="B32" s="14" t="s">
        <v>234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235</v>
      </c>
      <c r="B33" s="10" t="s">
        <v>236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237</v>
      </c>
      <c r="B34" s="10" t="s">
        <v>238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239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167</v>
      </c>
      <c r="B37" s="12" t="s">
        <v>240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241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242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243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244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245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246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247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248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249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250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251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252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253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254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255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256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257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258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259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7" t="s">
        <v>260</v>
      </c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