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<sst xmlns="http://schemas.openxmlformats.org/spreadsheetml/2006/main" count="744" uniqueCount="241">
  <si>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</si>
  <si>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</si>
  <si>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</si>
  <si>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</si>
  <si>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</si>
  <si>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</si>
  <si>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</si>
  <si>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</si>
  <si>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</si>
  <si>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</si>
  <si>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</si>
  <si>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</si>
  <si>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</si>
  <si>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</si>
  <si>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</si>
  <si>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</si>
  <si>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</si>
  <si>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</si>
  <si>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</si>
  <si>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</si>
  <si>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</si>
  <si>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</si>
  <si>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</si>
  <si>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</si>
  <si>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</si>
  <si>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</si>
  <si>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</si>
  <si>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</si>
  <si>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</si>
  <si>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</si>
  <si>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</si>
  <si>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</si>
  <si>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</si>
  <si>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</si>
  <si>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</si>
  <si>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</si>
  <si>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</si>
  <si>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</si>
  <si>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</si>
  <si>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</si>
  <si>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</si>
  <si>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</si>
  <si>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</si>
  <si>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Out 10</t>
  </si>
  <si>
    <t>In 10</t>
  </si>
  <si>
    <t>C.2</t>
  </si>
  <si>
    <t>Dist. Amp. 2x4</t>
  </si>
  <si>
    <t>In A</t>
  </si>
  <si>
    <t>Out 11</t>
  </si>
  <si>
    <t>In 11</t>
  </si>
  <si>
    <t>In B</t>
  </si>
  <si>
    <t>Out 12</t>
  </si>
  <si>
    <t>In 12</t>
  </si>
  <si>
    <t>Out 13</t>
  </si>
  <si>
    <t>In 13</t>
  </si>
  <si>
    <t>C.3</t>
  </si>
  <si>
    <t>Trunk In</t>
  </si>
  <si>
    <t>Out 14</t>
  </si>
  <si>
    <t>In 14</t>
  </si>
  <si>
    <t>C.4</t>
  </si>
  <si>
    <t>Out 15</t>
  </si>
  <si>
    <t>In 15</t>
  </si>
  <si>
    <t>Out 16</t>
  </si>
  <si>
    <t>In 16</t>
  </si>
  <si>
    <t>B.6</t>
  </si>
  <si>
    <t>Out 17</t>
  </si>
  <si>
    <t>In 17</t>
  </si>
  <si>
    <t>Out 18</t>
  </si>
  <si>
    <t>In 18</t>
  </si>
  <si>
    <t>Ext.1</t>
  </si>
  <si>
    <t>I/O 10</t>
  </si>
  <si>
    <t>SDI Out 2</t>
  </si>
  <si>
    <t>B.3</t>
  </si>
  <si>
    <t>SDI Out 1</t>
  </si>
  <si>
    <t>B.4</t>
  </si>
  <si>
    <t>B.5</t>
  </si>
  <si>
    <t>C.5</t>
  </si>
  <si>
    <t>De-embedder</t>
  </si>
  <si>
    <t>SDI Out</t>
  </si>
  <si>
    <t>SDI In</t>
  </si>
  <si>
    <t>Audio Out L</t>
  </si>
  <si>
    <t>D.1</t>
  </si>
  <si>
    <t>Emb 7 L</t>
  </si>
  <si>
    <t>Audio Out R</t>
  </si>
  <si>
    <t>Emb 7 R</t>
  </si>
  <si>
    <t>Emb 8 L</t>
  </si>
  <si>
    <t>Emb 8 R</t>
  </si>
  <si>
    <t>SDI 9</t>
  </si>
  <si>
    <t>Aux 1</t>
  </si>
  <si>
    <t>Aux 2</t>
  </si>
  <si>
    <t>Aux 3</t>
  </si>
  <si>
    <t>B.9</t>
  </si>
  <si>
    <t>C.6</t>
  </si>
  <si>
    <t>Mon 2</t>
  </si>
  <si>
    <t>PGM</t>
  </si>
  <si>
    <t>Out A</t>
  </si>
  <si>
    <t>SDI In 2</t>
  </si>
  <si>
    <t>SDI In 3</t>
  </si>
  <si>
    <t>SDI In 4</t>
  </si>
  <si>
    <t>SDI In 5</t>
  </si>
  <si>
    <t>SDI In 6</t>
  </si>
  <si>
    <t>A1</t>
  </si>
  <si>
    <t>HD-QTV In</t>
  </si>
  <si>
    <t>B1</t>
  </si>
  <si>
    <t>A2</t>
  </si>
  <si>
    <t>B2</t>
  </si>
  <si>
    <t>Dist. Amp. 1x9</t>
  </si>
  <si>
    <t>B.7</t>
  </si>
  <si>
    <t>Mon 1</t>
  </si>
  <si>
    <t>Intensity</t>
  </si>
  <si>
    <t>HDMI Out</t>
  </si>
  <si>
    <t>HDMI In</t>
  </si>
  <si>
    <t>SDI 7</t>
  </si>
  <si>
    <t>SDI 8</t>
  </si>
  <si>
    <t>AIRE In</t>
  </si>
  <si>
    <t>PGM 1</t>
  </si>
  <si>
    <t>B3</t>
  </si>
  <si>
    <t>PGM 2</t>
  </si>
  <si>
    <t>B4</t>
  </si>
  <si>
    <t>PGM 3</t>
  </si>
  <si>
    <t>AIRE Out 1</t>
  </si>
  <si>
    <t>AIRE Out 2</t>
  </si>
  <si>
    <t>A3</t>
  </si>
  <si>
    <t>D.8</t>
  </si>
  <si>
    <t>BM SDI to HDMI</t>
  </si>
  <si>
    <t>OF JVC 1</t>
  </si>
  <si>
    <t>OF I/O</t>
  </si>
  <si>
    <t>OF JVC 2</t>
  </si>
  <si>
    <t>OF JVC 3</t>
  </si>
  <si>
    <t>OF IKE 4</t>
  </si>
  <si>
    <t>OF IKE 5</t>
  </si>
  <si>
    <t>Ext.2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</si>
  <si>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</si>
  <si>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</si>
  <si>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</si>
  <si>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</si>
  <si>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</si>
  <si>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</si>
  <si>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</si>
  <si>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</si>
  <si>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</si>
  <si>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</si>
  <si>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</si>
  <si>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</si>
  <si>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</si>
  <si>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</si>
  <si>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</si>
  <si>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</si>
  <si>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</si>
  <si>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</si>
  <si>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</si>
  <si>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Audio Dist.</t>
  </si>
  <si>
    <t>XLR Orden 1</t>
  </si>
  <si>
    <t>XLR Orden 2</t>
  </si>
  <si>
    <t>XLR Orden 3</t>
  </si>
  <si>
    <t>XLR Orden 4</t>
  </si>
  <si>
    <t>Embedder</t>
  </si>
  <si>
    <t>Audio In 1</t>
  </si>
  <si>
    <t>Audio In 2</t>
  </si>
  <si>
    <t>PGM L</t>
  </si>
  <si>
    <t>PGM R</t>
  </si>
  <si>
    <t>Audio In 3</t>
  </si>
  <si>
    <t>Sub 1</t>
  </si>
  <si>
    <t>Audio In 4</t>
  </si>
  <si>
    <t>CG</t>
  </si>
  <si>
    <t>PGM Sin CG</t>
  </si>
  <si>
    <t>Sub 3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</si>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</sst>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7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Video</v>
      </c>
      <c r="J2" s="6">
        <v>2.0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Video</v>
      </c>
      <c r="J3" s="6">
        <v>2.0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Video</v>
      </c>
      <c r="J4" s="6">
        <v>2.0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Video</v>
      </c>
      <c r="J5" s="6">
        <v>2.0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33</v>
      </c>
      <c r="I10" s="5" t="str">
        <f>IF(H10="","",VLOOKUP(H10,DB!A:B,2,0))</f>
        <v/>
      </c>
      <c r="J10" s="5"/>
      <c r="K10" s="5"/>
      <c r="L10" s="5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43</v>
      </c>
      <c r="F11" s="6" t="s">
        <v>17</v>
      </c>
      <c r="G11" s="6" t="s">
        <v>44</v>
      </c>
      <c r="H11" s="6" t="s">
        <v>45</v>
      </c>
      <c r="I11" s="5" t="str">
        <f>IF(H11="","",VLOOKUP(H11,DB!A:B,2,0))</f>
        <v>Miranda Densite3</v>
      </c>
      <c r="J11" s="6">
        <v>7.0</v>
      </c>
      <c r="K11" s="6" t="s">
        <v>46</v>
      </c>
      <c r="L11" s="6" t="s">
        <v>47</v>
      </c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48</v>
      </c>
      <c r="F12" s="6" t="s">
        <v>17</v>
      </c>
      <c r="G12" s="6" t="s">
        <v>49</v>
      </c>
      <c r="H12" s="6" t="s">
        <v>45</v>
      </c>
      <c r="I12" s="5" t="str">
        <f>IF(H12="","",VLOOKUP(H12,DB!A:B,2,0))</f>
        <v>Miranda Densite3</v>
      </c>
      <c r="J12" s="6">
        <v>8.0</v>
      </c>
      <c r="K12" s="6" t="s">
        <v>46</v>
      </c>
      <c r="L12" s="6" t="s">
        <v>50</v>
      </c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51</v>
      </c>
      <c r="F13" s="6" t="s">
        <v>17</v>
      </c>
      <c r="G13" s="6" t="s">
        <v>52</v>
      </c>
      <c r="H13" s="6" t="s">
        <v>45</v>
      </c>
      <c r="I13" s="5" t="str">
        <f>IF(H13="","",VLOOKUP(H13,DB!A:B,2,0))</f>
        <v>Miranda Densite3</v>
      </c>
      <c r="J13" s="6">
        <v>8.0</v>
      </c>
      <c r="K13" s="6" t="s">
        <v>46</v>
      </c>
      <c r="L13" s="6" t="s">
        <v>47</v>
      </c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53</v>
      </c>
      <c r="F14" s="6" t="s">
        <v>17</v>
      </c>
      <c r="G14" s="6" t="s">
        <v>54</v>
      </c>
      <c r="H14" s="6" t="s">
        <v>55</v>
      </c>
      <c r="I14" s="5" t="str">
        <f>IF(H14="","",VLOOKUP(H14,DB!A:B,2,0))</f>
        <v>Ikegami BS-80 4</v>
      </c>
      <c r="J14" s="5"/>
      <c r="K14" s="5"/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57</v>
      </c>
      <c r="F15" s="6" t="s">
        <v>17</v>
      </c>
      <c r="G15" s="6" t="s">
        <v>58</v>
      </c>
      <c r="H15" s="6" t="s">
        <v>59</v>
      </c>
      <c r="I15" s="5" t="str">
        <f>IF(H15="","",VLOOKUP(H15,DB!A:B,2,0))</f>
        <v>Ikegami BS-80 5</v>
      </c>
      <c r="J15" s="5"/>
      <c r="K15" s="5"/>
      <c r="L15" s="6" t="s">
        <v>56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60</v>
      </c>
      <c r="F16" s="6" t="s">
        <v>17</v>
      </c>
      <c r="G16" s="6" t="s">
        <v>61</v>
      </c>
      <c r="H16" s="6" t="s">
        <v>36</v>
      </c>
      <c r="I16" s="5" t="str">
        <f>IF(H16="","",VLOOKUP(H16,DB!A:B,2,0))</f>
        <v>ATEM 1 Production Studio</v>
      </c>
      <c r="J16" s="5"/>
      <c r="K16" s="5"/>
      <c r="L16" s="6" t="s">
        <v>44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Patch panel</v>
      </c>
      <c r="C17" s="5"/>
      <c r="D17" s="5"/>
      <c r="E17" s="6" t="s">
        <v>62</v>
      </c>
      <c r="F17" s="6" t="s">
        <v>17</v>
      </c>
      <c r="G17" s="6" t="s">
        <v>63</v>
      </c>
      <c r="H17" s="6" t="s">
        <v>64</v>
      </c>
      <c r="I17" s="5" t="str">
        <f>IF(H17="","",VLOOKUP(H17,DB!A:B,2,0))</f>
        <v>Blackmagic HyperDeck Studio Pro</v>
      </c>
      <c r="J17" s="5"/>
      <c r="K17" s="5"/>
      <c r="L17" s="6" t="s">
        <v>47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Patch panel</v>
      </c>
      <c r="C18" s="5"/>
      <c r="D18" s="5"/>
      <c r="E18" s="6" t="s">
        <v>65</v>
      </c>
      <c r="F18" s="6" t="s">
        <v>17</v>
      </c>
      <c r="G18" s="6" t="s">
        <v>66</v>
      </c>
      <c r="H18" s="6" t="s">
        <v>33</v>
      </c>
      <c r="I18" s="5" t="str">
        <f>IF(H18="","",VLOOKUP(H18,DB!A:B,2,0))</f>
        <v/>
      </c>
      <c r="J18" s="5"/>
      <c r="K18" s="5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Patch panel</v>
      </c>
      <c r="C19" s="5"/>
      <c r="D19" s="5"/>
      <c r="E19" s="6" t="s">
        <v>67</v>
      </c>
      <c r="F19" s="6" t="s">
        <v>17</v>
      </c>
      <c r="G19" s="6" t="s">
        <v>68</v>
      </c>
      <c r="H19" s="6" t="s">
        <v>69</v>
      </c>
      <c r="I19" s="5" t="str">
        <f>IF(H19="","",VLOOKUP(H19,DB!A:B,2,0))</f>
        <v>Patchera Externa Video</v>
      </c>
      <c r="J19" s="5"/>
      <c r="K19" s="5"/>
      <c r="L19" s="6" t="s">
        <v>70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55</v>
      </c>
      <c r="B20" s="6" t="str">
        <f>IF(A20="","",VLOOKUP(A20,DB!A:B,2,0))</f>
        <v>Ikegami BS-80 4</v>
      </c>
      <c r="C20" s="5"/>
      <c r="D20" s="5"/>
      <c r="E20" s="6" t="s">
        <v>71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18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59</v>
      </c>
      <c r="B21" s="6" t="str">
        <f>IF(A21="","",VLOOKUP(A21,DB!A:B,2,0))</f>
        <v>Ikegami BS-80 5</v>
      </c>
      <c r="C21" s="5"/>
      <c r="D21" s="5"/>
      <c r="E21" s="6" t="s">
        <v>71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23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72</v>
      </c>
      <c r="B22" s="6" t="str">
        <f>IF(A22="","",VLOOKUP(A22,DB!A:B,2,0))</f>
        <v>Telecast CopperHead ProHD 1</v>
      </c>
      <c r="C22" s="5"/>
      <c r="D22" s="5"/>
      <c r="E22" s="6" t="s">
        <v>73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26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74</v>
      </c>
      <c r="B23" s="6" t="str">
        <f>IF(A23="","",VLOOKUP(A23,DB!A:B,2,0))</f>
        <v>Telecast CopperHead ProHD 2</v>
      </c>
      <c r="C23" s="5"/>
      <c r="D23" s="5"/>
      <c r="E23" s="6" t="s">
        <v>73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29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75</v>
      </c>
      <c r="B24" s="6" t="str">
        <f>IF(A24="","",VLOOKUP(A24,DB!A:B,2,0))</f>
        <v>Telecast CopperHead ProHD 3</v>
      </c>
      <c r="C24" s="5"/>
      <c r="D24" s="5"/>
      <c r="E24" s="6" t="s">
        <v>73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32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76</v>
      </c>
      <c r="B25" s="6" t="str">
        <f>IF(A25="","",VLOOKUP(A25,DB!A:B,2,0))</f>
        <v>Miranda Densite3</v>
      </c>
      <c r="C25" s="6">
        <v>5.0</v>
      </c>
      <c r="D25" s="6" t="s">
        <v>77</v>
      </c>
      <c r="E25" s="6" t="s">
        <v>78</v>
      </c>
      <c r="F25" s="6" t="s">
        <v>17</v>
      </c>
      <c r="G25" s="6" t="s">
        <v>79</v>
      </c>
      <c r="H25" s="6" t="s">
        <v>15</v>
      </c>
      <c r="I25" s="5" t="str">
        <f>IF(H25="","",VLOOKUP(H25,DB!A:B,2,0))</f>
        <v>Patch panel</v>
      </c>
      <c r="J25" s="5"/>
      <c r="K25" s="5"/>
      <c r="L25" s="6" t="s">
        <v>35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76</v>
      </c>
      <c r="B26" s="6" t="str">
        <f>IF(A26="","",VLOOKUP(A26,DB!A:B,2,0))</f>
        <v>Miranda Densite3</v>
      </c>
      <c r="C26" s="6">
        <v>6.0</v>
      </c>
      <c r="D26" s="6" t="s">
        <v>77</v>
      </c>
      <c r="E26" s="6" t="s">
        <v>78</v>
      </c>
      <c r="F26" s="6" t="s">
        <v>17</v>
      </c>
      <c r="G26" s="6" t="s">
        <v>79</v>
      </c>
      <c r="H26" s="6" t="s">
        <v>15</v>
      </c>
      <c r="I26" s="5" t="str">
        <f>IF(H26="","",VLOOKUP(H26,DB!A:B,2,0))</f>
        <v>Patch panel</v>
      </c>
      <c r="J26" s="5"/>
      <c r="K26" s="5"/>
      <c r="L26" s="6" t="s">
        <v>37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76</v>
      </c>
      <c r="B27" s="6" t="str">
        <f>IF(A27="","",VLOOKUP(A27,DB!A:B,2,0))</f>
        <v>Miranda Densite3</v>
      </c>
      <c r="C27" s="6">
        <v>5.0</v>
      </c>
      <c r="D27" s="6" t="s">
        <v>77</v>
      </c>
      <c r="E27" s="6" t="s">
        <v>80</v>
      </c>
      <c r="F27" s="6" t="s">
        <v>17</v>
      </c>
      <c r="G27" s="6" t="s">
        <v>79</v>
      </c>
      <c r="H27" s="6" t="s">
        <v>81</v>
      </c>
      <c r="I27" s="5" t="str">
        <f>IF(H27="","",VLOOKUP(H27,DB!A:B,2,0))</f>
        <v>Yamaha MG166</v>
      </c>
      <c r="J27" s="5"/>
      <c r="K27" s="5"/>
      <c r="L27" s="6" t="s">
        <v>82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76</v>
      </c>
      <c r="B28" s="6" t="str">
        <f>IF(A28="","",VLOOKUP(A28,DB!A:B,2,0))</f>
        <v>Miranda Densite3</v>
      </c>
      <c r="C28" s="6">
        <v>5.0</v>
      </c>
      <c r="D28" s="6" t="s">
        <v>77</v>
      </c>
      <c r="E28" s="6" t="s">
        <v>83</v>
      </c>
      <c r="F28" s="6" t="s">
        <v>17</v>
      </c>
      <c r="G28" s="6" t="s">
        <v>79</v>
      </c>
      <c r="H28" s="6" t="s">
        <v>81</v>
      </c>
      <c r="I28" s="5" t="str">
        <f>IF(H28="","",VLOOKUP(H28,DB!A:B,2,0))</f>
        <v>Yamaha MG166</v>
      </c>
      <c r="J28" s="5"/>
      <c r="K28" s="5"/>
      <c r="L28" s="6" t="s">
        <v>84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76</v>
      </c>
      <c r="B29" s="6" t="str">
        <f>IF(A29="","",VLOOKUP(A29,DB!A:B,2,0))</f>
        <v>Miranda Densite3</v>
      </c>
      <c r="C29" s="6">
        <v>6.0</v>
      </c>
      <c r="D29" s="6" t="s">
        <v>77</v>
      </c>
      <c r="E29" s="6" t="s">
        <v>80</v>
      </c>
      <c r="F29" s="6" t="s">
        <v>17</v>
      </c>
      <c r="G29" s="6" t="s">
        <v>79</v>
      </c>
      <c r="H29" s="6" t="s">
        <v>81</v>
      </c>
      <c r="I29" s="5" t="str">
        <f>IF(H29="","",VLOOKUP(H29,DB!A:B,2,0))</f>
        <v>Yamaha MG166</v>
      </c>
      <c r="J29" s="5"/>
      <c r="K29" s="5"/>
      <c r="L29" s="6" t="s">
        <v>85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76</v>
      </c>
      <c r="B30" s="6" t="str">
        <f>IF(A30="","",VLOOKUP(A30,DB!A:B,2,0))</f>
        <v>Miranda Densite3</v>
      </c>
      <c r="C30" s="6">
        <v>6.0</v>
      </c>
      <c r="D30" s="6" t="s">
        <v>77</v>
      </c>
      <c r="E30" s="6" t="s">
        <v>83</v>
      </c>
      <c r="F30" s="6" t="s">
        <v>17</v>
      </c>
      <c r="G30" s="6" t="s">
        <v>79</v>
      </c>
      <c r="H30" s="6" t="s">
        <v>81</v>
      </c>
      <c r="I30" s="5" t="str">
        <f>IF(H30="","",VLOOKUP(H30,DB!A:B,2,0))</f>
        <v>Yamaha MG166</v>
      </c>
      <c r="J30" s="5"/>
      <c r="K30" s="5"/>
      <c r="L30" s="6" t="s">
        <v>86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69</v>
      </c>
      <c r="B31" s="6" t="str">
        <f>IF(A31="","",VLOOKUP(A31,DB!A:B,2,0))</f>
        <v>Patchera Externa Video</v>
      </c>
      <c r="C31" s="5"/>
      <c r="D31" s="5"/>
      <c r="E31" s="6" t="s">
        <v>87</v>
      </c>
      <c r="F31" s="5"/>
      <c r="G31" s="5"/>
      <c r="H31" s="6" t="s">
        <v>15</v>
      </c>
      <c r="I31" s="5" t="str">
        <f>IF(H31="","",VLOOKUP(H31,DB!A:B,2,0))</f>
        <v>Patch panel</v>
      </c>
      <c r="J31" s="5"/>
      <c r="K31" s="5"/>
      <c r="L31" s="6" t="s">
        <v>39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33</v>
      </c>
      <c r="B32" s="6" t="str">
        <f>IF(A32="","",VLOOKUP(A32,DB!A:B,2,0))</f>
        <v/>
      </c>
      <c r="C32" s="5"/>
      <c r="D32" s="5"/>
      <c r="E32" s="5"/>
      <c r="F32" s="5"/>
      <c r="G32" s="5"/>
      <c r="H32" s="6" t="s">
        <v>15</v>
      </c>
      <c r="I32" s="5" t="str">
        <f>IF(H32="","",VLOOKUP(H32,DB!A:B,2,0))</f>
        <v>Patch panel</v>
      </c>
      <c r="J32" s="5"/>
      <c r="K32" s="5"/>
      <c r="L32" s="6" t="s">
        <v>41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36</v>
      </c>
      <c r="B33" s="6" t="str">
        <f>IF(A33="","",VLOOKUP(A33,DB!A:B,2,0))</f>
        <v>ATEM 1 Production Studio</v>
      </c>
      <c r="C33" s="5"/>
      <c r="D33" s="5"/>
      <c r="E33" s="6" t="s">
        <v>88</v>
      </c>
      <c r="F33" s="5"/>
      <c r="G33" s="5"/>
      <c r="H33" s="6" t="s">
        <v>15</v>
      </c>
      <c r="I33" s="5" t="str">
        <f>IF(H33="","",VLOOKUP(H33,DB!A:B,2,0))</f>
        <v>Patch panel</v>
      </c>
      <c r="J33" s="5"/>
      <c r="K33" s="5"/>
      <c r="L33" s="6" t="s">
        <v>44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36</v>
      </c>
      <c r="B34" s="6" t="str">
        <f>IF(A34="","",VLOOKUP(A34,DB!A:B,2,0))</f>
        <v>ATEM 1 Production Studio</v>
      </c>
      <c r="C34" s="5"/>
      <c r="D34" s="5"/>
      <c r="E34" s="6" t="s">
        <v>89</v>
      </c>
      <c r="F34" s="5"/>
      <c r="G34" s="5"/>
      <c r="H34" s="6" t="s">
        <v>15</v>
      </c>
      <c r="I34" s="5" t="str">
        <f>IF(H34="","",VLOOKUP(H34,DB!A:B,2,0))</f>
        <v>Patch panel</v>
      </c>
      <c r="J34" s="5"/>
      <c r="K34" s="5"/>
      <c r="L34" s="6" t="s">
        <v>49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36</v>
      </c>
      <c r="B35" s="6" t="str">
        <f>IF(A35="","",VLOOKUP(A35,DB!A:B,2,0))</f>
        <v>ATEM 1 Production Studio</v>
      </c>
      <c r="C35" s="5"/>
      <c r="D35" s="5"/>
      <c r="E35" s="6" t="s">
        <v>90</v>
      </c>
      <c r="F35" s="5"/>
      <c r="G35" s="5"/>
      <c r="H35" s="6" t="s">
        <v>15</v>
      </c>
      <c r="I35" s="5" t="str">
        <f>IF(H35="","",VLOOKUP(H35,DB!A:B,2,0))</f>
        <v>Patch panel</v>
      </c>
      <c r="J35" s="5"/>
      <c r="K35" s="5"/>
      <c r="L35" s="6" t="s">
        <v>52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33</v>
      </c>
      <c r="B36" s="6" t="str">
        <f>IF(A36="","",VLOOKUP(A36,DB!A:B,2,0))</f>
        <v/>
      </c>
      <c r="C36" s="6"/>
      <c r="D36" s="6"/>
      <c r="E36" s="6"/>
      <c r="F36" s="5"/>
      <c r="G36" s="5"/>
      <c r="H36" s="6" t="s">
        <v>15</v>
      </c>
      <c r="I36" s="5" t="str">
        <f>IF(H36="","",VLOOKUP(H36,DB!A:B,2,0))</f>
        <v>Patch panel</v>
      </c>
      <c r="J36" s="5"/>
      <c r="K36" s="5"/>
      <c r="L36" s="6" t="s">
        <v>54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33</v>
      </c>
      <c r="B37" s="6" t="str">
        <f>IF(A37="","",VLOOKUP(A37,DB!A:B,2,0))</f>
        <v/>
      </c>
      <c r="C37" s="6"/>
      <c r="D37" s="6"/>
      <c r="E37" s="6"/>
      <c r="F37" s="5"/>
      <c r="G37" s="5"/>
      <c r="H37" s="6" t="s">
        <v>15</v>
      </c>
      <c r="I37" s="5" t="str">
        <f>IF(H37="","",VLOOKUP(H37,DB!A:B,2,0))</f>
        <v>Patch panel</v>
      </c>
      <c r="J37" s="5"/>
      <c r="K37" s="5"/>
      <c r="L37" s="6" t="s">
        <v>58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91</v>
      </c>
      <c r="B38" s="6" t="str">
        <f>IF(A38="","",VLOOKUP(A38,DB!A:B,2,0))</f>
        <v>PC CG</v>
      </c>
      <c r="C38" s="6">
        <v>1.0</v>
      </c>
      <c r="D38" s="6" t="s">
        <v>20</v>
      </c>
      <c r="E38" s="6" t="s">
        <v>21</v>
      </c>
      <c r="F38" s="5"/>
      <c r="G38" s="5"/>
      <c r="H38" s="6" t="s">
        <v>15</v>
      </c>
      <c r="I38" s="5" t="str">
        <f>IF(H38="","",VLOOKUP(H38,DB!A:B,2,0))</f>
        <v>Patch panel</v>
      </c>
      <c r="J38" s="5"/>
      <c r="K38" s="5"/>
      <c r="L38" s="6" t="s">
        <v>61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92</v>
      </c>
      <c r="B39" s="6" t="str">
        <f>IF(A39="","",VLOOKUP(A39,DB!A:B,2,0))</f>
        <v>Blackmagic SmartScope Duo</v>
      </c>
      <c r="C39" s="5"/>
      <c r="D39" s="5"/>
      <c r="E39" s="6" t="s">
        <v>71</v>
      </c>
      <c r="F39" s="6" t="s">
        <v>17</v>
      </c>
      <c r="G39" s="6" t="s">
        <v>93</v>
      </c>
      <c r="H39" s="6" t="s">
        <v>15</v>
      </c>
      <c r="I39" s="5" t="str">
        <f>IF(H39="","",VLOOKUP(H39,DB!A:B,2,0))</f>
        <v>Patch panel</v>
      </c>
      <c r="J39" s="5"/>
      <c r="K39" s="5"/>
      <c r="L39" s="6" t="s">
        <v>63</v>
      </c>
      <c r="M39" s="5"/>
      <c r="N39" s="6" t="s">
        <v>94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64</v>
      </c>
      <c r="B40" s="6" t="str">
        <f>IF(A40="","",VLOOKUP(A40,DB!A:B,2,0))</f>
        <v>Blackmagic HyperDeck Studio Pro</v>
      </c>
      <c r="C40" s="6"/>
      <c r="D40" s="6"/>
      <c r="E40" s="6" t="s">
        <v>95</v>
      </c>
      <c r="F40" s="5"/>
      <c r="G40" s="5"/>
      <c r="H40" s="6" t="s">
        <v>15</v>
      </c>
      <c r="I40" s="5" t="str">
        <f>IF(H40="","",VLOOKUP(H40,DB!A:B,2,0))</f>
        <v>Patch panel</v>
      </c>
      <c r="J40" s="5"/>
      <c r="K40" s="5"/>
      <c r="L40" s="6" t="s">
        <v>66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33</v>
      </c>
      <c r="B41" s="6" t="str">
        <f>IF(A41="","",VLOOKUP(A41,DB!A:B,2,0))</f>
        <v/>
      </c>
      <c r="C41" s="6"/>
      <c r="D41" s="6"/>
      <c r="E41" s="6"/>
      <c r="F41" s="5"/>
      <c r="G41" s="5"/>
      <c r="H41" s="6" t="s">
        <v>15</v>
      </c>
      <c r="I41" s="5" t="str">
        <f>IF(H41="","",VLOOKUP(H41,DB!A:B,2,0))</f>
        <v>Patch panel</v>
      </c>
      <c r="J41" s="5"/>
      <c r="K41" s="5"/>
      <c r="L41" s="6" t="s">
        <v>68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72</v>
      </c>
      <c r="B42" s="6" t="str">
        <f>IF(A42="","",VLOOKUP(A42,DB!A:B,2,0))</f>
        <v>Telecast CopperHead ProHD 1</v>
      </c>
      <c r="C42" s="5"/>
      <c r="D42" s="5"/>
      <c r="E42" s="6" t="s">
        <v>71</v>
      </c>
      <c r="F42" s="5"/>
      <c r="G42" s="5"/>
      <c r="H42" s="6" t="s">
        <v>36</v>
      </c>
      <c r="I42" s="5" t="str">
        <f>IF(H42="","",VLOOKUP(H42,DB!A:B,2,0))</f>
        <v>ATEM 1 Production Studio</v>
      </c>
      <c r="J42" s="5"/>
      <c r="K42" s="5"/>
      <c r="L42" s="6" t="s">
        <v>96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74</v>
      </c>
      <c r="B43" s="6" t="str">
        <f>IF(A43="","",VLOOKUP(A43,DB!A:B,2,0))</f>
        <v>Telecast CopperHead ProHD 2</v>
      </c>
      <c r="C43" s="5"/>
      <c r="D43" s="5"/>
      <c r="E43" s="6" t="s">
        <v>71</v>
      </c>
      <c r="F43" s="5"/>
      <c r="G43" s="5"/>
      <c r="H43" s="6" t="s">
        <v>36</v>
      </c>
      <c r="I43" s="5" t="str">
        <f>IF(H43="","",VLOOKUP(H43,DB!A:B,2,0))</f>
        <v>ATEM 1 Production Studio</v>
      </c>
      <c r="J43" s="5"/>
      <c r="K43" s="5"/>
      <c r="L43" s="6" t="s">
        <v>97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75</v>
      </c>
      <c r="B44" s="6" t="str">
        <f>IF(A44="","",VLOOKUP(A44,DB!A:B,2,0))</f>
        <v>Telecast CopperHead ProHD 3</v>
      </c>
      <c r="C44" s="5"/>
      <c r="D44" s="5"/>
      <c r="E44" s="6" t="s">
        <v>71</v>
      </c>
      <c r="F44" s="5"/>
      <c r="G44" s="5"/>
      <c r="H44" s="6" t="s">
        <v>36</v>
      </c>
      <c r="I44" s="5" t="str">
        <f>IF(H44="","",VLOOKUP(H44,DB!A:B,2,0))</f>
        <v>ATEM 1 Production Studio</v>
      </c>
      <c r="J44" s="5"/>
      <c r="K44" s="5"/>
      <c r="L44" s="6" t="s">
        <v>98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55</v>
      </c>
      <c r="B45" s="6" t="str">
        <f>IF(A45="","",VLOOKUP(A45,DB!A:B,2,0))</f>
        <v>Ikegami BS-80 4</v>
      </c>
      <c r="C45" s="5"/>
      <c r="D45" s="5"/>
      <c r="E45" s="6" t="s">
        <v>73</v>
      </c>
      <c r="F45" s="5"/>
      <c r="G45" s="5"/>
      <c r="H45" s="6" t="s">
        <v>36</v>
      </c>
      <c r="I45" s="5" t="str">
        <f>IF(H45="","",VLOOKUP(H45,DB!A:B,2,0))</f>
        <v>ATEM 1 Production Studio</v>
      </c>
      <c r="J45" s="5"/>
      <c r="K45" s="5"/>
      <c r="L45" s="6" t="s">
        <v>99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59</v>
      </c>
      <c r="B46" s="6" t="str">
        <f>IF(A46="","",VLOOKUP(A46,DB!A:B,2,0))</f>
        <v>Ikegami BS-80 5</v>
      </c>
      <c r="C46" s="5"/>
      <c r="D46" s="5"/>
      <c r="E46" s="6" t="s">
        <v>73</v>
      </c>
      <c r="F46" s="5"/>
      <c r="G46" s="5"/>
      <c r="H46" s="6" t="s">
        <v>36</v>
      </c>
      <c r="I46" s="5" t="str">
        <f>IF(H46="","",VLOOKUP(H46,DB!A:B,2,0))</f>
        <v>ATEM 1 Production Studio</v>
      </c>
      <c r="J46" s="5"/>
      <c r="K46" s="5"/>
      <c r="L46" s="6" t="s">
        <v>100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45</v>
      </c>
      <c r="B47" s="6" t="str">
        <f>IF(A47="","",VLOOKUP(A47,DB!A:B,2,0))</f>
        <v>Miranda Densite3</v>
      </c>
      <c r="C47" s="6">
        <v>7.0</v>
      </c>
      <c r="D47" s="6" t="s">
        <v>46</v>
      </c>
      <c r="E47" s="6" t="s">
        <v>101</v>
      </c>
      <c r="F47" s="6" t="s">
        <v>17</v>
      </c>
      <c r="G47" s="6" t="s">
        <v>47</v>
      </c>
      <c r="H47" s="6" t="s">
        <v>55</v>
      </c>
      <c r="I47" s="5" t="str">
        <f>IF(H47="","",VLOOKUP(H47,DB!A:B,2,0))</f>
        <v>Ikegami BS-80 4</v>
      </c>
      <c r="J47" s="5"/>
      <c r="K47" s="5"/>
      <c r="L47" s="6" t="s">
        <v>102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45</v>
      </c>
      <c r="B48" s="6" t="str">
        <f>IF(A48="","",VLOOKUP(A48,DB!A:B,2,0))</f>
        <v>Miranda Densite3</v>
      </c>
      <c r="C48" s="6">
        <v>8.0</v>
      </c>
      <c r="D48" s="6" t="s">
        <v>46</v>
      </c>
      <c r="E48" s="6" t="s">
        <v>103</v>
      </c>
      <c r="F48" s="6" t="s">
        <v>17</v>
      </c>
      <c r="G48" s="6" t="s">
        <v>50</v>
      </c>
      <c r="H48" s="6" t="s">
        <v>59</v>
      </c>
      <c r="I48" s="5" t="str">
        <f>IF(H48="","",VLOOKUP(H48,DB!A:B,2,0))</f>
        <v>Ikegami BS-80 5</v>
      </c>
      <c r="J48" s="5"/>
      <c r="K48" s="5"/>
      <c r="L48" s="6" t="s">
        <v>102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45</v>
      </c>
      <c r="B49" s="6" t="str">
        <f>IF(A49="","",VLOOKUP(A49,DB!A:B,2,0))</f>
        <v>Miranda Densite3</v>
      </c>
      <c r="C49" s="6">
        <v>7.0</v>
      </c>
      <c r="D49" s="6" t="s">
        <v>46</v>
      </c>
      <c r="E49" s="6" t="s">
        <v>104</v>
      </c>
      <c r="F49" s="6" t="s">
        <v>17</v>
      </c>
      <c r="G49" s="6" t="s">
        <v>47</v>
      </c>
      <c r="H49" s="6" t="s">
        <v>72</v>
      </c>
      <c r="I49" s="5" t="str">
        <f>IF(H49="","",VLOOKUP(H49,DB!A:B,2,0))</f>
        <v>Telecast CopperHead ProHD 1</v>
      </c>
      <c r="J49" s="5"/>
      <c r="K49" s="5"/>
      <c r="L49" s="6" t="s">
        <v>79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45</v>
      </c>
      <c r="B50" s="6" t="str">
        <f>IF(A50="","",VLOOKUP(A50,DB!A:B,2,0))</f>
        <v>Miranda Densite3</v>
      </c>
      <c r="C50" s="6">
        <v>8.0</v>
      </c>
      <c r="D50" s="6" t="s">
        <v>46</v>
      </c>
      <c r="E50" s="6" t="s">
        <v>105</v>
      </c>
      <c r="F50" s="6" t="s">
        <v>17</v>
      </c>
      <c r="G50" s="6" t="s">
        <v>50</v>
      </c>
      <c r="H50" s="6" t="s">
        <v>74</v>
      </c>
      <c r="I50" s="5" t="str">
        <f>IF(H50="","",VLOOKUP(H50,DB!A:B,2,0))</f>
        <v>Telecast CopperHead ProHD 2</v>
      </c>
      <c r="J50" s="5"/>
      <c r="K50" s="5"/>
      <c r="L50" s="6" t="s">
        <v>79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45</v>
      </c>
      <c r="B51" s="6" t="str">
        <f>IF(A51="","",VLOOKUP(A51,DB!A:B,2,0))</f>
        <v>Miranda Densite3</v>
      </c>
      <c r="C51" s="6">
        <v>8.0</v>
      </c>
      <c r="D51" s="6" t="s">
        <v>46</v>
      </c>
      <c r="E51" s="6" t="s">
        <v>101</v>
      </c>
      <c r="F51" s="6" t="s">
        <v>17</v>
      </c>
      <c r="G51" s="6" t="s">
        <v>47</v>
      </c>
      <c r="H51" s="6" t="s">
        <v>75</v>
      </c>
      <c r="I51" s="5" t="str">
        <f>IF(H51="","",VLOOKUP(H51,DB!A:B,2,0))</f>
        <v>Telecast CopperHead ProHD 3</v>
      </c>
      <c r="J51" s="5"/>
      <c r="K51" s="5"/>
      <c r="L51" s="6" t="s">
        <v>79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45</v>
      </c>
      <c r="B52" s="6" t="str">
        <f>IF(A52="","",VLOOKUP(A52,DB!A:B,2,0))</f>
        <v>Miranda Densite3</v>
      </c>
      <c r="C52" s="6">
        <v>5.0</v>
      </c>
      <c r="D52" s="6" t="s">
        <v>106</v>
      </c>
      <c r="E52" s="6" t="s">
        <v>101</v>
      </c>
      <c r="F52" s="6" t="s">
        <v>17</v>
      </c>
      <c r="G52" s="6" t="s">
        <v>47</v>
      </c>
      <c r="H52" s="6" t="s">
        <v>107</v>
      </c>
      <c r="I52" s="5" t="str">
        <f>IF(H52="","",VLOOKUP(H52,DB!A:B,2,0))</f>
        <v>Blackmagic SmartView Duo</v>
      </c>
      <c r="J52" s="5"/>
      <c r="K52" s="5"/>
      <c r="L52" s="6" t="s">
        <v>93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107</v>
      </c>
      <c r="B53" s="6" t="str">
        <f>IF(A53="","",VLOOKUP(A53,DB!A:B,2,0))</f>
        <v>Blackmagic SmartView Duo</v>
      </c>
      <c r="C53" s="5"/>
      <c r="D53" s="5"/>
      <c r="E53" s="6" t="s">
        <v>71</v>
      </c>
      <c r="F53" s="6" t="s">
        <v>17</v>
      </c>
      <c r="G53" s="6" t="s">
        <v>93</v>
      </c>
      <c r="H53" s="6" t="s">
        <v>92</v>
      </c>
      <c r="I53" s="5" t="str">
        <f>IF(H53="","",VLOOKUP(H53,DB!A:B,2,0))</f>
        <v>Blackmagic SmartScope Duo</v>
      </c>
      <c r="J53" s="5"/>
      <c r="K53" s="5"/>
      <c r="L53" s="6" t="s">
        <v>108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92</v>
      </c>
      <c r="B54" s="6" t="str">
        <f>IF(A54="","",VLOOKUP(A54,DB!A:B,2,0))</f>
        <v>Blackmagic SmartScope Duo</v>
      </c>
      <c r="C54" s="5"/>
      <c r="D54" s="5"/>
      <c r="E54" s="6" t="s">
        <v>73</v>
      </c>
      <c r="F54" s="6" t="s">
        <v>17</v>
      </c>
      <c r="G54" s="6" t="s">
        <v>108</v>
      </c>
      <c r="H54" s="6" t="s">
        <v>92</v>
      </c>
      <c r="I54" s="5" t="str">
        <f>IF(H54="","",VLOOKUP(H54,DB!A:B,2,0))</f>
        <v>Blackmagic SmartScope Duo</v>
      </c>
      <c r="J54" s="5"/>
      <c r="K54" s="5"/>
      <c r="L54" s="6" t="s">
        <v>93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19</v>
      </c>
      <c r="B55" s="6" t="str">
        <f>IF(A55="","",VLOOKUP(A55,DB!A:B,2,0))</f>
        <v>PC Video</v>
      </c>
      <c r="C55" s="6">
        <v>1.0</v>
      </c>
      <c r="D55" s="6" t="s">
        <v>109</v>
      </c>
      <c r="E55" s="6" t="s">
        <v>110</v>
      </c>
      <c r="F55" s="5"/>
      <c r="G55" s="5"/>
      <c r="H55" s="6" t="s">
        <v>36</v>
      </c>
      <c r="I55" s="5" t="str">
        <f>IF(H55="","",VLOOKUP(H55,DB!A:B,2,0))</f>
        <v>ATEM 1 Production Studio</v>
      </c>
      <c r="J55" s="5"/>
      <c r="K55" s="5"/>
      <c r="L55" s="6" t="s">
        <v>111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69</v>
      </c>
      <c r="B56" s="6" t="str">
        <f>IF(A56="","",VLOOKUP(A56,DB!A:B,2,0))</f>
        <v>Patchera Externa Video</v>
      </c>
      <c r="C56" s="5"/>
      <c r="D56" s="5"/>
      <c r="E56" s="6" t="s">
        <v>112</v>
      </c>
      <c r="F56" s="5"/>
      <c r="G56" s="5"/>
      <c r="H56" s="6" t="s">
        <v>76</v>
      </c>
      <c r="I56" s="5" t="str">
        <f>IF(H56="","",VLOOKUP(H56,DB!A:B,2,0))</f>
        <v>Miranda Densite3</v>
      </c>
      <c r="J56" s="6">
        <v>5.0</v>
      </c>
      <c r="K56" s="6" t="s">
        <v>77</v>
      </c>
      <c r="L56" s="6" t="s">
        <v>79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69</v>
      </c>
      <c r="B57" s="6" t="str">
        <f>IF(A57="","",VLOOKUP(A57,DB!A:B,2,0))</f>
        <v>Patchera Externa Video</v>
      </c>
      <c r="C57" s="5"/>
      <c r="D57" s="5"/>
      <c r="E57" s="6" t="s">
        <v>113</v>
      </c>
      <c r="F57" s="5"/>
      <c r="G57" s="5"/>
      <c r="H57" s="6" t="s">
        <v>76</v>
      </c>
      <c r="I57" s="5" t="str">
        <f>IF(H57="","",VLOOKUP(H57,DB!A:B,2,0))</f>
        <v>Miranda Densite3</v>
      </c>
      <c r="J57" s="6">
        <v>6.0</v>
      </c>
      <c r="K57" s="6" t="s">
        <v>77</v>
      </c>
      <c r="L57" s="6" t="s">
        <v>79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69</v>
      </c>
      <c r="B58" s="6" t="str">
        <f>IF(A58="","",VLOOKUP(A58,DB!A:B,2,0))</f>
        <v>Patchera Externa Video</v>
      </c>
      <c r="C58" s="5"/>
      <c r="D58" s="5"/>
      <c r="E58" s="6" t="s">
        <v>114</v>
      </c>
      <c r="F58" s="5"/>
      <c r="G58" s="5"/>
      <c r="H58" s="6" t="s">
        <v>45</v>
      </c>
      <c r="I58" s="5" t="str">
        <f>IF(H58="","",VLOOKUP(H58,DB!A:B,2,0))</f>
        <v>Miranda Densite3</v>
      </c>
      <c r="J58" s="6">
        <v>7.0</v>
      </c>
      <c r="K58" s="6" t="s">
        <v>46</v>
      </c>
      <c r="L58" s="6" t="s">
        <v>50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45</v>
      </c>
      <c r="B59" s="6" t="str">
        <f>IF(A59="","",VLOOKUP(A59,DB!A:B,2,0))</f>
        <v>Miranda Densite3</v>
      </c>
      <c r="C59" s="6">
        <v>5.0</v>
      </c>
      <c r="D59" s="6" t="s">
        <v>106</v>
      </c>
      <c r="E59" s="6" t="s">
        <v>105</v>
      </c>
      <c r="F59" s="6" t="s">
        <v>17</v>
      </c>
      <c r="G59" s="6" t="s">
        <v>47</v>
      </c>
      <c r="H59" s="6" t="s">
        <v>69</v>
      </c>
      <c r="I59" s="5" t="str">
        <f>IF(H59="","",VLOOKUP(H59,DB!A:B,2,0))</f>
        <v>Patchera Externa Video</v>
      </c>
      <c r="J59" s="5"/>
      <c r="K59" s="5"/>
      <c r="L59" s="6" t="s">
        <v>115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45</v>
      </c>
      <c r="B60" s="6" t="str">
        <f>IF(A60="","",VLOOKUP(A60,DB!A:B,2,0))</f>
        <v>Miranda Densite3</v>
      </c>
      <c r="C60" s="6">
        <v>5.0</v>
      </c>
      <c r="D60" s="6" t="s">
        <v>106</v>
      </c>
      <c r="E60" s="6" t="s">
        <v>116</v>
      </c>
      <c r="F60" s="6" t="s">
        <v>17</v>
      </c>
      <c r="G60" s="6" t="s">
        <v>47</v>
      </c>
      <c r="H60" s="6" t="s">
        <v>69</v>
      </c>
      <c r="I60" s="5" t="str">
        <f>IF(H60="","",VLOOKUP(H60,DB!A:B,2,0))</f>
        <v>Patchera Externa Video</v>
      </c>
      <c r="J60" s="5"/>
      <c r="K60" s="5"/>
      <c r="L60" s="6" t="s">
        <v>117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45</v>
      </c>
      <c r="B61" s="6" t="str">
        <f>IF(A61="","",VLOOKUP(A61,DB!A:B,2,0))</f>
        <v>Miranda Densite3</v>
      </c>
      <c r="C61" s="6">
        <v>5.0</v>
      </c>
      <c r="D61" s="6" t="s">
        <v>106</v>
      </c>
      <c r="E61" s="6" t="s">
        <v>118</v>
      </c>
      <c r="F61" s="6" t="s">
        <v>17</v>
      </c>
      <c r="G61" s="6" t="s">
        <v>47</v>
      </c>
      <c r="H61" s="6" t="s">
        <v>69</v>
      </c>
      <c r="I61" s="5" t="str">
        <f>IF(H61="","",VLOOKUP(H61,DB!A:B,2,0))</f>
        <v>Patchera Externa Video</v>
      </c>
      <c r="J61" s="5"/>
      <c r="K61" s="5"/>
      <c r="L61" s="6" t="s">
        <v>119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45</v>
      </c>
      <c r="B62" s="6" t="str">
        <f>IF(A62="","",VLOOKUP(A62,DB!A:B,2,0))</f>
        <v>Miranda Densite3</v>
      </c>
      <c r="C62" s="6">
        <v>7.0</v>
      </c>
      <c r="D62" s="6" t="s">
        <v>46</v>
      </c>
      <c r="E62" s="6" t="s">
        <v>105</v>
      </c>
      <c r="F62" s="6" t="s">
        <v>17</v>
      </c>
      <c r="G62" s="6" t="s">
        <v>50</v>
      </c>
      <c r="H62" s="6" t="s">
        <v>69</v>
      </c>
      <c r="I62" s="5" t="str">
        <f>IF(H62="","",VLOOKUP(H62,DB!A:B,2,0))</f>
        <v>Patchera Externa Video</v>
      </c>
      <c r="J62" s="5"/>
      <c r="K62" s="5"/>
      <c r="L62" s="6" t="s">
        <v>120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45</v>
      </c>
      <c r="B63" s="6" t="str">
        <f>IF(A63="","",VLOOKUP(A63,DB!A:B,2,0))</f>
        <v>Miranda Densite3</v>
      </c>
      <c r="C63" s="6">
        <v>7.0</v>
      </c>
      <c r="D63" s="6" t="s">
        <v>46</v>
      </c>
      <c r="E63" s="6" t="s">
        <v>116</v>
      </c>
      <c r="F63" s="6" t="s">
        <v>17</v>
      </c>
      <c r="G63" s="6" t="s">
        <v>50</v>
      </c>
      <c r="H63" s="6" t="s">
        <v>69</v>
      </c>
      <c r="I63" s="5" t="str">
        <f>IF(H63="","",VLOOKUP(H63,DB!A:B,2,0))</f>
        <v>Patchera Externa Video</v>
      </c>
      <c r="J63" s="5"/>
      <c r="K63" s="5"/>
      <c r="L63" s="6" t="s">
        <v>121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45</v>
      </c>
      <c r="B64" s="6" t="str">
        <f>IF(A64="","",VLOOKUP(A64,DB!A:B,2,0))</f>
        <v>Miranda Densite3</v>
      </c>
      <c r="C64" s="6">
        <v>7.0</v>
      </c>
      <c r="D64" s="6" t="s">
        <v>46</v>
      </c>
      <c r="E64" s="6" t="s">
        <v>122</v>
      </c>
      <c r="F64" s="6" t="s">
        <v>17</v>
      </c>
      <c r="G64" s="6" t="s">
        <v>47</v>
      </c>
      <c r="H64" s="6" t="s">
        <v>69</v>
      </c>
      <c r="I64" s="5" t="str">
        <f>IF(H64="","",VLOOKUP(H64,DB!A:B,2,0))</f>
        <v>Patchera Externa Video</v>
      </c>
      <c r="J64" s="5"/>
      <c r="K64" s="5"/>
      <c r="L64" s="6" t="s">
        <v>88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45</v>
      </c>
      <c r="B65" s="6" t="str">
        <f>IF(A65="","",VLOOKUP(A65,DB!A:B,2,0))</f>
        <v>Miranda Densite3</v>
      </c>
      <c r="C65" s="6">
        <v>8.0</v>
      </c>
      <c r="D65" s="6" t="s">
        <v>46</v>
      </c>
      <c r="E65" s="6" t="s">
        <v>116</v>
      </c>
      <c r="F65" s="6" t="s">
        <v>17</v>
      </c>
      <c r="G65" s="6" t="s">
        <v>50</v>
      </c>
      <c r="H65" s="6" t="s">
        <v>69</v>
      </c>
      <c r="I65" s="5" t="str">
        <f>IF(H65="","",VLOOKUP(H65,DB!A:B,2,0))</f>
        <v>Patchera Externa Video</v>
      </c>
      <c r="J65" s="5"/>
      <c r="K65" s="5"/>
      <c r="L65" s="6" t="s">
        <v>89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45</v>
      </c>
      <c r="B66" s="6" t="str">
        <f>IF(A66="","",VLOOKUP(A66,DB!A:B,2,0))</f>
        <v>Miranda Densite3</v>
      </c>
      <c r="C66" s="6">
        <v>7.0</v>
      </c>
      <c r="D66" s="6" t="s">
        <v>46</v>
      </c>
      <c r="E66" s="6" t="s">
        <v>118</v>
      </c>
      <c r="F66" s="6" t="s">
        <v>17</v>
      </c>
      <c r="G66" s="6" t="s">
        <v>50</v>
      </c>
      <c r="H66" s="6" t="s">
        <v>123</v>
      </c>
      <c r="I66" s="5" t="str">
        <f>IF(H66="","",VLOOKUP(H66,DB!A:B,2,0))</f>
        <v>Monitor Aire</v>
      </c>
      <c r="J66" s="5"/>
      <c r="K66" s="5"/>
      <c r="L66" s="6" t="s">
        <v>79</v>
      </c>
      <c r="M66" s="5"/>
      <c r="N66" s="5"/>
      <c r="O66" s="6" t="s">
        <v>124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69</v>
      </c>
      <c r="B67" s="6" t="str">
        <f>IF(A67="","",VLOOKUP(A67,DB!A:B,2,0))</f>
        <v>Patchera Externa Video</v>
      </c>
      <c r="C67" s="5"/>
      <c r="D67" s="5"/>
      <c r="E67" s="6" t="s">
        <v>125</v>
      </c>
      <c r="F67" s="5"/>
      <c r="G67" s="5"/>
      <c r="H67" s="6" t="s">
        <v>72</v>
      </c>
      <c r="I67" s="5" t="str">
        <f>IF(H67="","",VLOOKUP(H67,DB!A:B,2,0))</f>
        <v>Telecast CopperHead ProHD 1</v>
      </c>
      <c r="J67" s="5"/>
      <c r="K67" s="5"/>
      <c r="L67" s="6" t="s">
        <v>126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6" t="s">
        <v>69</v>
      </c>
      <c r="B68" s="6" t="str">
        <f>IF(A68="","",VLOOKUP(A68,DB!A:B,2,0))</f>
        <v>Patchera Externa Video</v>
      </c>
      <c r="C68" s="5"/>
      <c r="D68" s="5"/>
      <c r="E68" s="6" t="s">
        <v>127</v>
      </c>
      <c r="F68" s="5"/>
      <c r="G68" s="5"/>
      <c r="H68" s="6" t="s">
        <v>74</v>
      </c>
      <c r="I68" s="5" t="str">
        <f>IF(H68="","",VLOOKUP(H68,DB!A:B,2,0))</f>
        <v>Telecast CopperHead ProHD 2</v>
      </c>
      <c r="J68" s="5"/>
      <c r="K68" s="5"/>
      <c r="L68" s="6" t="s">
        <v>126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6" t="s">
        <v>69</v>
      </c>
      <c r="B69" s="6" t="str">
        <f>IF(A69="","",VLOOKUP(A69,DB!A:B,2,0))</f>
        <v>Patchera Externa Video</v>
      </c>
      <c r="C69" s="5"/>
      <c r="D69" s="5"/>
      <c r="E69" s="6" t="s">
        <v>128</v>
      </c>
      <c r="F69" s="5"/>
      <c r="G69" s="5"/>
      <c r="H69" s="6" t="s">
        <v>75</v>
      </c>
      <c r="I69" s="5" t="str">
        <f>IF(H69="","",VLOOKUP(H69,DB!A:B,2,0))</f>
        <v>Telecast CopperHead ProHD 3</v>
      </c>
      <c r="J69" s="5"/>
      <c r="K69" s="5"/>
      <c r="L69" s="6" t="s">
        <v>126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6" t="s">
        <v>69</v>
      </c>
      <c r="B70" s="6" t="str">
        <f>IF(A70="","",VLOOKUP(A70,DB!A:B,2,0))</f>
        <v>Patchera Externa Video</v>
      </c>
      <c r="C70" s="5"/>
      <c r="D70" s="5"/>
      <c r="E70" s="6" t="s">
        <v>129</v>
      </c>
      <c r="F70" s="5"/>
      <c r="G70" s="5"/>
      <c r="H70" s="6" t="s">
        <v>55</v>
      </c>
      <c r="I70" s="5" t="str">
        <f>IF(H70="","",VLOOKUP(H70,DB!A:B,2,0))</f>
        <v>Ikegami BS-80 4</v>
      </c>
      <c r="J70" s="5"/>
      <c r="K70" s="5"/>
      <c r="L70" s="6" t="s">
        <v>126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6" t="s">
        <v>69</v>
      </c>
      <c r="B71" s="6" t="str">
        <f>IF(A71="","",VLOOKUP(A71,DB!A:B,2,0))</f>
        <v>Patchera Externa Video</v>
      </c>
      <c r="C71" s="5"/>
      <c r="D71" s="5"/>
      <c r="E71" s="6" t="s">
        <v>130</v>
      </c>
      <c r="F71" s="5"/>
      <c r="G71" s="5"/>
      <c r="H71" s="6" t="s">
        <v>59</v>
      </c>
      <c r="I71" s="5" t="str">
        <f>IF(H71="","",VLOOKUP(H71,DB!A:B,2,0))</f>
        <v>Ikegami BS-80 5</v>
      </c>
      <c r="J71" s="5"/>
      <c r="K71" s="5"/>
      <c r="L71" s="6" t="s">
        <v>126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6" t="s">
        <v>131</v>
      </c>
      <c r="B72" s="6" t="str">
        <f>IF(A72="","",VLOOKUP(A72,DB!A:B,2,0))</f>
        <v>Patchera Externa Audio</v>
      </c>
      <c r="C72" s="5"/>
      <c r="D72" s="5"/>
      <c r="E72" s="6" t="s">
        <v>132</v>
      </c>
      <c r="F72" s="5"/>
      <c r="G72" s="5"/>
      <c r="H72" s="6" t="s">
        <v>72</v>
      </c>
      <c r="I72" s="5" t="str">
        <f>IF(H72="","",VLOOKUP(H72,DB!A:B,2,0))</f>
        <v>Telecast CopperHead ProHD 1</v>
      </c>
      <c r="J72" s="5"/>
      <c r="K72" s="5"/>
      <c r="L72" s="6" t="s">
        <v>80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6" t="s">
        <v>131</v>
      </c>
      <c r="B73" s="6" t="str">
        <f>IF(A73="","",VLOOKUP(A73,DB!A:B,2,0))</f>
        <v>Patchera Externa Audio</v>
      </c>
      <c r="C73" s="5"/>
      <c r="D73" s="5"/>
      <c r="E73" s="6" t="s">
        <v>133</v>
      </c>
      <c r="F73" s="5"/>
      <c r="G73" s="5"/>
      <c r="H73" s="6" t="s">
        <v>72</v>
      </c>
      <c r="I73" s="5" t="str">
        <f>IF(H73="","",VLOOKUP(H73,DB!A:B,2,0))</f>
        <v>Telecast CopperHead ProHD 1</v>
      </c>
      <c r="J73" s="5"/>
      <c r="K73" s="5"/>
      <c r="L73" s="6" t="s">
        <v>83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6" t="s">
        <v>131</v>
      </c>
      <c r="B74" s="6" t="str">
        <f>IF(A74="","",VLOOKUP(A74,DB!A:B,2,0))</f>
        <v>Patchera Externa Audio</v>
      </c>
      <c r="C74" s="5"/>
      <c r="D74" s="5"/>
      <c r="E74" s="6" t="s">
        <v>134</v>
      </c>
      <c r="F74" s="5"/>
      <c r="G74" s="5"/>
      <c r="H74" s="6" t="s">
        <v>74</v>
      </c>
      <c r="I74" s="5" t="str">
        <f>IF(H74="","",VLOOKUP(H74,DB!A:B,2,0))</f>
        <v>Telecast CopperHead ProHD 2</v>
      </c>
      <c r="J74" s="5"/>
      <c r="K74" s="5"/>
      <c r="L74" s="6" t="s">
        <v>80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131</v>
      </c>
      <c r="B75" s="6" t="str">
        <f>IF(A75="","",VLOOKUP(A75,DB!A:B,2,0))</f>
        <v>Patchera Externa Audio</v>
      </c>
      <c r="C75" s="5"/>
      <c r="D75" s="5"/>
      <c r="E75" s="6" t="s">
        <v>135</v>
      </c>
      <c r="F75" s="5"/>
      <c r="G75" s="5"/>
      <c r="H75" s="6" t="s">
        <v>74</v>
      </c>
      <c r="I75" s="5" t="str">
        <f>IF(H75="","",VLOOKUP(H75,DB!A:B,2,0))</f>
        <v>Telecast CopperHead ProHD 2</v>
      </c>
      <c r="J75" s="5"/>
      <c r="K75" s="5"/>
      <c r="L75" s="6" t="s">
        <v>83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131</v>
      </c>
      <c r="B76" s="6" t="str">
        <f>IF(A76="","",VLOOKUP(A76,DB!A:B,2,0))</f>
        <v>Patchera Externa Audio</v>
      </c>
      <c r="C76" s="5"/>
      <c r="D76" s="5"/>
      <c r="E76" s="6" t="s">
        <v>136</v>
      </c>
      <c r="F76" s="5"/>
      <c r="G76" s="5"/>
      <c r="H76" s="6" t="s">
        <v>75</v>
      </c>
      <c r="I76" s="5" t="str">
        <f>IF(H76="","",VLOOKUP(H76,DB!A:B,2,0))</f>
        <v>Telecast CopperHead ProHD 3</v>
      </c>
      <c r="J76" s="5"/>
      <c r="K76" s="5"/>
      <c r="L76" s="6" t="s">
        <v>80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131</v>
      </c>
      <c r="B77" s="6" t="str">
        <f>IF(A77="","",VLOOKUP(A77,DB!A:B,2,0))</f>
        <v>Patchera Externa Audio</v>
      </c>
      <c r="C77" s="5"/>
      <c r="D77" s="5"/>
      <c r="E77" s="6" t="s">
        <v>137</v>
      </c>
      <c r="F77" s="5"/>
      <c r="G77" s="5"/>
      <c r="H77" s="6" t="s">
        <v>75</v>
      </c>
      <c r="I77" s="5" t="str">
        <f>IF(H77="","",VLOOKUP(H77,DB!A:B,2,0))</f>
        <v>Telecast CopperHead ProHD 3</v>
      </c>
      <c r="J77" s="5"/>
      <c r="K77" s="5"/>
      <c r="L77" s="6" t="s">
        <v>83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131</v>
      </c>
      <c r="B78" s="6" t="str">
        <f>IF(A78="","",VLOOKUP(A78,DB!A:B,2,0))</f>
        <v>Patchera Externa Audio</v>
      </c>
      <c r="C78" s="5"/>
      <c r="D78" s="5"/>
      <c r="E78" s="6" t="s">
        <v>138</v>
      </c>
      <c r="F78" s="5"/>
      <c r="G78" s="5"/>
      <c r="H78" s="6" t="s">
        <v>55</v>
      </c>
      <c r="I78" s="5" t="str">
        <f>IF(H78="","",VLOOKUP(H78,DB!A:B,2,0))</f>
        <v>Ikegami BS-80 4</v>
      </c>
      <c r="J78" s="5"/>
      <c r="K78" s="5"/>
      <c r="L78" s="6" t="s">
        <v>80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131</v>
      </c>
      <c r="B79" s="6" t="str">
        <f>IF(A79="","",VLOOKUP(A79,DB!A:B,2,0))</f>
        <v>Patchera Externa Audio</v>
      </c>
      <c r="C79" s="5"/>
      <c r="D79" s="5"/>
      <c r="E79" s="6" t="s">
        <v>139</v>
      </c>
      <c r="F79" s="5"/>
      <c r="G79" s="5"/>
      <c r="H79" s="6" t="s">
        <v>55</v>
      </c>
      <c r="I79" s="5" t="str">
        <f>IF(H79="","",VLOOKUP(H79,DB!A:B,2,0))</f>
        <v>Ikegami BS-80 4</v>
      </c>
      <c r="J79" s="5"/>
      <c r="K79" s="5"/>
      <c r="L79" s="6" t="s">
        <v>83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131</v>
      </c>
      <c r="B80" s="6" t="str">
        <f>IF(A80="","",VLOOKUP(A80,DB!A:B,2,0))</f>
        <v>Patchera Externa Audio</v>
      </c>
      <c r="C80" s="5"/>
      <c r="D80" s="5"/>
      <c r="E80" s="6" t="s">
        <v>140</v>
      </c>
      <c r="F80" s="5"/>
      <c r="G80" s="5"/>
      <c r="H80" s="6" t="s">
        <v>59</v>
      </c>
      <c r="I80" s="5" t="str">
        <f>IF(H80="","",VLOOKUP(H80,DB!A:B,2,0))</f>
        <v>Ikegami BS-80 5</v>
      </c>
      <c r="J80" s="5"/>
      <c r="K80" s="5"/>
      <c r="L80" s="6" t="s">
        <v>80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131</v>
      </c>
      <c r="B81" s="7" t="str">
        <f>IF(A81="","",VLOOKUP(A81,DB!A:B,2,0))</f>
        <v>Patchera Externa Audio</v>
      </c>
      <c r="C81" s="8"/>
      <c r="D81" s="7"/>
      <c r="E81" s="9" t="s">
        <v>141</v>
      </c>
      <c r="F81" s="7"/>
      <c r="G81" s="7"/>
      <c r="H81" s="9" t="s">
        <v>59</v>
      </c>
      <c r="I81" s="7" t="str">
        <f>IF(H81="","",VLOOKUP(H81,DB!A:B,2,0))</f>
        <v>Ikegami BS-80 5</v>
      </c>
      <c r="J81" s="7"/>
      <c r="K81" s="7"/>
      <c r="L81" s="6" t="s">
        <v>83</v>
      </c>
      <c r="M81" s="7"/>
      <c r="N81" s="7"/>
      <c r="O81" s="7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131</v>
      </c>
      <c r="B82" s="10" t="str">
        <f>IF(A82="","",VLOOKUP(A82,DB!A:B,2,0))</f>
        <v>Patchera Externa Audio</v>
      </c>
      <c r="C82" s="11"/>
      <c r="D82" s="10"/>
      <c r="E82" s="12" t="s">
        <v>142</v>
      </c>
      <c r="F82" s="10"/>
      <c r="G82" s="10"/>
      <c r="H82" s="12" t="s">
        <v>81</v>
      </c>
      <c r="I82" s="10" t="str">
        <f>IF(H82="","",VLOOKUP(H82,DB!A:B,2,0))</f>
        <v>Yamaha MG166</v>
      </c>
      <c r="J82" s="10"/>
      <c r="K82" s="10"/>
      <c r="L82" s="12" t="s">
        <v>18</v>
      </c>
      <c r="M82" s="10"/>
      <c r="N82" s="10"/>
      <c r="O82" s="10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131</v>
      </c>
      <c r="B83" s="7" t="str">
        <f>IF(A83="","",VLOOKUP(A83,DB!A:B,2,0))</f>
        <v>Patchera Externa Audio</v>
      </c>
      <c r="C83" s="7"/>
      <c r="D83" s="7"/>
      <c r="E83" s="12" t="s">
        <v>143</v>
      </c>
      <c r="F83" s="7"/>
      <c r="G83" s="7"/>
      <c r="H83" s="12" t="s">
        <v>81</v>
      </c>
      <c r="I83" s="7" t="str">
        <f>IF(H83="","",VLOOKUP(H83,DB!A:B,2,0))</f>
        <v>Yamaha MG166</v>
      </c>
      <c r="J83" s="7"/>
      <c r="K83" s="7"/>
      <c r="L83" s="12" t="s">
        <v>23</v>
      </c>
      <c r="M83" s="7"/>
      <c r="N83" s="7"/>
      <c r="O83" s="7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131</v>
      </c>
      <c r="B84" s="7" t="str">
        <f>IF(A84="","",VLOOKUP(A84,DB!A:B,2,0))</f>
        <v>Patchera Externa Audio</v>
      </c>
      <c r="C84" s="7"/>
      <c r="D84" s="7"/>
      <c r="E84" s="12" t="s">
        <v>144</v>
      </c>
      <c r="F84" s="7"/>
      <c r="G84" s="7"/>
      <c r="H84" s="12" t="s">
        <v>81</v>
      </c>
      <c r="I84" s="7" t="str">
        <f>IF(H84="","",VLOOKUP(H84,DB!A:B,2,0))</f>
        <v>Yamaha MG166</v>
      </c>
      <c r="J84" s="7"/>
      <c r="K84" s="7"/>
      <c r="L84" s="12" t="s">
        <v>26</v>
      </c>
      <c r="M84" s="7"/>
      <c r="N84" s="7"/>
      <c r="O84" s="7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131</v>
      </c>
      <c r="B85" s="7" t="str">
        <f>IF(A85="","",VLOOKUP(A85,DB!A:B,2,0))</f>
        <v>Patchera Externa Audio</v>
      </c>
      <c r="C85" s="7"/>
      <c r="D85" s="7"/>
      <c r="E85" s="12" t="s">
        <v>145</v>
      </c>
      <c r="F85" s="7"/>
      <c r="G85" s="7"/>
      <c r="H85" s="12" t="s">
        <v>81</v>
      </c>
      <c r="I85" s="7" t="str">
        <f>IF(H85="","",VLOOKUP(H85,DB!A:B,2,0))</f>
        <v>Yamaha MG166</v>
      </c>
      <c r="J85" s="7"/>
      <c r="K85" s="7"/>
      <c r="L85" s="12" t="s">
        <v>29</v>
      </c>
      <c r="M85" s="7"/>
      <c r="N85" s="7"/>
      <c r="O85" s="7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131</v>
      </c>
      <c r="B86" s="10" t="str">
        <f>IF(A86="","",VLOOKUP(A86,DB!A:B,2,0))</f>
        <v>Patchera Externa Audio</v>
      </c>
      <c r="C86" s="10"/>
      <c r="D86" s="10"/>
      <c r="E86" s="12" t="s">
        <v>146</v>
      </c>
      <c r="F86" s="10"/>
      <c r="G86" s="10"/>
      <c r="H86" s="12" t="s">
        <v>81</v>
      </c>
      <c r="I86" s="10" t="str">
        <f>IF(H86="","",VLOOKUP(H86,DB!A:B,2,0))</f>
        <v>Yamaha MG166</v>
      </c>
      <c r="J86" s="10"/>
      <c r="K86" s="10"/>
      <c r="L86" s="12" t="s">
        <v>32</v>
      </c>
      <c r="M86" s="10"/>
      <c r="N86" s="10"/>
      <c r="O86" s="10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131</v>
      </c>
      <c r="B87" s="7" t="str">
        <f>IF(A87="","",VLOOKUP(A87,DB!A:B,2,0))</f>
        <v>Patchera Externa Audio</v>
      </c>
      <c r="C87" s="7"/>
      <c r="D87" s="7"/>
      <c r="E87" s="12" t="s">
        <v>147</v>
      </c>
      <c r="F87" s="7"/>
      <c r="G87" s="7"/>
      <c r="H87" s="12" t="s">
        <v>81</v>
      </c>
      <c r="I87" s="7" t="str">
        <f>IF(H87="","",VLOOKUP(H87,DB!A:B,2,0))</f>
        <v>Yamaha MG166</v>
      </c>
      <c r="J87" s="7"/>
      <c r="K87" s="7"/>
      <c r="L87" s="12" t="s">
        <v>35</v>
      </c>
      <c r="M87" s="13"/>
      <c r="N87" s="7"/>
      <c r="O87" s="7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131</v>
      </c>
      <c r="B88" s="6" t="str">
        <f>IF(A88="","",VLOOKUP(A88,DB!A:B,2,0))</f>
        <v>Patchera Externa Audio</v>
      </c>
      <c r="C88" s="5"/>
      <c r="D88" s="5"/>
      <c r="E88" s="12" t="s">
        <v>148</v>
      </c>
      <c r="F88" s="5"/>
      <c r="G88" s="5"/>
      <c r="H88" s="12" t="s">
        <v>81</v>
      </c>
      <c r="I88" s="5" t="str">
        <f>IF(H88="","",VLOOKUP(H88,DB!A:B,2,0))</f>
        <v>Yamaha MG166</v>
      </c>
      <c r="J88" s="5"/>
      <c r="K88" s="5"/>
      <c r="L88" s="12" t="s">
        <v>37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131</v>
      </c>
      <c r="B89" s="6" t="str">
        <f>IF(A89="","",VLOOKUP(A89,DB!A:B,2,0))</f>
        <v>Patchera Externa Audio</v>
      </c>
      <c r="C89" s="5"/>
      <c r="D89" s="5"/>
      <c r="E89" s="12" t="s">
        <v>149</v>
      </c>
      <c r="F89" s="5"/>
      <c r="G89" s="5"/>
      <c r="H89" s="12" t="s">
        <v>81</v>
      </c>
      <c r="I89" s="5" t="str">
        <f>IF(H89="","",VLOOKUP(H89,DB!A:B,2,0))</f>
        <v>Yamaha MG166</v>
      </c>
      <c r="J89" s="5"/>
      <c r="K89" s="5"/>
      <c r="L89" s="12" t="s">
        <v>39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131</v>
      </c>
      <c r="B90" s="6" t="str">
        <f>IF(A90="","",VLOOKUP(A90,DB!A:B,2,0))</f>
        <v>Patchera Externa Audio</v>
      </c>
      <c r="C90" s="5"/>
      <c r="D90" s="5"/>
      <c r="E90" s="6" t="s">
        <v>150</v>
      </c>
      <c r="F90" s="5"/>
      <c r="G90" s="5"/>
      <c r="H90" s="6" t="s">
        <v>81</v>
      </c>
      <c r="I90" s="5" t="str">
        <f>IF(H90="","",VLOOKUP(H90,DB!A:B,2,0))</f>
        <v>Yamaha MG166</v>
      </c>
      <c r="J90" s="5"/>
      <c r="K90" s="5"/>
      <c r="L90" s="12" t="s">
        <v>41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76</v>
      </c>
      <c r="B91" s="6" t="str">
        <f>IF(A91="","",VLOOKUP(A91,DB!A:B,2,0))</f>
        <v>Miranda Densite3</v>
      </c>
      <c r="C91" s="6">
        <v>10.0</v>
      </c>
      <c r="D91" s="6" t="s">
        <v>151</v>
      </c>
      <c r="E91" s="6" t="s">
        <v>40</v>
      </c>
      <c r="F91" s="6" t="s">
        <v>17</v>
      </c>
      <c r="G91" s="6" t="s">
        <v>18</v>
      </c>
      <c r="H91" s="6" t="s">
        <v>131</v>
      </c>
      <c r="I91" s="5" t="str">
        <f>IF(H91="","",VLOOKUP(H91,DB!A:B,2,0))</f>
        <v>Patchera Externa Audio</v>
      </c>
      <c r="J91" s="5"/>
      <c r="K91" s="5"/>
      <c r="L91" s="6" t="s">
        <v>152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76</v>
      </c>
      <c r="B92" s="6" t="str">
        <f>IF(A92="","",VLOOKUP(A92,DB!A:B,2,0))</f>
        <v>Miranda Densite3</v>
      </c>
      <c r="C92" s="6">
        <v>10.0</v>
      </c>
      <c r="D92" s="6" t="s">
        <v>151</v>
      </c>
      <c r="E92" s="6" t="s">
        <v>40</v>
      </c>
      <c r="F92" s="6" t="s">
        <v>17</v>
      </c>
      <c r="G92" s="6" t="s">
        <v>18</v>
      </c>
      <c r="H92" s="6" t="s">
        <v>131</v>
      </c>
      <c r="I92" s="5" t="str">
        <f>IF(H92="","",VLOOKUP(H92,DB!A:B,2,0))</f>
        <v>Patchera Externa Audio</v>
      </c>
      <c r="J92" s="5"/>
      <c r="K92" s="5"/>
      <c r="L92" s="6" t="s">
        <v>153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76</v>
      </c>
      <c r="B93" s="6" t="str">
        <f>IF(A93="","",VLOOKUP(A93,DB!A:B,2,0))</f>
        <v>Miranda Densite3</v>
      </c>
      <c r="C93" s="6">
        <v>10.0</v>
      </c>
      <c r="D93" s="6" t="s">
        <v>151</v>
      </c>
      <c r="E93" s="6" t="s">
        <v>40</v>
      </c>
      <c r="F93" s="6" t="s">
        <v>17</v>
      </c>
      <c r="G93" s="6" t="s">
        <v>18</v>
      </c>
      <c r="H93" s="6" t="s">
        <v>131</v>
      </c>
      <c r="I93" s="5" t="str">
        <f>IF(H93="","",VLOOKUP(H93,DB!A:B,2,0))</f>
        <v>Patchera Externa Audio</v>
      </c>
      <c r="J93" s="5"/>
      <c r="K93" s="5"/>
      <c r="L93" s="6" t="s">
        <v>154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76</v>
      </c>
      <c r="B94" s="6" t="str">
        <f>IF(A94="","",VLOOKUP(A94,DB!A:B,2,0))</f>
        <v>Miranda Densite3</v>
      </c>
      <c r="C94" s="6">
        <v>10.0</v>
      </c>
      <c r="D94" s="6" t="s">
        <v>151</v>
      </c>
      <c r="E94" s="6" t="s">
        <v>40</v>
      </c>
      <c r="F94" s="6" t="s">
        <v>17</v>
      </c>
      <c r="G94" s="6" t="s">
        <v>18</v>
      </c>
      <c r="H94" s="6" t="s">
        <v>131</v>
      </c>
      <c r="I94" s="5" t="str">
        <f>IF(H94="","",VLOOKUP(H94,DB!A:B,2,0))</f>
        <v>Patchera Externa Audio</v>
      </c>
      <c r="J94" s="5"/>
      <c r="K94" s="5"/>
      <c r="L94" s="6" t="s">
        <v>155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76</v>
      </c>
      <c r="B95" s="6" t="str">
        <f>IF(A95="","",VLOOKUP(A95,DB!A:B,2,0))</f>
        <v>Miranda Densite3</v>
      </c>
      <c r="C95" s="6">
        <v>7.0</v>
      </c>
      <c r="D95" s="6" t="s">
        <v>151</v>
      </c>
      <c r="E95" s="6" t="s">
        <v>16</v>
      </c>
      <c r="F95" s="6" t="s">
        <v>17</v>
      </c>
      <c r="G95" s="6" t="s">
        <v>18</v>
      </c>
      <c r="H95" s="6" t="s">
        <v>76</v>
      </c>
      <c r="I95" s="5" t="str">
        <f>IF(H95="","",VLOOKUP(H95,DB!A:B,2,0))</f>
        <v>Miranda Densite3</v>
      </c>
      <c r="J95" s="6">
        <v>1.0</v>
      </c>
      <c r="K95" s="6" t="s">
        <v>156</v>
      </c>
      <c r="L95" s="6" t="s">
        <v>157</v>
      </c>
      <c r="M95" s="5"/>
      <c r="N95" s="6" t="s">
        <v>94</v>
      </c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76</v>
      </c>
      <c r="B96" s="6" t="str">
        <f>IF(A96="","",VLOOKUP(A96,DB!A:B,2,0))</f>
        <v>Miranda Densite3</v>
      </c>
      <c r="C96" s="6">
        <v>7.0</v>
      </c>
      <c r="D96" s="6" t="s">
        <v>151</v>
      </c>
      <c r="E96" s="6" t="s">
        <v>31</v>
      </c>
      <c r="F96" s="6" t="s">
        <v>17</v>
      </c>
      <c r="G96" s="6" t="s">
        <v>23</v>
      </c>
      <c r="H96" s="6" t="s">
        <v>76</v>
      </c>
      <c r="I96" s="5" t="str">
        <f>IF(H96="","",VLOOKUP(H96,DB!A:B,2,0))</f>
        <v>Miranda Densite3</v>
      </c>
      <c r="J96" s="6">
        <v>1.0</v>
      </c>
      <c r="K96" s="6" t="s">
        <v>156</v>
      </c>
      <c r="L96" s="6" t="s">
        <v>158</v>
      </c>
      <c r="M96" s="5"/>
      <c r="N96" s="6" t="s">
        <v>94</v>
      </c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76</v>
      </c>
      <c r="B97" s="6" t="str">
        <f>IF(A97="","",VLOOKUP(A97,DB!A:B,2,0))</f>
        <v>Miranda Densite3</v>
      </c>
      <c r="C97" s="6">
        <v>7.0</v>
      </c>
      <c r="D97" s="6" t="s">
        <v>151</v>
      </c>
      <c r="E97" s="6" t="s">
        <v>22</v>
      </c>
      <c r="F97" s="6" t="s">
        <v>17</v>
      </c>
      <c r="G97" s="6" t="s">
        <v>18</v>
      </c>
      <c r="H97" s="6" t="s">
        <v>131</v>
      </c>
      <c r="I97" s="5" t="str">
        <f>IF(H97="","",VLOOKUP(H97,DB!A:B,2,0))</f>
        <v>Patchera Externa Audio</v>
      </c>
      <c r="J97" s="5"/>
      <c r="K97" s="5"/>
      <c r="L97" s="6" t="s">
        <v>159</v>
      </c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76</v>
      </c>
      <c r="B98" s="6" t="str">
        <f>IF(A98="","",VLOOKUP(A98,DB!A:B,2,0))</f>
        <v>Miranda Densite3</v>
      </c>
      <c r="C98" s="6">
        <v>7.0</v>
      </c>
      <c r="D98" s="6" t="s">
        <v>151</v>
      </c>
      <c r="E98" s="6" t="s">
        <v>34</v>
      </c>
      <c r="F98" s="6" t="s">
        <v>17</v>
      </c>
      <c r="G98" s="6" t="s">
        <v>23</v>
      </c>
      <c r="H98" s="6" t="s">
        <v>131</v>
      </c>
      <c r="I98" s="5" t="str">
        <f>IF(H98="","",VLOOKUP(H98,DB!A:B,2,0))</f>
        <v>Patchera Externa Audio</v>
      </c>
      <c r="J98" s="5"/>
      <c r="K98" s="5"/>
      <c r="L98" s="6" t="s">
        <v>160</v>
      </c>
      <c r="M98" s="5"/>
      <c r="N98" s="5"/>
      <c r="O98" s="5"/>
      <c r="P98" s="14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76</v>
      </c>
      <c r="B99" s="6" t="str">
        <f>IF(A99="","",VLOOKUP(A99,DB!A:B,2,0))</f>
        <v>Miranda Densite3</v>
      </c>
      <c r="C99" s="6">
        <v>8.0</v>
      </c>
      <c r="D99" s="6" t="s">
        <v>151</v>
      </c>
      <c r="E99" s="6" t="s">
        <v>31</v>
      </c>
      <c r="F99" s="6" t="s">
        <v>17</v>
      </c>
      <c r="G99" s="6" t="s">
        <v>23</v>
      </c>
      <c r="H99" s="6" t="s">
        <v>76</v>
      </c>
      <c r="I99" s="5" t="str">
        <f>IF(H99="","",VLOOKUP(H99,DB!A:B,2,0))</f>
        <v>Miranda Densite3</v>
      </c>
      <c r="J99" s="6">
        <v>1.0</v>
      </c>
      <c r="K99" s="6" t="s">
        <v>156</v>
      </c>
      <c r="L99" s="6" t="s">
        <v>161</v>
      </c>
      <c r="M99" s="5"/>
      <c r="N99" s="6" t="s">
        <v>162</v>
      </c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76</v>
      </c>
      <c r="B100" s="6" t="str">
        <f>IF(A100="","",VLOOKUP(A100,DB!A:B,2,0))</f>
        <v>Miranda Densite3</v>
      </c>
      <c r="C100" s="6">
        <v>8.0</v>
      </c>
      <c r="D100" s="6" t="s">
        <v>151</v>
      </c>
      <c r="E100" s="6" t="s">
        <v>31</v>
      </c>
      <c r="F100" s="6" t="s">
        <v>17</v>
      </c>
      <c r="G100" s="6" t="s">
        <v>23</v>
      </c>
      <c r="H100" s="6" t="s">
        <v>76</v>
      </c>
      <c r="I100" s="5" t="str">
        <f>IF(H100="","",VLOOKUP(H100,DB!A:B,2,0))</f>
        <v>Miranda Densite3</v>
      </c>
      <c r="J100" s="6">
        <v>1.0</v>
      </c>
      <c r="K100" s="6" t="s">
        <v>156</v>
      </c>
      <c r="L100" s="6" t="s">
        <v>163</v>
      </c>
      <c r="M100" s="5"/>
      <c r="N100" s="6" t="s">
        <v>162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76</v>
      </c>
      <c r="B101" s="6" t="str">
        <f>IF(A101="","",VLOOKUP(A101,DB!A:B,2,0))</f>
        <v>Miranda Densite3</v>
      </c>
      <c r="C101" s="6">
        <v>1.0</v>
      </c>
      <c r="D101" s="6" t="s">
        <v>156</v>
      </c>
      <c r="E101" s="6" t="s">
        <v>73</v>
      </c>
      <c r="F101" s="6" t="s">
        <v>17</v>
      </c>
      <c r="G101" s="6" t="s">
        <v>79</v>
      </c>
      <c r="H101" s="6" t="s">
        <v>45</v>
      </c>
      <c r="I101" s="5" t="str">
        <f>IF(H101="","",VLOOKUP(H101,DB!A:B,2,0))</f>
        <v>Miranda Densite3</v>
      </c>
      <c r="J101" s="6">
        <v>1.0</v>
      </c>
      <c r="K101" s="6" t="s">
        <v>164</v>
      </c>
      <c r="L101" s="6" t="s">
        <v>79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76</v>
      </c>
      <c r="B102" s="6" t="str">
        <f>IF(A102="","",VLOOKUP(A102,DB!A:B,2,0))</f>
        <v>Miranda Densite3</v>
      </c>
      <c r="C102" s="6">
        <v>1.0</v>
      </c>
      <c r="D102" s="6" t="s">
        <v>156</v>
      </c>
      <c r="E102" s="6" t="s">
        <v>71</v>
      </c>
      <c r="F102" s="6" t="s">
        <v>17</v>
      </c>
      <c r="G102" s="6" t="s">
        <v>79</v>
      </c>
      <c r="H102" s="6" t="s">
        <v>69</v>
      </c>
      <c r="I102" s="5" t="str">
        <f>IF(H102="","",VLOOKUP(H102,DB!A:B,2,0))</f>
        <v>Patchera Externa Video</v>
      </c>
      <c r="J102" s="5"/>
      <c r="K102" s="5"/>
      <c r="L102" s="6" t="s">
        <v>165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36</v>
      </c>
      <c r="B103" s="6" t="str">
        <f>IF(A103="","",VLOOKUP(A103,DB!A:B,2,0))</f>
        <v>ATEM 1 Production Studio</v>
      </c>
      <c r="C103" s="5"/>
      <c r="D103" s="5"/>
      <c r="E103" s="6" t="s">
        <v>73</v>
      </c>
      <c r="F103" s="5"/>
      <c r="G103" s="5"/>
      <c r="H103" s="6" t="s">
        <v>76</v>
      </c>
      <c r="I103" s="5" t="str">
        <f>IF(H103="","",VLOOKUP(H103,DB!A:B,2,0))</f>
        <v>Miranda Densite3</v>
      </c>
      <c r="J103" s="6">
        <v>1.0</v>
      </c>
      <c r="K103" s="6" t="s">
        <v>156</v>
      </c>
      <c r="L103" s="6" t="s">
        <v>79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131</v>
      </c>
      <c r="B104" s="6" t="str">
        <f>IF(A104="","",VLOOKUP(A104,DB!A:B,2,0))</f>
        <v>Patchera Externa Audio</v>
      </c>
      <c r="C104" s="5"/>
      <c r="D104" s="5"/>
      <c r="E104" s="6" t="s">
        <v>162</v>
      </c>
      <c r="F104" s="5"/>
      <c r="G104" s="5"/>
      <c r="H104" s="6" t="s">
        <v>76</v>
      </c>
      <c r="I104" s="5" t="str">
        <f>IF(H104="","",VLOOKUP(H104,DB!A:B,2,0))</f>
        <v>Miranda Densite3</v>
      </c>
      <c r="J104" s="6">
        <v>8.0</v>
      </c>
      <c r="K104" s="6" t="s">
        <v>151</v>
      </c>
      <c r="L104" s="6" t="s">
        <v>34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131</v>
      </c>
      <c r="B105" s="6" t="str">
        <f>IF(A105="","",VLOOKUP(A105,DB!A:B,2,0))</f>
        <v>Patchera Externa Audio</v>
      </c>
      <c r="C105" s="5"/>
      <c r="D105" s="5"/>
      <c r="E105" s="6" t="s">
        <v>166</v>
      </c>
      <c r="F105" s="5"/>
      <c r="G105" s="5"/>
      <c r="H105" s="6" t="s">
        <v>76</v>
      </c>
      <c r="I105" s="5" t="str">
        <f>IF(H105="","",VLOOKUP(H105,DB!A:B,2,0))</f>
        <v>Miranda Densite3</v>
      </c>
      <c r="J105" s="6">
        <v>8.0</v>
      </c>
      <c r="K105" s="6" t="s">
        <v>151</v>
      </c>
      <c r="L105" s="6" t="s">
        <v>16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131</v>
      </c>
      <c r="B106" s="6" t="str">
        <f>IF(A106="","",VLOOKUP(A106,DB!A:B,2,0))</f>
        <v>Patchera Externa Audio</v>
      </c>
      <c r="C106" s="5"/>
      <c r="D106" s="5"/>
      <c r="E106" s="6" t="s">
        <v>88</v>
      </c>
      <c r="F106" s="5"/>
      <c r="G106" s="5"/>
      <c r="H106" s="6" t="s">
        <v>76</v>
      </c>
      <c r="I106" s="5" t="str">
        <f>IF(H106="","",VLOOKUP(H106,DB!A:B,2,0))</f>
        <v>Miranda Densite3</v>
      </c>
      <c r="J106" s="6">
        <v>9.0</v>
      </c>
      <c r="K106" s="6" t="s">
        <v>151</v>
      </c>
      <c r="L106" s="6" t="s">
        <v>31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131</v>
      </c>
      <c r="B107" s="6" t="str">
        <f>IF(A107="","",VLOOKUP(A107,DB!A:B,2,0))</f>
        <v>Patchera Externa Audio</v>
      </c>
      <c r="C107" s="5"/>
      <c r="D107" s="5"/>
      <c r="E107" s="6" t="s">
        <v>90</v>
      </c>
      <c r="F107" s="5"/>
      <c r="G107" s="5"/>
      <c r="H107" s="6" t="s">
        <v>76</v>
      </c>
      <c r="I107" s="5" t="str">
        <f>IF(H107="","",VLOOKUP(H107,DB!A:B,2,0))</f>
        <v>Miranda Densite3</v>
      </c>
      <c r="J107" s="6">
        <v>9.0</v>
      </c>
      <c r="K107" s="6" t="s">
        <v>151</v>
      </c>
      <c r="L107" s="6" t="s">
        <v>16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131</v>
      </c>
      <c r="B108" s="6" t="str">
        <f>IF(A108="","",VLOOKUP(A108,DB!A:B,2,0))</f>
        <v>Patchera Externa Audio</v>
      </c>
      <c r="C108" s="5"/>
      <c r="D108" s="5"/>
      <c r="E108" s="6" t="s">
        <v>88</v>
      </c>
      <c r="F108" s="5"/>
      <c r="G108" s="5"/>
      <c r="H108" s="6" t="s">
        <v>76</v>
      </c>
      <c r="I108" s="5" t="str">
        <f>IF(H108="","",VLOOKUP(H108,DB!A:B,2,0))</f>
        <v>Miranda Densite3</v>
      </c>
      <c r="J108" s="6">
        <v>9.0</v>
      </c>
      <c r="K108" s="6" t="s">
        <v>151</v>
      </c>
      <c r="L108" s="6" t="s">
        <v>34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131</v>
      </c>
      <c r="B109" s="6" t="str">
        <f>IF(A109="","",VLOOKUP(A109,DB!A:B,2,0))</f>
        <v>Patchera Externa Audio</v>
      </c>
      <c r="C109" s="5"/>
      <c r="D109" s="5"/>
      <c r="E109" s="6" t="s">
        <v>166</v>
      </c>
      <c r="F109" s="5"/>
      <c r="G109" s="5"/>
      <c r="H109" s="6" t="s">
        <v>76</v>
      </c>
      <c r="I109" s="5" t="str">
        <f>IF(H109="","",VLOOKUP(H109,DB!A:B,2,0))</f>
        <v>Miranda Densite3</v>
      </c>
      <c r="J109" s="6">
        <v>8.0</v>
      </c>
      <c r="K109" s="6" t="s">
        <v>151</v>
      </c>
      <c r="L109" s="6" t="s">
        <v>22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45</v>
      </c>
      <c r="B110" s="6" t="str">
        <f>IF(A110="","",VLOOKUP(A110,DB!A:B,2,0))</f>
        <v>Miranda Densite3</v>
      </c>
      <c r="C110" s="6">
        <v>1.0</v>
      </c>
      <c r="D110" s="6" t="s">
        <v>164</v>
      </c>
      <c r="E110" s="6" t="s">
        <v>78</v>
      </c>
      <c r="F110" s="6" t="s">
        <v>17</v>
      </c>
      <c r="G110" s="6" t="s">
        <v>79</v>
      </c>
      <c r="H110" s="6" t="s">
        <v>45</v>
      </c>
      <c r="I110" s="5" t="str">
        <f>IF(H110="","",VLOOKUP(H110,DB!A:B,2,0))</f>
        <v>Miranda Densite3</v>
      </c>
      <c r="J110" s="6">
        <v>5.0</v>
      </c>
      <c r="K110" s="6" t="s">
        <v>106</v>
      </c>
      <c r="L110" s="6" t="s">
        <v>101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91</v>
      </c>
      <c r="B111" s="6" t="str">
        <f>IF(A111="","",VLOOKUP(A111,DB!A:B,2,0))</f>
        <v>PC CG</v>
      </c>
      <c r="C111" s="6">
        <v>1.0</v>
      </c>
      <c r="D111" s="6" t="s">
        <v>20</v>
      </c>
      <c r="E111" s="6" t="s">
        <v>24</v>
      </c>
      <c r="F111" s="5"/>
      <c r="G111" s="5"/>
      <c r="H111" s="6" t="s">
        <v>107</v>
      </c>
      <c r="I111" s="5" t="str">
        <f>IF(H111="","",VLOOKUP(H111,DB!A:B,2,0))</f>
        <v>Blackmagic SmartView Duo</v>
      </c>
      <c r="J111" s="5"/>
      <c r="K111" s="5"/>
      <c r="L111" s="6" t="s">
        <v>108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107</v>
      </c>
      <c r="B112" s="6" t="str">
        <f>IF(A112="","",VLOOKUP(A112,DB!A:B,2,0))</f>
        <v>Blackmagic SmartView Duo</v>
      </c>
      <c r="C112" s="5"/>
      <c r="D112" s="5"/>
      <c r="E112" s="6" t="s">
        <v>71</v>
      </c>
      <c r="F112" s="6" t="s">
        <v>17</v>
      </c>
      <c r="G112" s="6" t="s">
        <v>108</v>
      </c>
      <c r="H112" s="6" t="s">
        <v>69</v>
      </c>
      <c r="I112" s="5" t="str">
        <f>IF(H112="","",VLOOKUP(H112,DB!A:B,2,0))</f>
        <v>Patchera Externa Video</v>
      </c>
      <c r="J112" s="5"/>
      <c r="K112" s="5"/>
      <c r="L112" s="6" t="s">
        <v>114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45</v>
      </c>
      <c r="B113" s="6" t="str">
        <f>IF(A113="","",VLOOKUP(A113,DB!A:B,2,0))</f>
        <v>Miranda Densite3</v>
      </c>
      <c r="C113" s="6">
        <v>5.0</v>
      </c>
      <c r="D113" s="6" t="s">
        <v>106</v>
      </c>
      <c r="E113" s="6" t="s">
        <v>104</v>
      </c>
      <c r="F113" s="6" t="s">
        <v>17</v>
      </c>
      <c r="G113" s="6" t="s">
        <v>47</v>
      </c>
      <c r="H113" s="6" t="s">
        <v>91</v>
      </c>
      <c r="I113" s="5" t="str">
        <f>IF(H113="","",VLOOKUP(H113,DB!A:B,2,0))</f>
        <v>PC CG</v>
      </c>
      <c r="J113" s="6">
        <v>1.0</v>
      </c>
      <c r="K113" s="6" t="s">
        <v>20</v>
      </c>
      <c r="L113" s="6" t="s">
        <v>27</v>
      </c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6" t="str">
        <f>IF(A324="","",VLOOKUP(A324,DB!A:B,2,0))</f>
        <v/>
      </c>
      <c r="C324" s="5"/>
      <c r="D324" s="5"/>
      <c r="E324" s="5"/>
      <c r="F324" s="5"/>
      <c r="G324" s="5"/>
      <c r="H324" s="5"/>
      <c r="I324" s="5" t="str">
        <f>IF(H324="","",VLOOKUP(H324,DB!A:B,2,0))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6" t="str">
        <f>IF(A325="","",VLOOKUP(A325,DB!A:B,2,0))</f>
        <v/>
      </c>
      <c r="C325" s="5"/>
      <c r="D325" s="5"/>
      <c r="E325" s="5"/>
      <c r="F325" s="5"/>
      <c r="G325" s="5"/>
      <c r="H325" s="5"/>
      <c r="I325" s="5" t="str">
        <f>IF(H325="","",VLOOKUP(H325,DB!A:B,2,0))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6" t="str">
        <f>IF(A326="","",VLOOKUP(A326,DB!A:B,2,0))</f>
        <v/>
      </c>
      <c r="C326" s="5"/>
      <c r="D326" s="5"/>
      <c r="E326" s="5"/>
      <c r="F326" s="5"/>
      <c r="G326" s="5"/>
      <c r="H326" s="5"/>
      <c r="I326" s="5" t="str">
        <f>IF(H326="","",VLOOKUP(H326,DB!A:B,2,0))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5"/>
      <c r="E327" s="5"/>
      <c r="F327" s="5"/>
      <c r="G327" s="5"/>
      <c r="H327" s="5"/>
      <c r="I327" s="5" t="str">
        <f>IF(H327="","",VLOOKUP(H327,DB!A:B,2,0))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5"/>
      <c r="E328" s="5"/>
      <c r="F328" s="5"/>
      <c r="G328" s="5"/>
      <c r="H328" s="5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5"/>
      <c r="E329" s="5"/>
      <c r="F329" s="5"/>
      <c r="G329" s="5"/>
      <c r="H329" s="5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5"/>
      <c r="E330" s="5"/>
      <c r="F330" s="5"/>
      <c r="G330" s="5"/>
      <c r="H330" s="5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5"/>
      <c r="E331" s="5"/>
      <c r="F331" s="5"/>
      <c r="G331" s="5"/>
      <c r="H331" s="5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5"/>
      <c r="E332" s="5"/>
      <c r="F332" s="5"/>
      <c r="G332" s="5"/>
      <c r="H332" s="5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5"/>
      <c r="E333" s="5"/>
      <c r="F333" s="5"/>
      <c r="G333" s="5"/>
      <c r="H333" s="5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6"/>
      <c r="B513" s="6" t="str">
        <f>IF(A513="","",VLOOKUP(A513,DB!A:B,2,0))</f>
        <v/>
      </c>
      <c r="C513" s="5"/>
      <c r="D513" s="6"/>
      <c r="E513" s="6"/>
      <c r="F513" s="5"/>
      <c r="G513" s="5"/>
      <c r="H513" s="6"/>
      <c r="I513" s="5" t="str">
        <f>IF(H513="","",VLOOKUP(H513,DB!A:B,2,0))</f>
        <v/>
      </c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6"/>
      <c r="B514" s="6" t="str">
        <f>IF(A514="","",VLOOKUP(A514,DB!A:B,2,0))</f>
        <v/>
      </c>
      <c r="C514" s="5"/>
      <c r="D514" s="6"/>
      <c r="E514" s="6"/>
      <c r="F514" s="5"/>
      <c r="G514" s="5"/>
      <c r="H514" s="6"/>
      <c r="I514" s="5" t="str">
        <f>IF(H514="","",VLOOKUP(H514,DB!A:B,2,0))</f>
        <v/>
      </c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6"/>
      <c r="B515" s="6" t="str">
        <f>IF(A515="","",VLOOKUP(A515,DB!A:B,2,0))</f>
        <v/>
      </c>
      <c r="C515" s="5"/>
      <c r="D515" s="6"/>
      <c r="E515" s="6"/>
      <c r="F515" s="5"/>
      <c r="G515" s="5"/>
      <c r="H515" s="6"/>
      <c r="I515" s="5" t="str">
        <f>IF(H515="","",VLOOKUP(H515,DB!A:B,2,0))</f>
        <v/>
      </c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6"/>
      <c r="B516" s="6" t="str">
        <f>IF(A516="","",VLOOKUP(A516,DB!A:B,2,0))</f>
        <v/>
      </c>
      <c r="C516" s="5"/>
      <c r="D516" s="6"/>
      <c r="E516" s="6"/>
      <c r="F516" s="5"/>
      <c r="G516" s="5"/>
      <c r="H516" s="6"/>
      <c r="I516" s="5" t="str">
        <f>IF(H516="","",VLOOKUP(H516,DB!A:B,2,0))</f>
        <v/>
      </c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6"/>
      <c r="B517" s="6" t="str">
        <f>IF(A517="","",VLOOKUP(A517,DB!A:B,2,0))</f>
        <v/>
      </c>
      <c r="C517" s="5"/>
      <c r="D517" s="6"/>
      <c r="E517" s="6"/>
      <c r="F517" s="5"/>
      <c r="G517" s="5"/>
      <c r="H517" s="6"/>
      <c r="I517" s="5" t="str">
        <f>IF(H517="","",VLOOKUP(H517,DB!A:B,2,0))</f>
        <v/>
      </c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6"/>
      <c r="B518" s="6" t="str">
        <f>IF(A518="","",VLOOKUP(A518,DB!A:B,2,0))</f>
        <v/>
      </c>
      <c r="C518" s="5"/>
      <c r="D518" s="6"/>
      <c r="E518" s="6"/>
      <c r="F518" s="5"/>
      <c r="G518" s="5"/>
      <c r="H518" s="6"/>
      <c r="I518" s="5" t="str">
        <f>IF(H518="","",VLOOKUP(H518,DB!A:B,2,0))</f>
        <v/>
      </c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6"/>
      <c r="B519" s="6" t="str">
        <f>IF(A519="","",VLOOKUP(A519,DB!A:B,2,0))</f>
        <v/>
      </c>
      <c r="C519" s="5"/>
      <c r="D519" s="6"/>
      <c r="E519" s="6"/>
      <c r="F519" s="5"/>
      <c r="G519" s="5"/>
      <c r="H519" s="6"/>
      <c r="I519" s="5" t="str">
        <f>IF(H519="","",VLOOKUP(H519,DB!A:B,2,0))</f>
        <v/>
      </c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6"/>
      <c r="B520" s="6" t="str">
        <f>IF(A520="","",VLOOKUP(A520,DB!A:B,2,0))</f>
        <v/>
      </c>
      <c r="C520" s="5"/>
      <c r="D520" s="6"/>
      <c r="E520" s="6"/>
      <c r="F520" s="5"/>
      <c r="G520" s="5"/>
      <c r="H520" s="6"/>
      <c r="I520" s="5" t="str">
        <f>IF(H520="","",VLOOKUP(H520,DB!A:B,2,0))</f>
        <v/>
      </c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6"/>
      <c r="B521" s="6" t="str">
        <f>IF(A521="","",VLOOKUP(A521,DB!A:B,2,0))</f>
        <v/>
      </c>
      <c r="C521" s="5"/>
      <c r="D521" s="6"/>
      <c r="E521" s="6"/>
      <c r="F521" s="5"/>
      <c r="G521" s="5"/>
      <c r="H521" s="6"/>
      <c r="I521" s="5" t="str">
        <f>IF(H521="","",VLOOKUP(H521,DB!A:B,2,0))</f>
        <v/>
      </c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6"/>
      <c r="B522" s="6" t="str">
        <f>IF(A522="","",VLOOKUP(A522,DB!A:B,2,0))</f>
        <v/>
      </c>
      <c r="C522" s="5"/>
      <c r="D522" s="6"/>
      <c r="E522" s="6"/>
      <c r="F522" s="5"/>
      <c r="G522" s="5"/>
      <c r="H522" s="6"/>
      <c r="I522" s="5" t="str">
        <f>IF(H522="","",VLOOKUP(H522,DB!A:B,2,0))</f>
        <v/>
      </c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6"/>
      <c r="B523" s="6" t="str">
        <f>IF(A523="","",VLOOKUP(A523,DB!A:B,2,0))</f>
        <v/>
      </c>
      <c r="C523" s="5"/>
      <c r="D523" s="6"/>
      <c r="E523" s="6"/>
      <c r="F523" s="5"/>
      <c r="G523" s="5"/>
      <c r="H523" s="6"/>
      <c r="I523" s="5" t="str">
        <f>IF(H523="","",VLOOKUP(H523,DB!A:B,2,0))</f>
        <v/>
      </c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6"/>
      <c r="B524" s="6" t="str">
        <f>IF(A524="","",VLOOKUP(A524,DB!A:B,2,0))</f>
        <v/>
      </c>
      <c r="C524" s="5"/>
      <c r="D524" s="6"/>
      <c r="E524" s="6"/>
      <c r="F524" s="5"/>
      <c r="G524" s="5"/>
      <c r="H524" s="6"/>
      <c r="I524" s="5" t="str">
        <f>IF(H524="","",VLOOKUP(H524,DB!A:B,2,0))</f>
        <v/>
      </c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</sheetData>
  <conditionalFormatting sqref="A1:AC524">
    <cfRule type="cellIs" dxfId="0" priority="1" operator="equal">
      <formula>"N/D"</formula>
    </cfRule>
  </conditionalFormatting>
  <conditionalFormatting sqref="A1:AC524">
    <cfRule type="cellIs" dxfId="1" priority="2" operator="equal">
      <formula>"N/C"</formula>
    </cfRule>
  </conditionalFormatting>
  <conditionalFormatting sqref="A1:AC524">
    <cfRule type="expression" dxfId="2" priority="3">
      <formula>ISEVEN(ROW())</formula>
    </cfRule>
  </conditionalFormatting>
  <dataValidations>
    <dataValidation type="list" allowBlank="1" showErrorMessage="1" sqref="A2:A524 H2:H524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5" t="s">
        <v>167</v>
      </c>
      <c r="B1" s="16" t="s">
        <v>168</v>
      </c>
      <c r="C1" s="17" t="s">
        <v>169</v>
      </c>
      <c r="D1" s="18" t="s">
        <v>170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171</v>
      </c>
      <c r="B2" s="10" t="s">
        <v>172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15</v>
      </c>
      <c r="B4" s="10" t="s">
        <v>173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174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72</v>
      </c>
      <c r="B6" s="10" t="s">
        <v>175</v>
      </c>
      <c r="C6" s="20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1" t="s">
        <v>74</v>
      </c>
      <c r="B7" s="21" t="s">
        <v>176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75</v>
      </c>
      <c r="B8" s="10" t="s">
        <v>177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64</v>
      </c>
      <c r="B9" s="7" t="s">
        <v>178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107</v>
      </c>
      <c r="B10" s="10" t="s">
        <v>179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9" t="s">
        <v>180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91</v>
      </c>
      <c r="B12" s="12" t="s">
        <v>181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182</v>
      </c>
      <c r="B14" s="12" t="s">
        <v>183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45</v>
      </c>
      <c r="B15" s="22" t="s">
        <v>184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55</v>
      </c>
      <c r="B16" s="7" t="s">
        <v>185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59</v>
      </c>
      <c r="B17" s="10" t="s">
        <v>186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76</v>
      </c>
      <c r="B18" s="7" t="s">
        <v>184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92</v>
      </c>
      <c r="B19" s="7" t="s">
        <v>187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188</v>
      </c>
      <c r="B20" s="6" t="s">
        <v>189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81</v>
      </c>
      <c r="B22" s="7" t="s">
        <v>190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191</v>
      </c>
      <c r="B23" s="22" t="s">
        <v>192</v>
      </c>
      <c r="C23" s="2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193</v>
      </c>
      <c r="B24" s="21" t="s">
        <v>194</v>
      </c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195</v>
      </c>
      <c r="B25" s="10" t="s">
        <v>196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197</v>
      </c>
      <c r="B26" s="7" t="s">
        <v>198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199</v>
      </c>
      <c r="B27" s="10" t="s">
        <v>200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201</v>
      </c>
      <c r="B28" s="7" t="s">
        <v>187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123</v>
      </c>
      <c r="B29" s="10" t="s">
        <v>202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203</v>
      </c>
      <c r="B30" s="7" t="s">
        <v>204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205</v>
      </c>
      <c r="B31" s="10" t="s">
        <v>206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207</v>
      </c>
      <c r="B32" s="7" t="s">
        <v>208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209</v>
      </c>
      <c r="B33" s="10" t="s">
        <v>210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211</v>
      </c>
      <c r="B34" s="7" t="s">
        <v>212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213</v>
      </c>
      <c r="B35" s="10" t="s">
        <v>214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215</v>
      </c>
      <c r="B36" s="7" t="s">
        <v>216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217</v>
      </c>
      <c r="B37" s="10" t="s">
        <v>218</v>
      </c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/>
      <c r="B38" s="10"/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2" t="s">
        <v>69</v>
      </c>
      <c r="B39" s="12" t="s">
        <v>219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2" t="s">
        <v>131</v>
      </c>
      <c r="B40" s="12" t="s">
        <v>220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221</v>
      </c>
      <c r="B42" s="10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222</v>
      </c>
      <c r="B43" s="7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223</v>
      </c>
      <c r="B44" s="10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224</v>
      </c>
      <c r="B45" s="7"/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225</v>
      </c>
      <c r="B46" s="10"/>
      <c r="C46" s="19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226</v>
      </c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227</v>
      </c>
      <c r="B48" s="10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228</v>
      </c>
      <c r="B49" s="7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0" t="s">
        <v>229</v>
      </c>
      <c r="B50" s="10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230</v>
      </c>
      <c r="B51" s="7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0" t="s">
        <v>231</v>
      </c>
      <c r="B52" s="10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232</v>
      </c>
      <c r="B53" s="7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0" t="s">
        <v>233</v>
      </c>
      <c r="B54" s="22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234</v>
      </c>
      <c r="B55" s="21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0" t="s">
        <v>235</v>
      </c>
      <c r="B56" s="22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236</v>
      </c>
      <c r="B57" s="21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0"/>
      <c r="B58" s="10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 t="s">
        <v>237</v>
      </c>
      <c r="B59" s="7"/>
      <c r="C59" s="20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0"/>
      <c r="B60" s="10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3" t="s">
        <v>238</v>
      </c>
      <c r="B61" s="7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2"/>
      <c r="B62" s="22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 t="s">
        <v>33</v>
      </c>
      <c r="B63" s="21"/>
      <c r="C63" s="20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7"/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9"/>
      <c r="B65" s="9"/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7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9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9"/>
      <c r="B68" s="9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9"/>
      <c r="B69" s="9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9"/>
      <c r="B70" s="9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9"/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9"/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9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9"/>
      <c r="B74" s="5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9"/>
      <c r="B75" s="7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9"/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9"/>
      <c r="B92" s="9"/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/>
      <c r="B95" s="7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9"/>
      <c r="B96" s="9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7"/>
      <c r="B97" s="7"/>
      <c r="C97" s="19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19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239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6" t="s">
        <v>240</v>
      </c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Conexiones!A2:O524,
    IF(A2="""", ROW(Conexiones!A2:A524)^0, ISNUMBER(SEARCH(A2, Conexiones!A2:A524))),
    IF(B2="""", ROW(Conexiones!B2:B524)^0, ISNUMBER(SEARCH(B2, Conexiones!B2:B524))),
    IF(C2="""", ROW(Conexiones!C2:C524)^0, "&amp;"ISNUMBER(SEARCH(C2, Conexiones!C2:C524))),
    IF(D2="""", ROW(Conexiones!D2:D524)^0, ISNUMBER(SEARCH(D2, Conexiones!D2:D524))),
    IF(E2="""", ROW(Conexiones!E2:E524)^0, ISNUMBER(SEARCH(E2, Conexiones!E2:E524))),
    IF(F2="""", ROW(Conexiones!F2:F524)^"&amp;"0, ISNUMBER(SEARCH(F2, Conexiones!F2:F524))),
    IF(G2="""", ROW(Conexiones!G2:G524)^0, ISNUMBER(SEARCH(G2, Conexiones!G2:G524))),
    IF(H2="""", ROW(Conexiones!H2:H524)^0, ISNUMBER(SEARCH(H2, Conexiones!H2:H524))),
    IF(B2="""", ROW(Conexiones!H2:H52"&amp;"4)^0, ISNUMBER(SEARCH(B2, Conexiones!H2:H524))),
    IF(I2="""", ROW(Conexiones!I2:I524)^0, ISNUMBER(SEARCH(I2, Conexiones!I2:I524))),
    IF(J2="""", ROW(Conexiones!J2:J524)^0, ISNUMBER(SEARCH(J2, Conexiones!J2:J524))),
    IF(L2="""", ROW(Conexiones!L2:"&amp;"L524)^0, ISNUMBER(SEARCH(L2, Conexiones!L2:L524))),
    IF(M2="""", ROW(Conexiones!M2:M524)^0, ISNUMBER(SEARCH(M2, Conexiones!M2:M524))),
    IF(N2="""", ROW(Conexiones!N2:N524)^0, ISNUMBER(SEARCH(N2, Conexiones!N2:N524))),
    IF(O2="""", ROW(Conexiones!"&amp;"O2:O524)^0, ISNUMBER(SEARCH(O2, Conexiones!O2:O524)))
  ),
  Q2,
  TRUE
)"),"B.7")</f>
        <v>B.7</v>
      </c>
      <c r="B3" s="5" t="str">
        <f>IFERROR(__xludf.DUMMYFUNCTION("""COMPUTED_VALUE"""),"Blackmagic SmartView Duo")</f>
        <v>Blackmagic SmartView Duo</v>
      </c>
      <c r="C3" s="5"/>
      <c r="D3" s="5"/>
      <c r="E3" s="5" t="str">
        <f>IFERROR(__xludf.DUMMYFUNCTION("""COMPUTED_VALUE"""),"SDI Out 2")</f>
        <v>SDI Out 2</v>
      </c>
      <c r="F3" s="5" t="str">
        <f>IFERROR(__xludf.DUMMYFUNCTION("""COMPUTED_VALUE"""),"T")</f>
        <v>T</v>
      </c>
      <c r="G3" s="5" t="str">
        <f>IFERROR(__xludf.DUMMYFUNCTION("""COMPUTED_VALUE"""),"Mon 1")</f>
        <v>Mon 1</v>
      </c>
      <c r="H3" s="5" t="str">
        <f>IFERROR(__xludf.DUMMYFUNCTION("""COMPUTED_VALUE"""),"Ext.1")</f>
        <v>Ext.1</v>
      </c>
      <c r="I3" s="5" t="str">
        <f>IFERROR(__xludf.DUMMYFUNCTION("""COMPUTED_VALUE"""),"Patchera Externa Video")</f>
        <v>Patchera Externa Video</v>
      </c>
      <c r="J3" s="5"/>
      <c r="K3" s="5"/>
      <c r="L3" s="5" t="str">
        <f>IFERROR(__xludf.DUMMYFUNCTION("""COMPUTED_VALUE"""),"AIRE In")</f>
        <v>AIRE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4"/>
      <c r="AG6" s="24"/>
      <c r="AH6" s="24"/>
      <c r="AI6" s="24"/>
      <c r="AJ6" s="24"/>
      <c r="AK6" s="24"/>
      <c r="AL6" s="24"/>
      <c r="AM6" s="24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4"/>
      <c r="AG14" s="24"/>
      <c r="AH14" s="24"/>
      <c r="AI14" s="24"/>
      <c r="AJ14" s="24"/>
      <c r="AK14" s="24"/>
      <c r="AL14" s="24"/>
      <c r="AM14" s="24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