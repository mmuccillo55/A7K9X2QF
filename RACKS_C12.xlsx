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B" sheetId="1" r:id="rId4"/>
    <sheet state="visible" name="Rack A" sheetId="2" r:id="rId5"/>
    <sheet state="visible" name="Rack B" sheetId="3" r:id="rId6"/>
    <sheet state="visible" name="Rack C.3 AJA KUMO 6464" sheetId="4" r:id="rId7"/>
    <sheet state="visible" name="Rack C.4 Blackmagic Multiview 1" sheetId="5" r:id="rId8"/>
    <sheet state="visible" name="Rack C.5 Blackmagic 12 x 12" sheetId="6" r:id="rId9"/>
    <sheet state="visible" name="Rack C.6 Patch panel Inputs" sheetId="7" r:id="rId10"/>
    <sheet state="visible" name="Rack C.7 Patch panel Outputs" sheetId="8" r:id="rId11"/>
    <sheet state="visible" name="Rack D.Back" sheetId="9" r:id="rId12"/>
    <sheet state="visible" name="Rack D.7 openGear X" sheetId="10" r:id="rId13"/>
    <sheet state="visible" name="Rack D.9 openGear X" sheetId="11" r:id="rId14"/>
    <sheet state="visible" name="Rack F.7 FOR A HVS-390HS" sheetId="12" r:id="rId15"/>
  </sheets>
  <definedNames/>
  <calcPr/>
  <extLst>
    <ext uri="GoogleSheetsCustomDataVersion2">
      <go:sheetsCustomData xmlns:go="http://customooxmlschemas.google.com/" r:id="rId16" roundtripDataChecksum="YQmSmEll1S5DRgyZQoF+E0LNU/ejDsmeCNp/FvxCfM0="/>
    </ext>
  </extLst>
</workbook>
</file>

<file path=xl/sharedStrings.xml><?xml version="1.0" encoding="utf-8"?>
<sst xmlns="http://schemas.openxmlformats.org/spreadsheetml/2006/main" count="1169" uniqueCount="366">
  <si>
    <t>Rack</t>
  </si>
  <si>
    <t>Equipo</t>
  </si>
  <si>
    <t>A.1</t>
  </si>
  <si>
    <t>Server Players</t>
  </si>
  <si>
    <t>A.2</t>
  </si>
  <si>
    <t>Player A</t>
  </si>
  <si>
    <t>A.3</t>
  </si>
  <si>
    <t>Player B</t>
  </si>
  <si>
    <t>A.4</t>
  </si>
  <si>
    <t>Player C</t>
  </si>
  <si>
    <t>A.5</t>
  </si>
  <si>
    <t>CGX</t>
  </si>
  <si>
    <t>B.1</t>
  </si>
  <si>
    <t>Server Loops</t>
  </si>
  <si>
    <t>B.2</t>
  </si>
  <si>
    <t>Loop A</t>
  </si>
  <si>
    <t>B.3</t>
  </si>
  <si>
    <t>Loop B</t>
  </si>
  <si>
    <t>B.4</t>
  </si>
  <si>
    <t>Loop C</t>
  </si>
  <si>
    <t>C.1</t>
  </si>
  <si>
    <t>Leader Genlock</t>
  </si>
  <si>
    <t>C.2</t>
  </si>
  <si>
    <t>Miranda Densite3</t>
  </si>
  <si>
    <t>C.3</t>
  </si>
  <si>
    <t>AJA KUMO 6464</t>
  </si>
  <si>
    <t>C.4</t>
  </si>
  <si>
    <t>Blackmagic Multiview 16</t>
  </si>
  <si>
    <t>C.5</t>
  </si>
  <si>
    <t>Blackmagic 12 x 12</t>
  </si>
  <si>
    <t>C.6</t>
  </si>
  <si>
    <t>Patch Panel</t>
  </si>
  <si>
    <t>C.7</t>
  </si>
  <si>
    <t>D.BACK</t>
  </si>
  <si>
    <t>Raspberry PI</t>
  </si>
  <si>
    <t>D.1</t>
  </si>
  <si>
    <t>Telairity BE-IRD 5501</t>
  </si>
  <si>
    <t>D.2</t>
  </si>
  <si>
    <t>?</t>
  </si>
  <si>
    <t>D.3</t>
  </si>
  <si>
    <t>Wellav UMH160R</t>
  </si>
  <si>
    <t>D.4</t>
  </si>
  <si>
    <t>D.5</t>
  </si>
  <si>
    <t>Receptor cable vision</t>
  </si>
  <si>
    <t>D.6</t>
  </si>
  <si>
    <t>Telairity BE-IRD 5503</t>
  </si>
  <si>
    <t>D.7</t>
  </si>
  <si>
    <t>openGear X</t>
  </si>
  <si>
    <t>D.8</t>
  </si>
  <si>
    <t>Cisco</t>
  </si>
  <si>
    <t>D.9</t>
  </si>
  <si>
    <t>D.10</t>
  </si>
  <si>
    <t>tc electronic Finalizer</t>
  </si>
  <si>
    <t>D.11</t>
  </si>
  <si>
    <t>AJA FS4</t>
  </si>
  <si>
    <t>D.12</t>
  </si>
  <si>
    <t>AJA FS2</t>
  </si>
  <si>
    <t>D.13</t>
  </si>
  <si>
    <t>D.14</t>
  </si>
  <si>
    <t>D.15</t>
  </si>
  <si>
    <t>D.16</t>
  </si>
  <si>
    <t>Videocasetera</t>
  </si>
  <si>
    <t>E.1</t>
  </si>
  <si>
    <t>Thomson Up-Link</t>
  </si>
  <si>
    <t>E.2</t>
  </si>
  <si>
    <t>Leader LV 7770</t>
  </si>
  <si>
    <t>E.3</t>
  </si>
  <si>
    <t>PC Rack</t>
  </si>
  <si>
    <t>E.4</t>
  </si>
  <si>
    <t>Datavideo TC-200</t>
  </si>
  <si>
    <t>F.1</t>
  </si>
  <si>
    <t>F.2</t>
  </si>
  <si>
    <t>Sony HXCU-100</t>
  </si>
  <si>
    <t>F.3</t>
  </si>
  <si>
    <t>F.4</t>
  </si>
  <si>
    <t>F.5</t>
  </si>
  <si>
    <t>F.6</t>
  </si>
  <si>
    <t>Blackmagic Multiview 4</t>
  </si>
  <si>
    <t>F.7</t>
  </si>
  <si>
    <t>FOR A HVS-390HS</t>
  </si>
  <si>
    <t>F.8</t>
  </si>
  <si>
    <t>AJA HD5DA</t>
  </si>
  <si>
    <t>K</t>
  </si>
  <si>
    <t>L</t>
  </si>
  <si>
    <t>PISO</t>
  </si>
  <si>
    <t>D.CAM.</t>
  </si>
  <si>
    <t>VACANTE</t>
  </si>
  <si>
    <t>N/C</t>
  </si>
  <si>
    <t>Origen</t>
  </si>
  <si>
    <t>Destino</t>
  </si>
  <si>
    <t>Slot</t>
  </si>
  <si>
    <t>Puerto</t>
  </si>
  <si>
    <t>Notas</t>
  </si>
  <si>
    <t>Out 1</t>
  </si>
  <si>
    <t>In 1</t>
  </si>
  <si>
    <t>Out 2</t>
  </si>
  <si>
    <t>In 5</t>
  </si>
  <si>
    <t>In 2</t>
  </si>
  <si>
    <t>In 6</t>
  </si>
  <si>
    <t>In 3</t>
  </si>
  <si>
    <t>In 4</t>
  </si>
  <si>
    <t>Decklink</t>
  </si>
  <si>
    <t>Out P3</t>
  </si>
  <si>
    <t>In 55</t>
  </si>
  <si>
    <t>Out 56</t>
  </si>
  <si>
    <t>In P1</t>
  </si>
  <si>
    <t>Out 17</t>
  </si>
  <si>
    <t>Out 18</t>
  </si>
  <si>
    <t>Out 19</t>
  </si>
  <si>
    <t>Out 20</t>
  </si>
  <si>
    <t>Out 21</t>
  </si>
  <si>
    <t>Out 22</t>
  </si>
  <si>
    <t>In</t>
  </si>
  <si>
    <t>Rótulo</t>
  </si>
  <si>
    <t>Out</t>
  </si>
  <si>
    <t>PLAYER A.1</t>
  </si>
  <si>
    <t>MATRIZ 1</t>
  </si>
  <si>
    <t>PLAYER B.1</t>
  </si>
  <si>
    <t>MATRIZ 2</t>
  </si>
  <si>
    <t>PLAYER C.1</t>
  </si>
  <si>
    <t>MATRIZ 3</t>
  </si>
  <si>
    <t>PLAYER C.2</t>
  </si>
  <si>
    <t>MATRIZ 4</t>
  </si>
  <si>
    <t>FOR A PGM</t>
  </si>
  <si>
    <t>MATRIZ 5</t>
  </si>
  <si>
    <t>FOR A AUX 6</t>
  </si>
  <si>
    <t>Aux 6</t>
  </si>
  <si>
    <t>MATRIZ 6</t>
  </si>
  <si>
    <t>AJA FS2 NTSC</t>
  </si>
  <si>
    <t>MATRIZ 7</t>
  </si>
  <si>
    <t>In 7</t>
  </si>
  <si>
    <t>IRD TELA</t>
  </si>
  <si>
    <t>MATRIZ 8</t>
  </si>
  <si>
    <t>In 8</t>
  </si>
  <si>
    <t>MATRIZ 9</t>
  </si>
  <si>
    <t>In 9</t>
  </si>
  <si>
    <t>FIBRA MOVIL</t>
  </si>
  <si>
    <t>2</t>
  </si>
  <si>
    <t>MATRIZ 10</t>
  </si>
  <si>
    <t>In 10</t>
  </si>
  <si>
    <t>FIBRA CAMARA</t>
  </si>
  <si>
    <t>5</t>
  </si>
  <si>
    <t>MATRIZ 11</t>
  </si>
  <si>
    <t>In 11</t>
  </si>
  <si>
    <t>FIBRA Canal 4</t>
  </si>
  <si>
    <t>MATRIZ 12</t>
  </si>
  <si>
    <t>In 12</t>
  </si>
  <si>
    <t>FIBRA RADIO</t>
  </si>
  <si>
    <t>6</t>
  </si>
  <si>
    <t>MX 13 AUDIO</t>
  </si>
  <si>
    <t>In 13</t>
  </si>
  <si>
    <t>FIBRA MOL</t>
  </si>
  <si>
    <t>4</t>
  </si>
  <si>
    <t>MX 14 AUDIO</t>
  </si>
  <si>
    <t>In 14</t>
  </si>
  <si>
    <t>Cable suelto Rack K</t>
  </si>
  <si>
    <t>MX 15 AUDIO</t>
  </si>
  <si>
    <t>In 15</t>
  </si>
  <si>
    <t>FIBRA IPLYC</t>
  </si>
  <si>
    <t>3</t>
  </si>
  <si>
    <t>MX 16 AUDIO</t>
  </si>
  <si>
    <t>In 16</t>
  </si>
  <si>
    <t>IRD C12</t>
  </si>
  <si>
    <t>LOOP A.1</t>
  </si>
  <si>
    <t>IRD TV P.</t>
  </si>
  <si>
    <t>LOOP A.2</t>
  </si>
  <si>
    <t>IRD WELL. H</t>
  </si>
  <si>
    <t>LOOP B.1</t>
  </si>
  <si>
    <t>IRD CIS.H/V</t>
  </si>
  <si>
    <t>LOOP B.2</t>
  </si>
  <si>
    <t>Canal 13</t>
  </si>
  <si>
    <t>Va a conversor Aja, en el mismo rack</t>
  </si>
  <si>
    <t>LOOP C.1</t>
  </si>
  <si>
    <t>GRAB GV</t>
  </si>
  <si>
    <t>Out P1</t>
  </si>
  <si>
    <t>LOOP C.2</t>
  </si>
  <si>
    <t>CABLE VISION</t>
  </si>
  <si>
    <t>1 MV TX</t>
  </si>
  <si>
    <t>CISCO 2</t>
  </si>
  <si>
    <t>Cable suelto sin conector e/ Rack C/D</t>
  </si>
  <si>
    <t>ST MO ESTU</t>
  </si>
  <si>
    <t>MX 25</t>
  </si>
  <si>
    <t>Casa del Streaming</t>
  </si>
  <si>
    <t>1</t>
  </si>
  <si>
    <t>HDMI to SDI (Raspberry 1)</t>
  </si>
  <si>
    <t>MX 26</t>
  </si>
  <si>
    <t>Deco m. Posadas</t>
  </si>
  <si>
    <t>HDMI to SDI (Raspberry 2)</t>
  </si>
  <si>
    <t>MX 27</t>
  </si>
  <si>
    <t>HDMI to SDI (VACANTE)</t>
  </si>
  <si>
    <t>MX 28</t>
  </si>
  <si>
    <t>PC RACK 4</t>
  </si>
  <si>
    <t>DeckLink</t>
  </si>
  <si>
    <t>Out P4</t>
  </si>
  <si>
    <t>D.L.2 OBS c12</t>
  </si>
  <si>
    <t>Cable suelto Rack E</t>
  </si>
  <si>
    <t>MV CAM</t>
  </si>
  <si>
    <t>D.L.1 Streaming</t>
  </si>
  <si>
    <t>In P3</t>
  </si>
  <si>
    <t>CG OUT</t>
  </si>
  <si>
    <t>CG</t>
  </si>
  <si>
    <t>Esc pantalla</t>
  </si>
  <si>
    <t>APPLE TV</t>
  </si>
  <si>
    <t xml:space="preserve">BM HDMI to SDI ARRIBA </t>
  </si>
  <si>
    <t>out out</t>
  </si>
  <si>
    <t>ESTUDIO 5</t>
  </si>
  <si>
    <t>15</t>
  </si>
  <si>
    <t>MON PISO</t>
  </si>
  <si>
    <t>BM SDI to HDMI</t>
  </si>
  <si>
    <t>PC DIR</t>
  </si>
  <si>
    <t>14</t>
  </si>
  <si>
    <t>MON ILUMINA</t>
  </si>
  <si>
    <t>titlo elec elec</t>
  </si>
  <si>
    <t>13</t>
  </si>
  <si>
    <t>MON TITULOS</t>
  </si>
  <si>
    <t>full ece</t>
  </si>
  <si>
    <t>12</t>
  </si>
  <si>
    <t>xxx xxx</t>
  </si>
  <si>
    <t>PATCH 6</t>
  </si>
  <si>
    <t>11</t>
  </si>
  <si>
    <t>Fibra TDA 1 S</t>
  </si>
  <si>
    <t>PATCH 7</t>
  </si>
  <si>
    <t>10</t>
  </si>
  <si>
    <t>ALL PTCH 8</t>
  </si>
  <si>
    <t>9</t>
  </si>
  <si>
    <t>CAM 1</t>
  </si>
  <si>
    <t>TO MOVIo</t>
  </si>
  <si>
    <t>CAM 2</t>
  </si>
  <si>
    <t>to cv hd</t>
  </si>
  <si>
    <t>CAM 3</t>
  </si>
  <si>
    <t>Radio desem</t>
  </si>
  <si>
    <t>CAM 4</t>
  </si>
  <si>
    <t>MON SONIDI</t>
  </si>
  <si>
    <t>MONI LINEA</t>
  </si>
  <si>
    <t>Dest 47</t>
  </si>
  <si>
    <t>Dest 48</t>
  </si>
  <si>
    <t>SONY AUX 1</t>
  </si>
  <si>
    <t>Vacante en Rack E</t>
  </si>
  <si>
    <t>AJA f2.2 PGM</t>
  </si>
  <si>
    <t>GV DIR IN</t>
  </si>
  <si>
    <t>fs2 c4</t>
  </si>
  <si>
    <t>mochila interior</t>
  </si>
  <si>
    <t>video YT Stre</t>
  </si>
  <si>
    <t>BM 12 Stre</t>
  </si>
  <si>
    <t>Thom up-link</t>
  </si>
  <si>
    <t>Salida CGX</t>
  </si>
  <si>
    <t>IN CGX</t>
  </si>
  <si>
    <t>CGX AJA FS4</t>
  </si>
  <si>
    <t>AJA FS4 2</t>
  </si>
  <si>
    <t>AJA FS4 3</t>
  </si>
  <si>
    <t>AJA FS4 SAT 3</t>
  </si>
  <si>
    <t>AJA FS4 4</t>
  </si>
  <si>
    <t>AIRE!! AJA FS4</t>
  </si>
  <si>
    <t>OSC CANAL 1</t>
  </si>
  <si>
    <t>LINEA 1X9</t>
  </si>
  <si>
    <t>J3</t>
  </si>
  <si>
    <t>OSC CANAL 2</t>
  </si>
  <si>
    <t>MV</t>
  </si>
  <si>
    <t>SDI OUT</t>
  </si>
  <si>
    <t>MV tx</t>
  </si>
  <si>
    <t>RADIO TX</t>
  </si>
  <si>
    <t>BM 1 PGM</t>
  </si>
  <si>
    <t>Out 11</t>
  </si>
  <si>
    <t>AIRE</t>
  </si>
  <si>
    <t>Out 23</t>
  </si>
  <si>
    <t>Out 3</t>
  </si>
  <si>
    <t>Out 4</t>
  </si>
  <si>
    <t>Out 5</t>
  </si>
  <si>
    <t>Out 6</t>
  </si>
  <si>
    <t>Out 7</t>
  </si>
  <si>
    <t>Out 8</t>
  </si>
  <si>
    <t>Out 9</t>
  </si>
  <si>
    <t>Out 10</t>
  </si>
  <si>
    <t>Out 12</t>
  </si>
  <si>
    <t>Out 13</t>
  </si>
  <si>
    <t>SDI In</t>
  </si>
  <si>
    <t>Out 14</t>
  </si>
  <si>
    <t>Out 15</t>
  </si>
  <si>
    <t>Out 16</t>
  </si>
  <si>
    <t>In 63</t>
  </si>
  <si>
    <t>MV TX</t>
  </si>
  <si>
    <t>In 64</t>
  </si>
  <si>
    <t>Patch</t>
  </si>
  <si>
    <t>In 33</t>
  </si>
  <si>
    <t>Cable suelto en Rack C</t>
  </si>
  <si>
    <t>In 34</t>
  </si>
  <si>
    <t>In 35</t>
  </si>
  <si>
    <t>In 36</t>
  </si>
  <si>
    <t>In 37</t>
  </si>
  <si>
    <t>In 38</t>
  </si>
  <si>
    <t>In 39</t>
  </si>
  <si>
    <t>In 40</t>
  </si>
  <si>
    <t>Out 33</t>
  </si>
  <si>
    <t>Out 34</t>
  </si>
  <si>
    <t>Out 35</t>
  </si>
  <si>
    <t>Out 36</t>
  </si>
  <si>
    <t>Out 37</t>
  </si>
  <si>
    <t>Out 38</t>
  </si>
  <si>
    <t>Out 39</t>
  </si>
  <si>
    <t>Out 40</t>
  </si>
  <si>
    <t>Out 41</t>
  </si>
  <si>
    <t>TO MOVio</t>
  </si>
  <si>
    <t>Out 42</t>
  </si>
  <si>
    <t>Out 43</t>
  </si>
  <si>
    <t>Out 44</t>
  </si>
  <si>
    <t>Out 45</t>
  </si>
  <si>
    <t>Out 46</t>
  </si>
  <si>
    <t>Out 47</t>
  </si>
  <si>
    <t>Out 48</t>
  </si>
  <si>
    <t>D.Back</t>
  </si>
  <si>
    <t>HDMI Out</t>
  </si>
  <si>
    <t>HDMI In</t>
  </si>
  <si>
    <t>SRT La Casa del Streaming</t>
  </si>
  <si>
    <t>SRT Mochila LiveU Posadas</t>
  </si>
  <si>
    <t>N° Placa</t>
  </si>
  <si>
    <t>HDMI to SDI</t>
  </si>
  <si>
    <t>SDI Out 1</t>
  </si>
  <si>
    <t>In 26</t>
  </si>
  <si>
    <t>SDI Out 2</t>
  </si>
  <si>
    <t>In 27</t>
  </si>
  <si>
    <t>SRT LiveU Posadas</t>
  </si>
  <si>
    <t>In 28</t>
  </si>
  <si>
    <t>De-embedder</t>
  </si>
  <si>
    <t>SDI Out</t>
  </si>
  <si>
    <t>Analog Audio L</t>
  </si>
  <si>
    <t>Analog Audio R</t>
  </si>
  <si>
    <t>Dist. Amp. 2x4</t>
  </si>
  <si>
    <t>J1</t>
  </si>
  <si>
    <t>J2 (in)</t>
  </si>
  <si>
    <t>Out 49</t>
  </si>
  <si>
    <t>J4 (out)</t>
  </si>
  <si>
    <t>cable amarillo</t>
  </si>
  <si>
    <t>J5</t>
  </si>
  <si>
    <t>J6 (out)</t>
  </si>
  <si>
    <t>J7</t>
  </si>
  <si>
    <t>J8</t>
  </si>
  <si>
    <t>J9</t>
  </si>
  <si>
    <t>J10</t>
  </si>
  <si>
    <t>Emb / De-emb</t>
  </si>
  <si>
    <t>A1</t>
  </si>
  <si>
    <t>A2</t>
  </si>
  <si>
    <t>A3</t>
  </si>
  <si>
    <t>A4</t>
  </si>
  <si>
    <t>A5</t>
  </si>
  <si>
    <t>A6</t>
  </si>
  <si>
    <t>A7</t>
  </si>
  <si>
    <t>A8</t>
  </si>
  <si>
    <t>J2</t>
  </si>
  <si>
    <t>In 62</t>
  </si>
  <si>
    <t>J4</t>
  </si>
  <si>
    <t>J6</t>
  </si>
  <si>
    <t>Aux 1</t>
  </si>
  <si>
    <t>Aux 2</t>
  </si>
  <si>
    <t>Aux 3</t>
  </si>
  <si>
    <t>BM SDI to HDMI &gt; Capturadora USB</t>
  </si>
  <si>
    <t>Aux 4</t>
  </si>
  <si>
    <t>Player A.2</t>
  </si>
  <si>
    <t>Aux 5</t>
  </si>
  <si>
    <t>Player B.2</t>
  </si>
  <si>
    <t>SDI IN</t>
  </si>
  <si>
    <t>Distribuidor PGM (cam pvw)</t>
  </si>
  <si>
    <t>7</t>
  </si>
  <si>
    <t>Out 25</t>
  </si>
  <si>
    <t>Out 26</t>
  </si>
  <si>
    <t>Out 27</t>
  </si>
  <si>
    <t>Out 28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</si>
</sst>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2.0"/>
      <color theme="1"/>
      <name val="Arial"/>
    </font>
    <font/>
    <font>
      <sz val="10.0"/>
      <color theme="1"/>
      <name val="Arial"/>
    </font>
    <font>
      <color rgb="FF000000"/>
      <name val="Arial"/>
    </font>
    <font>
      <color rgb="FFFF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B4C7DC"/>
        <bgColor rgb="FFB4C7DC"/>
      </patternFill>
    </fill>
    <fill>
      <patternFill patternType="solid">
        <fgColor theme="0"/>
        <bgColor theme="0"/>
      </patternFill>
    </fill>
    <fill>
      <patternFill patternType="solid">
        <fgColor rgb="FFDEE6EF"/>
        <bgColor rgb="FFDEE6EF"/>
      </patternFill>
    </fill>
    <fill>
      <patternFill patternType="solid">
        <fgColor rgb="FFF6F9D4"/>
        <bgColor rgb="FFF6F9D4"/>
      </patternFill>
    </fill>
    <fill>
      <patternFill patternType="solid">
        <fgColor rgb="FFFF0000"/>
        <bgColor rgb="FFFF0000"/>
      </patternFill>
    </fill>
  </fills>
  <borders count="6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4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horizontal="left" shrinkToFit="0" vertical="center" wrapText="0"/>
    </xf>
    <xf borderId="2" fillId="0" fontId="4" numFmtId="0" xfId="0" applyBorder="1" applyFont="1"/>
    <xf borderId="3" fillId="0" fontId="4" numFmtId="0" xfId="0" applyBorder="1" applyFont="1"/>
    <xf borderId="0" fillId="3" fontId="3" numFmtId="0" xfId="0" applyAlignment="1" applyFill="1" applyFont="1">
      <alignment horizontal="left" shrinkToFit="0" vertical="center" wrapText="0"/>
    </xf>
    <xf borderId="4" fillId="4" fontId="3" numFmtId="0" xfId="0" applyAlignment="1" applyBorder="1" applyFill="1" applyFont="1">
      <alignment shrinkToFit="0" vertical="bottom" wrapText="0"/>
    </xf>
    <xf borderId="0" fillId="3" fontId="3" numFmtId="0" xfId="0" applyAlignment="1" applyFont="1">
      <alignment shrinkToFit="0" vertical="bottom" wrapText="0"/>
    </xf>
    <xf borderId="4" fillId="0" fontId="2" numFmtId="0" xfId="0" applyBorder="1" applyFont="1"/>
    <xf borderId="4" fillId="0" fontId="5" numFmtId="0" xfId="0" applyAlignment="1" applyBorder="1" applyFont="1">
      <alignment shrinkToFit="0" vertical="bottom" wrapText="0"/>
    </xf>
    <xf borderId="4" fillId="0" fontId="5" numFmtId="49" xfId="0" applyAlignment="1" applyBorder="1" applyFont="1" applyNumberFormat="1">
      <alignment shrinkToFit="0" vertical="bottom" wrapText="0"/>
    </xf>
    <xf borderId="0" fillId="3" fontId="5" numFmtId="0" xfId="0" applyAlignment="1" applyFont="1">
      <alignment shrinkToFit="0" vertical="bottom" wrapText="0"/>
    </xf>
    <xf borderId="4" fillId="5" fontId="2" numFmtId="0" xfId="0" applyBorder="1" applyFill="1" applyFont="1"/>
    <xf borderId="4" fillId="5" fontId="5" numFmtId="0" xfId="0" applyAlignment="1" applyBorder="1" applyFont="1">
      <alignment shrinkToFit="0" vertical="bottom" wrapText="0"/>
    </xf>
    <xf borderId="4" fillId="5" fontId="5" numFmtId="49" xfId="0" applyAlignment="1" applyBorder="1" applyFont="1" applyNumberFormat="1">
      <alignment shrinkToFit="0" vertical="bottom" wrapText="0"/>
    </xf>
    <xf borderId="4" fillId="0" fontId="2" numFmtId="0" xfId="0" applyAlignment="1" applyBorder="1" applyFont="1">
      <alignment readingOrder="0"/>
    </xf>
    <xf borderId="4" fillId="5" fontId="6" numFmtId="0" xfId="0" applyBorder="1" applyFont="1"/>
    <xf borderId="0" fillId="3" fontId="2" numFmtId="0" xfId="0" applyFont="1"/>
    <xf borderId="4" fillId="5" fontId="2" numFmtId="0" xfId="0" applyAlignment="1" applyBorder="1" applyFont="1">
      <alignment readingOrder="0"/>
    </xf>
    <xf borderId="0" fillId="0" fontId="3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bottom" wrapText="0"/>
    </xf>
    <xf borderId="4" fillId="3" fontId="5" numFmtId="49" xfId="0" applyAlignment="1" applyBorder="1" applyFont="1" applyNumberFormat="1">
      <alignment shrinkToFit="0" vertical="bottom" wrapText="0"/>
    </xf>
    <xf borderId="4" fillId="0" fontId="5" numFmtId="49" xfId="0" applyAlignment="1" applyBorder="1" applyFont="1" applyNumberFormat="1">
      <alignment readingOrder="0" shrinkToFit="0" vertical="bottom" wrapText="0"/>
    </xf>
    <xf borderId="4" fillId="0" fontId="5" numFmtId="0" xfId="0" applyAlignment="1" applyBorder="1" applyFont="1">
      <alignment readingOrder="0" shrinkToFit="0" vertical="bottom" wrapText="0"/>
    </xf>
    <xf borderId="4" fillId="5" fontId="5" numFmtId="49" xfId="0" applyAlignment="1" applyBorder="1" applyFont="1" applyNumberFormat="1">
      <alignment readingOrder="0" shrinkToFit="0" vertical="bottom" wrapText="0"/>
    </xf>
    <xf borderId="4" fillId="5" fontId="5" numFmtId="0" xfId="0" applyAlignment="1" applyBorder="1" applyFont="1">
      <alignment readingOrder="0" shrinkToFit="0" vertical="bottom" wrapText="0"/>
    </xf>
    <xf borderId="0" fillId="6" fontId="5" numFmtId="0" xfId="0" applyAlignment="1" applyFill="1" applyFont="1">
      <alignment shrinkToFit="0" vertical="bottom" wrapText="0"/>
    </xf>
    <xf borderId="4" fillId="6" fontId="5" numFmtId="0" xfId="0" applyAlignment="1" applyBorder="1" applyFont="1">
      <alignment readingOrder="0" shrinkToFit="0" vertical="bottom" wrapText="0"/>
    </xf>
    <xf borderId="0" fillId="3" fontId="7" numFmtId="0" xfId="0" applyFont="1"/>
    <xf borderId="4" fillId="2" fontId="3" numFmtId="0" xfId="0" applyAlignment="1" applyBorder="1" applyFont="1">
      <alignment horizontal="left" shrinkToFit="0" vertical="center" wrapText="0"/>
    </xf>
    <xf borderId="5" fillId="5" fontId="5" numFmtId="0" xfId="0" applyAlignment="1" applyBorder="1" applyFont="1">
      <alignment shrinkToFit="0" vertical="bottom" wrapText="0"/>
    </xf>
    <xf borderId="5" fillId="5" fontId="5" numFmtId="49" xfId="0" applyAlignment="1" applyBorder="1" applyFont="1" applyNumberFormat="1">
      <alignment shrinkToFit="0" vertical="bottom" wrapText="0"/>
    </xf>
    <xf borderId="4" fillId="6" fontId="5" numFmtId="49" xfId="0" applyAlignment="1" applyBorder="1" applyFont="1" applyNumberFormat="1">
      <alignment shrinkToFit="0" vertical="bottom" wrapText="0"/>
    </xf>
    <xf borderId="4" fillId="3" fontId="5" numFmtId="0" xfId="0" applyAlignment="1" applyBorder="1" applyFont="1">
      <alignment shrinkToFit="0" vertical="bottom" wrapText="0"/>
    </xf>
    <xf borderId="4" fillId="3" fontId="2" numFmtId="0" xfId="0" applyBorder="1" applyFont="1"/>
    <xf borderId="4" fillId="5" fontId="1" numFmtId="0" xfId="0" applyBorder="1" applyFont="1"/>
    <xf borderId="0" fillId="3" fontId="1" numFmtId="0" xfId="0" applyFont="1"/>
    <xf borderId="4" fillId="3" fontId="1" numFmtId="0" xfId="0" applyBorder="1" applyFont="1"/>
    <xf borderId="4" fillId="6" fontId="5" numFmtId="0" xfId="0" applyAlignment="1" applyBorder="1" applyFont="1">
      <alignment shrinkToFit="0" vertical="bottom" wrapText="0"/>
    </xf>
    <xf borderId="5" fillId="0" fontId="5" numFmtId="0" xfId="0" applyAlignment="1" applyBorder="1" applyFont="1">
      <alignment shrinkToFit="0" vertical="bottom" wrapText="0"/>
    </xf>
    <xf borderId="0" fillId="0" fontId="5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0.63"/>
    <col customWidth="1" min="2" max="2" width="22.25"/>
    <col customWidth="1" min="12" max="12" width="31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2" t="s">
        <v>5</v>
      </c>
    </row>
    <row r="4">
      <c r="A4" s="2" t="s">
        <v>6</v>
      </c>
      <c r="B4" s="2" t="s">
        <v>7</v>
      </c>
    </row>
    <row r="5">
      <c r="A5" s="2" t="s">
        <v>8</v>
      </c>
      <c r="B5" s="2" t="s">
        <v>9</v>
      </c>
    </row>
    <row r="6">
      <c r="A6" s="2" t="s">
        <v>10</v>
      </c>
      <c r="B6" s="2" t="s">
        <v>11</v>
      </c>
    </row>
    <row r="8">
      <c r="A8" s="2" t="s">
        <v>12</v>
      </c>
      <c r="B8" s="2" t="s">
        <v>13</v>
      </c>
    </row>
    <row r="9">
      <c r="A9" s="2" t="s">
        <v>14</v>
      </c>
      <c r="B9" s="2" t="s">
        <v>15</v>
      </c>
    </row>
    <row r="10">
      <c r="A10" s="2" t="s">
        <v>16</v>
      </c>
      <c r="B10" s="2" t="s">
        <v>17</v>
      </c>
    </row>
    <row r="11">
      <c r="A11" s="2" t="s">
        <v>18</v>
      </c>
      <c r="B11" s="2" t="s">
        <v>19</v>
      </c>
    </row>
    <row r="13">
      <c r="A13" s="2" t="s">
        <v>20</v>
      </c>
      <c r="B13" s="2" t="s">
        <v>21</v>
      </c>
    </row>
    <row r="14">
      <c r="A14" s="2" t="s">
        <v>22</v>
      </c>
      <c r="B14" s="2" t="s">
        <v>23</v>
      </c>
    </row>
    <row r="15">
      <c r="A15" s="2" t="s">
        <v>24</v>
      </c>
      <c r="B15" s="2" t="s">
        <v>25</v>
      </c>
    </row>
    <row r="16">
      <c r="A16" s="2" t="s">
        <v>26</v>
      </c>
      <c r="B16" s="2" t="s">
        <v>27</v>
      </c>
    </row>
    <row r="17">
      <c r="A17" s="2" t="s">
        <v>28</v>
      </c>
      <c r="B17" s="2" t="s">
        <v>29</v>
      </c>
    </row>
    <row r="18">
      <c r="A18" s="2" t="s">
        <v>30</v>
      </c>
      <c r="B18" s="2" t="s">
        <v>31</v>
      </c>
    </row>
    <row r="19">
      <c r="A19" s="2" t="s">
        <v>32</v>
      </c>
      <c r="B19" s="2" t="s">
        <v>31</v>
      </c>
    </row>
    <row r="21">
      <c r="A21" s="3" t="s">
        <v>33</v>
      </c>
      <c r="B21" s="3" t="s">
        <v>34</v>
      </c>
    </row>
    <row r="22">
      <c r="A22" s="2" t="s">
        <v>35</v>
      </c>
      <c r="B22" s="2" t="s">
        <v>36</v>
      </c>
    </row>
    <row r="23">
      <c r="A23" s="2" t="s">
        <v>37</v>
      </c>
      <c r="B23" s="2" t="s">
        <v>38</v>
      </c>
    </row>
    <row r="24">
      <c r="A24" s="2" t="s">
        <v>39</v>
      </c>
      <c r="B24" s="2" t="s">
        <v>40</v>
      </c>
    </row>
    <row r="25">
      <c r="A25" s="2" t="s">
        <v>41</v>
      </c>
      <c r="B25" s="2" t="s">
        <v>40</v>
      </c>
    </row>
    <row r="26">
      <c r="A26" s="2" t="s">
        <v>42</v>
      </c>
      <c r="B26" s="2" t="s">
        <v>43</v>
      </c>
    </row>
    <row r="27">
      <c r="A27" s="2" t="s">
        <v>44</v>
      </c>
      <c r="B27" s="2" t="s">
        <v>45</v>
      </c>
    </row>
    <row r="28">
      <c r="A28" s="2" t="s">
        <v>46</v>
      </c>
      <c r="B28" s="2" t="s">
        <v>47</v>
      </c>
    </row>
    <row r="29">
      <c r="A29" s="2" t="s">
        <v>48</v>
      </c>
      <c r="B29" s="2" t="s">
        <v>49</v>
      </c>
    </row>
    <row r="30">
      <c r="A30" s="2" t="s">
        <v>50</v>
      </c>
      <c r="B30" s="2" t="s">
        <v>47</v>
      </c>
    </row>
    <row r="31">
      <c r="A31" s="2" t="s">
        <v>51</v>
      </c>
      <c r="B31" s="2" t="s">
        <v>52</v>
      </c>
    </row>
    <row r="32">
      <c r="A32" s="2" t="s">
        <v>53</v>
      </c>
      <c r="B32" s="2" t="s">
        <v>54</v>
      </c>
    </row>
    <row r="33">
      <c r="A33" s="2" t="s">
        <v>55</v>
      </c>
      <c r="B33" s="2" t="s">
        <v>56</v>
      </c>
    </row>
    <row r="34">
      <c r="A34" s="2" t="s">
        <v>57</v>
      </c>
      <c r="B34" s="2" t="s">
        <v>56</v>
      </c>
    </row>
    <row r="35">
      <c r="A35" s="2" t="s">
        <v>58</v>
      </c>
      <c r="B35" s="2" t="s">
        <v>38</v>
      </c>
    </row>
    <row r="36">
      <c r="A36" s="2" t="s">
        <v>59</v>
      </c>
      <c r="B36" s="2" t="s">
        <v>38</v>
      </c>
    </row>
    <row r="37">
      <c r="A37" s="2" t="s">
        <v>60</v>
      </c>
      <c r="B37" s="2" t="s">
        <v>61</v>
      </c>
    </row>
    <row r="39">
      <c r="A39" s="2" t="s">
        <v>62</v>
      </c>
      <c r="B39" s="2" t="s">
        <v>63</v>
      </c>
    </row>
    <row r="40">
      <c r="A40" s="2" t="s">
        <v>64</v>
      </c>
      <c r="B40" s="2" t="s">
        <v>65</v>
      </c>
    </row>
    <row r="41">
      <c r="A41" s="2" t="s">
        <v>66</v>
      </c>
      <c r="B41" s="2" t="s">
        <v>67</v>
      </c>
    </row>
    <row r="42">
      <c r="A42" s="2" t="s">
        <v>68</v>
      </c>
      <c r="B42" s="2" t="s">
        <v>69</v>
      </c>
    </row>
    <row r="44">
      <c r="A44" s="2" t="s">
        <v>70</v>
      </c>
      <c r="B44" s="2" t="s">
        <v>38</v>
      </c>
    </row>
    <row r="45">
      <c r="A45" s="2" t="s">
        <v>71</v>
      </c>
      <c r="B45" s="2" t="s">
        <v>72</v>
      </c>
    </row>
    <row r="46">
      <c r="A46" s="2" t="s">
        <v>73</v>
      </c>
      <c r="B46" s="2" t="s">
        <v>72</v>
      </c>
    </row>
    <row r="47">
      <c r="A47" s="2" t="s">
        <v>74</v>
      </c>
      <c r="B47" s="2" t="s">
        <v>72</v>
      </c>
    </row>
    <row r="48">
      <c r="A48" s="2" t="s">
        <v>75</v>
      </c>
      <c r="B48" s="2" t="s">
        <v>72</v>
      </c>
    </row>
    <row r="49">
      <c r="A49" s="2" t="s">
        <v>76</v>
      </c>
      <c r="B49" s="2" t="s">
        <v>77</v>
      </c>
    </row>
    <row r="50">
      <c r="A50" s="2" t="s">
        <v>78</v>
      </c>
      <c r="B50" s="2" t="s">
        <v>79</v>
      </c>
    </row>
    <row r="51">
      <c r="A51" s="3" t="s">
        <v>80</v>
      </c>
      <c r="B51" s="3" t="s">
        <v>81</v>
      </c>
    </row>
    <row r="53">
      <c r="A53" s="3" t="s">
        <v>82</v>
      </c>
      <c r="B53" s="2"/>
    </row>
    <row r="54">
      <c r="A54" s="2"/>
      <c r="B54" s="2"/>
    </row>
    <row r="55">
      <c r="A55" s="2" t="s">
        <v>83</v>
      </c>
      <c r="B55" s="2" t="s">
        <v>47</v>
      </c>
    </row>
    <row r="57">
      <c r="A57" s="1" t="s">
        <v>84</v>
      </c>
    </row>
    <row r="59">
      <c r="A59" s="1" t="s">
        <v>85</v>
      </c>
    </row>
    <row r="61">
      <c r="A61" s="1" t="s">
        <v>86</v>
      </c>
    </row>
    <row r="63">
      <c r="A63" s="1" t="s">
        <v>38</v>
      </c>
    </row>
    <row r="65">
      <c r="A65" s="1" t="s">
        <v>87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25"/>
    <col customWidth="1" min="2" max="2" width="36.25"/>
    <col customWidth="1" min="3" max="3" width="7.25"/>
    <col customWidth="1" min="4" max="4" width="7.38"/>
    <col customWidth="1" min="5" max="5" width="8.38"/>
    <col customWidth="1" min="6" max="6" width="15.63"/>
    <col customWidth="1" min="7" max="7" width="7.25"/>
    <col customWidth="1" min="8" max="8" width="7.38"/>
    <col customWidth="1" min="9" max="9" width="6.5"/>
    <col customWidth="1" min="10" max="10" width="2.63"/>
  </cols>
  <sheetData>
    <row r="1" ht="12.75" customHeight="1">
      <c r="A1" s="4" t="s">
        <v>88</v>
      </c>
      <c r="B1" s="5"/>
      <c r="C1" s="5"/>
      <c r="D1" s="6"/>
      <c r="E1" s="4" t="s">
        <v>89</v>
      </c>
      <c r="F1" s="5"/>
      <c r="G1" s="5"/>
      <c r="H1" s="5"/>
      <c r="I1" s="6"/>
      <c r="J1" s="7"/>
    </row>
    <row r="2" ht="12.75" customHeight="1">
      <c r="A2" s="8" t="s">
        <v>0</v>
      </c>
      <c r="B2" s="8" t="s">
        <v>1</v>
      </c>
      <c r="C2" s="8" t="s">
        <v>90</v>
      </c>
      <c r="D2" s="8" t="s">
        <v>91</v>
      </c>
      <c r="E2" s="8" t="s">
        <v>0</v>
      </c>
      <c r="F2" s="8" t="s">
        <v>1</v>
      </c>
      <c r="G2" s="8" t="s">
        <v>90</v>
      </c>
      <c r="H2" s="8" t="s">
        <v>91</v>
      </c>
      <c r="I2" s="8" t="s">
        <v>92</v>
      </c>
      <c r="J2" s="9"/>
    </row>
    <row r="3" ht="12.75" customHeight="1">
      <c r="A3" s="10" t="s">
        <v>4</v>
      </c>
      <c r="B3" s="11" t="str">
        <f>IF(A3="","",VLOOKUP(A3,DB!A:B,2,0))</f>
        <v>Player A</v>
      </c>
      <c r="C3" s="11"/>
      <c r="D3" s="11" t="s">
        <v>93</v>
      </c>
      <c r="E3" s="12" t="s">
        <v>24</v>
      </c>
      <c r="F3" s="12" t="s">
        <v>25</v>
      </c>
      <c r="G3" s="12"/>
      <c r="H3" s="12" t="s">
        <v>94</v>
      </c>
      <c r="I3" s="11"/>
      <c r="J3" s="13"/>
    </row>
    <row r="4" ht="12.75" customHeight="1">
      <c r="A4" s="14" t="s">
        <v>4</v>
      </c>
      <c r="B4" s="15" t="str">
        <f>IF(A4="","",VLOOKUP(A4,DB!A:B,2,0))</f>
        <v>Player A</v>
      </c>
      <c r="C4" s="15"/>
      <c r="D4" s="15" t="s">
        <v>95</v>
      </c>
      <c r="E4" s="16" t="s">
        <v>78</v>
      </c>
      <c r="F4" s="16" t="s">
        <v>79</v>
      </c>
      <c r="G4" s="16"/>
      <c r="H4" s="16" t="s">
        <v>96</v>
      </c>
      <c r="I4" s="15"/>
      <c r="J4" s="13"/>
    </row>
    <row r="5" ht="12.75" customHeight="1">
      <c r="A5" s="10" t="s">
        <v>6</v>
      </c>
      <c r="B5" s="11" t="str">
        <f>IF(A5="","",VLOOKUP(A5,DB!A:B,2,0))</f>
        <v>Player B</v>
      </c>
      <c r="C5" s="11"/>
      <c r="D5" s="11" t="s">
        <v>93</v>
      </c>
      <c r="E5" s="12" t="s">
        <v>24</v>
      </c>
      <c r="F5" s="12" t="s">
        <v>25</v>
      </c>
      <c r="G5" s="12"/>
      <c r="H5" s="12" t="s">
        <v>97</v>
      </c>
      <c r="I5" s="11"/>
      <c r="J5" s="13"/>
    </row>
    <row r="6" ht="12.75" customHeight="1">
      <c r="A6" s="14" t="s">
        <v>6</v>
      </c>
      <c r="B6" s="15" t="str">
        <f>IF(A6="","",VLOOKUP(A6,DB!A:B,2,0))</f>
        <v>Player B</v>
      </c>
      <c r="C6" s="15"/>
      <c r="D6" s="15" t="s">
        <v>95</v>
      </c>
      <c r="E6" s="16" t="s">
        <v>78</v>
      </c>
      <c r="F6" s="16" t="s">
        <v>79</v>
      </c>
      <c r="G6" s="16"/>
      <c r="H6" s="16" t="s">
        <v>98</v>
      </c>
      <c r="I6" s="15"/>
      <c r="J6" s="13"/>
    </row>
    <row r="7" ht="12.75" customHeight="1">
      <c r="A7" s="17" t="s">
        <v>8</v>
      </c>
      <c r="B7" s="11" t="str">
        <f>IF(A7="","",VLOOKUP(A7,DB!A:B,2,0))</f>
        <v>Player C</v>
      </c>
      <c r="C7" s="11"/>
      <c r="D7" s="11" t="s">
        <v>93</v>
      </c>
      <c r="E7" s="12" t="s">
        <v>24</v>
      </c>
      <c r="F7" s="12" t="s">
        <v>25</v>
      </c>
      <c r="G7" s="12"/>
      <c r="H7" s="12" t="s">
        <v>99</v>
      </c>
      <c r="I7" s="11"/>
      <c r="J7" s="13"/>
    </row>
    <row r="8" ht="12.75" customHeight="1">
      <c r="A8" s="14" t="s">
        <v>8</v>
      </c>
      <c r="B8" s="15" t="str">
        <f>IF(A8="","",VLOOKUP(A8,DB!A:B,2,0))</f>
        <v>Player C</v>
      </c>
      <c r="C8" s="15"/>
      <c r="D8" s="15" t="s">
        <v>95</v>
      </c>
      <c r="E8" s="16" t="s">
        <v>24</v>
      </c>
      <c r="F8" s="16" t="s">
        <v>25</v>
      </c>
      <c r="G8" s="16"/>
      <c r="H8" s="16" t="s">
        <v>100</v>
      </c>
      <c r="I8" s="15"/>
      <c r="J8" s="13"/>
    </row>
    <row r="9" ht="12.75" customHeight="1">
      <c r="A9" s="10" t="s">
        <v>10</v>
      </c>
      <c r="B9" s="11" t="str">
        <f>IF(A9="","",VLOOKUP(A9,DB!A:B,2,0))</f>
        <v>CGX</v>
      </c>
      <c r="C9" s="11" t="s">
        <v>101</v>
      </c>
      <c r="D9" s="11" t="s">
        <v>102</v>
      </c>
      <c r="E9" s="12" t="s">
        <v>24</v>
      </c>
      <c r="F9" s="12" t="s">
        <v>25</v>
      </c>
      <c r="G9" s="12"/>
      <c r="H9" s="12" t="s">
        <v>103</v>
      </c>
      <c r="I9" s="11"/>
      <c r="J9" s="13"/>
    </row>
    <row r="10" ht="12.75" customHeight="1">
      <c r="A10" s="15" t="s">
        <v>24</v>
      </c>
      <c r="B10" s="15" t="str">
        <f>IF(A10="","",VLOOKUP(A10,DB!A:B,2,0))</f>
        <v>AJA KUMO 6464</v>
      </c>
      <c r="C10" s="15"/>
      <c r="D10" s="15" t="s">
        <v>104</v>
      </c>
      <c r="E10" s="16" t="s">
        <v>10</v>
      </c>
      <c r="F10" s="18" t="s">
        <v>11</v>
      </c>
      <c r="G10" s="16" t="s">
        <v>101</v>
      </c>
      <c r="H10" s="16" t="s">
        <v>105</v>
      </c>
      <c r="I10" s="15"/>
      <c r="J10" s="13"/>
    </row>
    <row r="11" ht="12.75" customHeight="1">
      <c r="J11" s="19"/>
    </row>
  </sheetData>
  <mergeCells count="2">
    <mergeCell ref="A1:D1"/>
    <mergeCell ref="E1:I1"/>
  </mergeCells>
  <dataValidations>
    <dataValidation type="list" allowBlank="1" sqref="A3:A10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23.38"/>
    <col customWidth="1" min="3" max="3" width="7.38"/>
    <col customWidth="1" min="4" max="4" width="7.5"/>
    <col customWidth="1" min="5" max="5" width="13.63"/>
    <col customWidth="1" min="6" max="6" width="7.38"/>
    <col customWidth="1" min="7" max="7" width="6.5"/>
    <col customWidth="1" min="8" max="8" width="2.88"/>
  </cols>
  <sheetData>
    <row r="1" ht="12.75" customHeight="1">
      <c r="A1" s="4" t="s">
        <v>89</v>
      </c>
      <c r="B1" s="5"/>
      <c r="C1" s="6"/>
      <c r="D1" s="4" t="s">
        <v>88</v>
      </c>
      <c r="E1" s="5"/>
      <c r="F1" s="5"/>
      <c r="G1" s="6"/>
      <c r="H1" s="7"/>
    </row>
    <row r="2" ht="12.75" customHeight="1">
      <c r="A2" s="8" t="s">
        <v>0</v>
      </c>
      <c r="B2" s="8" t="s">
        <v>1</v>
      </c>
      <c r="C2" s="8" t="s">
        <v>91</v>
      </c>
      <c r="D2" s="8" t="s">
        <v>0</v>
      </c>
      <c r="E2" s="8" t="s">
        <v>1</v>
      </c>
      <c r="F2" s="8" t="s">
        <v>91</v>
      </c>
      <c r="G2" s="8" t="s">
        <v>92</v>
      </c>
      <c r="H2" s="9"/>
    </row>
    <row r="3" ht="12.75" customHeight="1">
      <c r="A3" s="10" t="s">
        <v>14</v>
      </c>
      <c r="B3" s="11" t="str">
        <f>IF(A3="","",VLOOKUP(A3,DB!A:B,2,0))</f>
        <v>Loop A</v>
      </c>
      <c r="C3" s="11" t="s">
        <v>94</v>
      </c>
      <c r="D3" s="12" t="s">
        <v>24</v>
      </c>
      <c r="E3" s="12" t="s">
        <v>25</v>
      </c>
      <c r="F3" s="12" t="s">
        <v>106</v>
      </c>
      <c r="G3" s="11"/>
      <c r="H3" s="13"/>
    </row>
    <row r="4" ht="12.75" customHeight="1">
      <c r="A4" s="14" t="s">
        <v>14</v>
      </c>
      <c r="B4" s="15" t="str">
        <f>IF(A4="","",VLOOKUP(A4,DB!A:B,2,0))</f>
        <v>Loop A</v>
      </c>
      <c r="C4" s="15" t="s">
        <v>97</v>
      </c>
      <c r="D4" s="16" t="s">
        <v>24</v>
      </c>
      <c r="E4" s="16" t="s">
        <v>25</v>
      </c>
      <c r="F4" s="16" t="s">
        <v>107</v>
      </c>
      <c r="G4" s="15"/>
      <c r="H4" s="13"/>
    </row>
    <row r="5" ht="12.75" customHeight="1">
      <c r="A5" s="10" t="s">
        <v>16</v>
      </c>
      <c r="B5" s="11" t="str">
        <f>IF(A5="","",VLOOKUP(A5,DB!A:B,2,0))</f>
        <v>Loop B</v>
      </c>
      <c r="C5" s="11" t="s">
        <v>94</v>
      </c>
      <c r="D5" s="12" t="s">
        <v>24</v>
      </c>
      <c r="E5" s="12" t="s">
        <v>25</v>
      </c>
      <c r="F5" s="12" t="s">
        <v>108</v>
      </c>
      <c r="G5" s="11"/>
      <c r="H5" s="13"/>
    </row>
    <row r="6" ht="12.75" customHeight="1">
      <c r="A6" s="14" t="s">
        <v>16</v>
      </c>
      <c r="B6" s="15" t="str">
        <f>IF(A6="","",VLOOKUP(A6,DB!A:B,2,0))</f>
        <v>Loop B</v>
      </c>
      <c r="C6" s="15" t="s">
        <v>97</v>
      </c>
      <c r="D6" s="16" t="s">
        <v>24</v>
      </c>
      <c r="E6" s="16" t="s">
        <v>25</v>
      </c>
      <c r="F6" s="16" t="s">
        <v>109</v>
      </c>
      <c r="G6" s="15"/>
      <c r="H6" s="13"/>
    </row>
    <row r="7" ht="12.75" customHeight="1">
      <c r="A7" s="10" t="s">
        <v>18</v>
      </c>
      <c r="B7" s="11" t="str">
        <f>IF(A7="","",VLOOKUP(A7,DB!A:B,2,0))</f>
        <v>Loop C</v>
      </c>
      <c r="C7" s="11" t="s">
        <v>94</v>
      </c>
      <c r="D7" s="12" t="s">
        <v>24</v>
      </c>
      <c r="E7" s="12" t="s">
        <v>25</v>
      </c>
      <c r="F7" s="12" t="s">
        <v>110</v>
      </c>
      <c r="G7" s="11"/>
      <c r="H7" s="13"/>
    </row>
    <row r="8" ht="12.75" customHeight="1">
      <c r="A8" s="20" t="s">
        <v>18</v>
      </c>
      <c r="B8" s="15" t="str">
        <f>IF(A8="","",VLOOKUP(A8,DB!A:B,2,0))</f>
        <v>Loop C</v>
      </c>
      <c r="C8" s="15" t="s">
        <v>97</v>
      </c>
      <c r="D8" s="16" t="s">
        <v>24</v>
      </c>
      <c r="E8" s="16" t="s">
        <v>25</v>
      </c>
      <c r="F8" s="16" t="s">
        <v>111</v>
      </c>
      <c r="G8" s="15"/>
      <c r="H8" s="13"/>
    </row>
    <row r="9" ht="12.75" customHeight="1">
      <c r="H9" s="19"/>
    </row>
  </sheetData>
  <mergeCells count="2">
    <mergeCell ref="A1:C1"/>
    <mergeCell ref="D1:G1"/>
  </mergeCells>
  <dataValidations>
    <dataValidation type="list" allowBlank="1" showErrorMessage="1" sqref="A3:A8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5.63"/>
    <col customWidth="1" min="3" max="3" width="11.25"/>
    <col customWidth="1" min="4" max="4" width="23.5"/>
    <col customWidth="1" min="5" max="5" width="7.88"/>
    <col customWidth="1" min="6" max="6" width="7.75"/>
    <col customWidth="1" min="7" max="7" width="29.13"/>
    <col customWidth="1" min="8" max="8" width="2.88"/>
    <col customWidth="1" min="9" max="9" width="3.0"/>
    <col customWidth="1" min="10" max="10" width="7.5"/>
    <col customWidth="1" min="11" max="11" width="13.0"/>
    <col customWidth="1" min="12" max="12" width="13.38"/>
    <col customWidth="1" min="13" max="13" width="19.38"/>
    <col customWidth="1" min="14" max="14" width="7.88"/>
    <col customWidth="1" min="15" max="15" width="7.38"/>
    <col customWidth="1" min="16" max="16" width="36.63"/>
    <col customWidth="1" min="17" max="17" width="3.13"/>
  </cols>
  <sheetData>
    <row r="1" ht="12.75" customHeight="1">
      <c r="A1" s="4" t="s">
        <v>89</v>
      </c>
      <c r="B1" s="6"/>
      <c r="C1" s="4" t="s">
        <v>88</v>
      </c>
      <c r="D1" s="5"/>
      <c r="E1" s="5"/>
      <c r="F1" s="5"/>
      <c r="G1" s="6"/>
      <c r="H1" s="7"/>
      <c r="I1" s="21"/>
      <c r="J1" s="4" t="s">
        <v>88</v>
      </c>
      <c r="K1" s="6"/>
      <c r="L1" s="4" t="s">
        <v>89</v>
      </c>
      <c r="M1" s="5"/>
      <c r="N1" s="5"/>
      <c r="O1" s="5"/>
      <c r="P1" s="6"/>
      <c r="Q1" s="22"/>
    </row>
    <row r="2" ht="12.75" customHeight="1">
      <c r="A2" s="8" t="s">
        <v>112</v>
      </c>
      <c r="B2" s="8" t="s">
        <v>113</v>
      </c>
      <c r="C2" s="8" t="s">
        <v>0</v>
      </c>
      <c r="D2" s="8" t="s">
        <v>1</v>
      </c>
      <c r="E2" s="8" t="s">
        <v>90</v>
      </c>
      <c r="F2" s="8" t="s">
        <v>91</v>
      </c>
      <c r="G2" s="8" t="s">
        <v>92</v>
      </c>
      <c r="H2" s="9"/>
      <c r="I2" s="22"/>
      <c r="J2" s="8" t="s">
        <v>114</v>
      </c>
      <c r="K2" s="8" t="s">
        <v>113</v>
      </c>
      <c r="L2" s="8" t="s">
        <v>0</v>
      </c>
      <c r="M2" s="8" t="s">
        <v>1</v>
      </c>
      <c r="N2" s="8" t="s">
        <v>90</v>
      </c>
      <c r="O2" s="8" t="s">
        <v>91</v>
      </c>
      <c r="P2" s="8" t="s">
        <v>92</v>
      </c>
      <c r="Q2" s="22"/>
    </row>
    <row r="3" ht="12.75" customHeight="1">
      <c r="A3" s="11">
        <v>1.0</v>
      </c>
      <c r="B3" s="12" t="s">
        <v>115</v>
      </c>
      <c r="C3" s="12" t="s">
        <v>4</v>
      </c>
      <c r="D3" s="12" t="str">
        <f>IF(C3="","",VLOOKUP(C3,DB!A:B,2,0))</f>
        <v>Player A</v>
      </c>
      <c r="E3" s="12"/>
      <c r="F3" s="12" t="s">
        <v>93</v>
      </c>
      <c r="G3" s="11"/>
      <c r="H3" s="13"/>
      <c r="J3" s="11">
        <v>1.0</v>
      </c>
      <c r="K3" s="11" t="s">
        <v>116</v>
      </c>
      <c r="L3" s="11" t="s">
        <v>28</v>
      </c>
      <c r="M3" s="11" t="str">
        <f>IF(L3="","",VLOOKUP(L3,DB!A:B,2,0))</f>
        <v>Blackmagic 12 x 12</v>
      </c>
      <c r="N3" s="11"/>
      <c r="O3" s="11" t="s">
        <v>94</v>
      </c>
      <c r="P3" s="11"/>
    </row>
    <row r="4" ht="12.75" customHeight="1">
      <c r="A4" s="15">
        <v>2.0</v>
      </c>
      <c r="B4" s="16" t="s">
        <v>117</v>
      </c>
      <c r="C4" s="16" t="s">
        <v>6</v>
      </c>
      <c r="D4" s="16" t="str">
        <f>IF(C4="","",VLOOKUP(C4,DB!A:B,2,0))</f>
        <v>Player B</v>
      </c>
      <c r="E4" s="16"/>
      <c r="F4" s="16" t="s">
        <v>93</v>
      </c>
      <c r="G4" s="15"/>
      <c r="H4" s="13"/>
      <c r="J4" s="15">
        <v>2.0</v>
      </c>
      <c r="K4" s="15" t="s">
        <v>118</v>
      </c>
      <c r="L4" s="15" t="s">
        <v>28</v>
      </c>
      <c r="M4" s="15" t="str">
        <f>IF(L4="","",VLOOKUP(L4,DB!A:B,2,0))</f>
        <v>Blackmagic 12 x 12</v>
      </c>
      <c r="N4" s="15"/>
      <c r="O4" s="15" t="s">
        <v>97</v>
      </c>
      <c r="P4" s="15"/>
    </row>
    <row r="5" ht="12.75" customHeight="1">
      <c r="A5" s="11">
        <v>3.0</v>
      </c>
      <c r="B5" s="12" t="s">
        <v>119</v>
      </c>
      <c r="C5" s="12" t="s">
        <v>8</v>
      </c>
      <c r="D5" s="12" t="str">
        <f>IF(C5="","",VLOOKUP(C5,DB!A:B,2,0))</f>
        <v>Player C</v>
      </c>
      <c r="E5" s="12"/>
      <c r="F5" s="12" t="s">
        <v>93</v>
      </c>
      <c r="G5" s="11"/>
      <c r="H5" s="13"/>
      <c r="J5" s="11">
        <v>3.0</v>
      </c>
      <c r="K5" s="11" t="s">
        <v>120</v>
      </c>
      <c r="L5" s="11" t="s">
        <v>28</v>
      </c>
      <c r="M5" s="11" t="str">
        <f>IF(L5="","",VLOOKUP(L5,DB!A:B,2,0))</f>
        <v>Blackmagic 12 x 12</v>
      </c>
      <c r="N5" s="11"/>
      <c r="O5" s="11" t="s">
        <v>99</v>
      </c>
      <c r="P5" s="11"/>
    </row>
    <row r="6" ht="12.75" customHeight="1">
      <c r="A6" s="15">
        <v>4.0</v>
      </c>
      <c r="B6" s="16" t="s">
        <v>121</v>
      </c>
      <c r="C6" s="16" t="s">
        <v>8</v>
      </c>
      <c r="D6" s="16" t="str">
        <f>IF(C6="","",VLOOKUP(C6,DB!A:B,2,0))</f>
        <v>Player C</v>
      </c>
      <c r="E6" s="16"/>
      <c r="F6" s="16" t="s">
        <v>95</v>
      </c>
      <c r="G6" s="15"/>
      <c r="H6" s="13"/>
      <c r="J6" s="15">
        <v>4.0</v>
      </c>
      <c r="K6" s="15" t="s">
        <v>122</v>
      </c>
      <c r="L6" s="15" t="s">
        <v>28</v>
      </c>
      <c r="M6" s="15" t="str">
        <f>IF(L6="","",VLOOKUP(L6,DB!A:B,2,0))</f>
        <v>Blackmagic 12 x 12</v>
      </c>
      <c r="N6" s="15"/>
      <c r="O6" s="15" t="s">
        <v>100</v>
      </c>
      <c r="P6" s="15"/>
    </row>
    <row r="7" ht="12.75" customHeight="1">
      <c r="A7" s="11">
        <v>5.0</v>
      </c>
      <c r="B7" s="12" t="s">
        <v>123</v>
      </c>
      <c r="C7" s="12" t="s">
        <v>78</v>
      </c>
      <c r="D7" s="12" t="str">
        <f>IF(C7="","",VLOOKUP(C7,DB!A:B,2,0))</f>
        <v>FOR A HVS-390HS</v>
      </c>
      <c r="E7" s="12"/>
      <c r="F7" s="12" t="s">
        <v>93</v>
      </c>
      <c r="G7" s="11"/>
      <c r="H7" s="13"/>
      <c r="J7" s="11">
        <v>5.0</v>
      </c>
      <c r="K7" s="11" t="s">
        <v>124</v>
      </c>
      <c r="L7" s="11" t="s">
        <v>28</v>
      </c>
      <c r="M7" s="11" t="str">
        <f>IF(L7="","",VLOOKUP(L7,DB!A:B,2,0))</f>
        <v>Blackmagic 12 x 12</v>
      </c>
      <c r="N7" s="11"/>
      <c r="O7" s="11" t="s">
        <v>96</v>
      </c>
      <c r="P7" s="11"/>
    </row>
    <row r="8" ht="12.75" customHeight="1">
      <c r="A8" s="15">
        <v>6.0</v>
      </c>
      <c r="B8" s="16" t="s">
        <v>125</v>
      </c>
      <c r="C8" s="16" t="s">
        <v>78</v>
      </c>
      <c r="D8" s="16" t="str">
        <f>IF(C8="","",VLOOKUP(C8,DB!A:B,2,0))</f>
        <v>FOR A HVS-390HS</v>
      </c>
      <c r="E8" s="16"/>
      <c r="F8" s="16" t="s">
        <v>126</v>
      </c>
      <c r="G8" s="15"/>
      <c r="H8" s="13"/>
      <c r="J8" s="15">
        <v>6.0</v>
      </c>
      <c r="K8" s="15" t="s">
        <v>127</v>
      </c>
      <c r="L8" s="15" t="s">
        <v>28</v>
      </c>
      <c r="M8" s="15" t="str">
        <f>IF(L8="","",VLOOKUP(L8,DB!A:B,2,0))</f>
        <v>Blackmagic 12 x 12</v>
      </c>
      <c r="N8" s="15"/>
      <c r="O8" s="15" t="s">
        <v>98</v>
      </c>
      <c r="P8" s="15"/>
    </row>
    <row r="9" ht="12.75" customHeight="1">
      <c r="A9" s="11">
        <v>7.0</v>
      </c>
      <c r="B9" s="12" t="s">
        <v>128</v>
      </c>
      <c r="C9" s="12" t="s">
        <v>55</v>
      </c>
      <c r="D9" s="12" t="str">
        <f>IF(C9="","",VLOOKUP(C9,DB!A:B,2,0))</f>
        <v>AJA FS2</v>
      </c>
      <c r="E9" s="12"/>
      <c r="F9" s="12" t="s">
        <v>93</v>
      </c>
      <c r="G9" s="11"/>
      <c r="H9" s="13"/>
      <c r="J9" s="11">
        <v>7.0</v>
      </c>
      <c r="K9" s="11" t="s">
        <v>129</v>
      </c>
      <c r="L9" s="11" t="s">
        <v>28</v>
      </c>
      <c r="M9" s="11" t="str">
        <f>IF(L9="","",VLOOKUP(L9,DB!A:B,2,0))</f>
        <v>Blackmagic 12 x 12</v>
      </c>
      <c r="N9" s="11"/>
      <c r="O9" s="11" t="s">
        <v>130</v>
      </c>
      <c r="P9" s="11"/>
    </row>
    <row r="10" ht="12.75" customHeight="1">
      <c r="A10" s="15">
        <v>8.0</v>
      </c>
      <c r="B10" s="16" t="s">
        <v>131</v>
      </c>
      <c r="C10" s="16" t="s">
        <v>44</v>
      </c>
      <c r="D10" s="16" t="str">
        <f>IF(C10="","",VLOOKUP(C10,DB!A:B,2,0))</f>
        <v>Telairity BE-IRD 5503</v>
      </c>
      <c r="E10" s="16"/>
      <c r="F10" s="16" t="s">
        <v>93</v>
      </c>
      <c r="G10" s="15"/>
      <c r="H10" s="13"/>
      <c r="J10" s="15">
        <v>8.0</v>
      </c>
      <c r="K10" s="15" t="s">
        <v>132</v>
      </c>
      <c r="L10" s="15" t="s">
        <v>28</v>
      </c>
      <c r="M10" s="15" t="str">
        <f>IF(L10="","",VLOOKUP(L10,DB!A:B,2,0))</f>
        <v>Blackmagic 12 x 12</v>
      </c>
      <c r="N10" s="15"/>
      <c r="O10" s="15" t="s">
        <v>133</v>
      </c>
      <c r="P10" s="15"/>
    </row>
    <row r="11" ht="12.75" customHeight="1">
      <c r="A11" s="11">
        <v>9.0</v>
      </c>
      <c r="B11" s="23" t="s">
        <v>87</v>
      </c>
      <c r="C11" s="24" t="s">
        <v>87</v>
      </c>
      <c r="D11" s="12" t="str">
        <f>IF(C11="","",VLOOKUP(C11,DB!A:B,2,0))</f>
        <v/>
      </c>
      <c r="E11" s="12"/>
      <c r="F11" s="12"/>
      <c r="G11" s="11"/>
      <c r="H11" s="13"/>
      <c r="J11" s="11">
        <v>9.0</v>
      </c>
      <c r="K11" s="11" t="s">
        <v>134</v>
      </c>
      <c r="L11" s="11" t="s">
        <v>28</v>
      </c>
      <c r="M11" s="11" t="str">
        <f>IF(L11="","",VLOOKUP(L11,DB!A:B,2,0))</f>
        <v>Blackmagic 12 x 12</v>
      </c>
      <c r="N11" s="11"/>
      <c r="O11" s="11" t="s">
        <v>135</v>
      </c>
      <c r="P11" s="11"/>
    </row>
    <row r="12" ht="12.75" customHeight="1">
      <c r="A12" s="15">
        <v>10.0</v>
      </c>
      <c r="B12" s="16" t="s">
        <v>136</v>
      </c>
      <c r="C12" s="16" t="s">
        <v>83</v>
      </c>
      <c r="D12" s="16" t="str">
        <f>IF(C12="","",VLOOKUP(C12,DB!A:B,2,0))</f>
        <v>openGear X</v>
      </c>
      <c r="E12" s="16" t="s">
        <v>137</v>
      </c>
      <c r="F12" s="16"/>
      <c r="G12" s="15"/>
      <c r="H12" s="13"/>
      <c r="J12" s="15">
        <v>10.0</v>
      </c>
      <c r="K12" s="15" t="s">
        <v>138</v>
      </c>
      <c r="L12" s="15" t="s">
        <v>28</v>
      </c>
      <c r="M12" s="15" t="str">
        <f>IF(L12="","",VLOOKUP(L12,DB!A:B,2,0))</f>
        <v>Blackmagic 12 x 12</v>
      </c>
      <c r="N12" s="15"/>
      <c r="O12" s="15" t="s">
        <v>139</v>
      </c>
      <c r="P12" s="15"/>
    </row>
    <row r="13" ht="12.75" customHeight="1">
      <c r="A13" s="11">
        <v>11.0</v>
      </c>
      <c r="B13" s="12" t="s">
        <v>140</v>
      </c>
      <c r="C13" s="12" t="s">
        <v>83</v>
      </c>
      <c r="D13" s="12" t="str">
        <f>IF(C13="","",VLOOKUP(C13,DB!A:B,2,0))</f>
        <v>openGear X</v>
      </c>
      <c r="E13" s="12" t="s">
        <v>141</v>
      </c>
      <c r="F13" s="12"/>
      <c r="G13" s="11"/>
      <c r="H13" s="13"/>
      <c r="J13" s="11">
        <v>11.0</v>
      </c>
      <c r="K13" s="11" t="s">
        <v>142</v>
      </c>
      <c r="L13" s="11" t="s">
        <v>26</v>
      </c>
      <c r="M13" s="11" t="str">
        <f>IF(L13="","",VLOOKUP(L13,DB!A:B,2,0))</f>
        <v>Blackmagic Multiview 16</v>
      </c>
      <c r="N13" s="11"/>
      <c r="O13" s="11" t="s">
        <v>143</v>
      </c>
      <c r="P13" s="11"/>
    </row>
    <row r="14" ht="12.75" customHeight="1">
      <c r="A14" s="15">
        <v>12.0</v>
      </c>
      <c r="B14" s="16" t="s">
        <v>144</v>
      </c>
      <c r="C14" s="16" t="s">
        <v>83</v>
      </c>
      <c r="D14" s="16" t="str">
        <f>IF(C14="","",VLOOKUP(C14,DB!A:B,2,0))</f>
        <v>openGear X</v>
      </c>
      <c r="E14" s="16"/>
      <c r="F14" s="16"/>
      <c r="G14" s="15"/>
      <c r="H14" s="13"/>
      <c r="J14" s="15">
        <v>12.0</v>
      </c>
      <c r="K14" s="15" t="s">
        <v>145</v>
      </c>
      <c r="L14" s="15" t="s">
        <v>26</v>
      </c>
      <c r="M14" s="15" t="str">
        <f>IF(L14="","",VLOOKUP(L14,DB!A:B,2,0))</f>
        <v>Blackmagic Multiview 16</v>
      </c>
      <c r="N14" s="15"/>
      <c r="O14" s="15" t="s">
        <v>146</v>
      </c>
      <c r="P14" s="15"/>
    </row>
    <row r="15" ht="12.75" customHeight="1">
      <c r="A15" s="11">
        <v>13.0</v>
      </c>
      <c r="B15" s="12" t="s">
        <v>147</v>
      </c>
      <c r="C15" s="12" t="s">
        <v>83</v>
      </c>
      <c r="D15" s="12" t="str">
        <f>IF(C15="","",VLOOKUP(C15,DB!A:B,2,0))</f>
        <v>openGear X</v>
      </c>
      <c r="E15" s="12" t="s">
        <v>148</v>
      </c>
      <c r="F15" s="12"/>
      <c r="G15" s="11"/>
      <c r="H15" s="13"/>
      <c r="J15" s="11">
        <v>13.0</v>
      </c>
      <c r="K15" s="11" t="s">
        <v>149</v>
      </c>
      <c r="L15" s="11" t="s">
        <v>26</v>
      </c>
      <c r="M15" s="11" t="str">
        <f>IF(L15="","",VLOOKUP(L15,DB!A:B,2,0))</f>
        <v>Blackmagic Multiview 16</v>
      </c>
      <c r="N15" s="11"/>
      <c r="O15" s="11" t="s">
        <v>150</v>
      </c>
      <c r="P15" s="11"/>
    </row>
    <row r="16" ht="12.75" customHeight="1">
      <c r="A16" s="15">
        <v>14.0</v>
      </c>
      <c r="B16" s="16" t="s">
        <v>151</v>
      </c>
      <c r="C16" s="16" t="s">
        <v>83</v>
      </c>
      <c r="D16" s="16" t="str">
        <f>IF(C16="","",VLOOKUP(C16,DB!A:B,2,0))</f>
        <v>openGear X</v>
      </c>
      <c r="E16" s="16" t="s">
        <v>152</v>
      </c>
      <c r="F16" s="16"/>
      <c r="G16" s="15"/>
      <c r="H16" s="13"/>
      <c r="J16" s="15">
        <v>14.0</v>
      </c>
      <c r="K16" s="15" t="s">
        <v>153</v>
      </c>
      <c r="L16" s="15" t="s">
        <v>26</v>
      </c>
      <c r="M16" s="15" t="str">
        <f>IF(L16="","",VLOOKUP(L16,DB!A:B,2,0))</f>
        <v>Blackmagic Multiview 16</v>
      </c>
      <c r="N16" s="15"/>
      <c r="O16" s="15" t="s">
        <v>154</v>
      </c>
      <c r="P16" s="15"/>
    </row>
    <row r="17" ht="12.75" customHeight="1">
      <c r="A17" s="11">
        <v>15.0</v>
      </c>
      <c r="B17" s="23" t="s">
        <v>87</v>
      </c>
      <c r="C17" s="24" t="s">
        <v>86</v>
      </c>
      <c r="D17" s="12" t="str">
        <f>IF(C17="","",VLOOKUP(C17,DB!A:B,2,0))</f>
        <v/>
      </c>
      <c r="E17" s="12"/>
      <c r="F17" s="12"/>
      <c r="G17" s="25" t="s">
        <v>155</v>
      </c>
      <c r="H17" s="13"/>
      <c r="J17" s="11">
        <v>15.0</v>
      </c>
      <c r="K17" s="11" t="s">
        <v>156</v>
      </c>
      <c r="L17" s="11" t="s">
        <v>26</v>
      </c>
      <c r="M17" s="11" t="str">
        <f>IF(L17="","",VLOOKUP(L17,DB!A:B,2,0))</f>
        <v>Blackmagic Multiview 16</v>
      </c>
      <c r="N17" s="11"/>
      <c r="O17" s="11" t="s">
        <v>157</v>
      </c>
      <c r="P17" s="11"/>
    </row>
    <row r="18" ht="12.75" customHeight="1">
      <c r="A18" s="15">
        <v>16.0</v>
      </c>
      <c r="B18" s="16" t="s">
        <v>158</v>
      </c>
      <c r="C18" s="16" t="s">
        <v>83</v>
      </c>
      <c r="D18" s="16" t="str">
        <f>IF(C18="","",VLOOKUP(C18,DB!A:B,2,0))</f>
        <v>openGear X</v>
      </c>
      <c r="E18" s="16" t="s">
        <v>159</v>
      </c>
      <c r="F18" s="16"/>
      <c r="G18" s="15"/>
      <c r="H18" s="13"/>
      <c r="J18" s="15">
        <v>16.0</v>
      </c>
      <c r="K18" s="15" t="s">
        <v>160</v>
      </c>
      <c r="L18" s="15" t="s">
        <v>26</v>
      </c>
      <c r="M18" s="15" t="str">
        <f>IF(L18="","",VLOOKUP(L18,DB!A:B,2,0))</f>
        <v>Blackmagic Multiview 16</v>
      </c>
      <c r="N18" s="15"/>
      <c r="O18" s="15" t="s">
        <v>161</v>
      </c>
      <c r="P18" s="15"/>
    </row>
    <row r="19" ht="12.75" customHeight="1">
      <c r="A19" s="11">
        <v>17.0</v>
      </c>
      <c r="B19" s="12" t="s">
        <v>162</v>
      </c>
      <c r="C19" s="12" t="s">
        <v>35</v>
      </c>
      <c r="D19" s="12" t="str">
        <f>IF(C19="","",VLOOKUP(C19,DB!A:B,2,0))</f>
        <v>Telairity BE-IRD 5501</v>
      </c>
      <c r="E19" s="12"/>
      <c r="F19" s="12"/>
      <c r="G19" s="11"/>
      <c r="H19" s="13"/>
      <c r="J19" s="11">
        <v>17.0</v>
      </c>
      <c r="K19" s="11" t="s">
        <v>163</v>
      </c>
      <c r="L19" s="11" t="s">
        <v>14</v>
      </c>
      <c r="M19" s="11" t="str">
        <f>IF(L19="","",VLOOKUP(L19,DB!A:B,2,0))</f>
        <v>Loop A</v>
      </c>
      <c r="N19" s="11"/>
      <c r="O19" s="11" t="s">
        <v>94</v>
      </c>
      <c r="P19" s="11"/>
    </row>
    <row r="20" ht="12.75" customHeight="1">
      <c r="A20" s="15">
        <v>18.0</v>
      </c>
      <c r="B20" s="16" t="s">
        <v>164</v>
      </c>
      <c r="C20" s="16" t="s">
        <v>39</v>
      </c>
      <c r="D20" s="16" t="str">
        <f>IF(C20="","",VLOOKUP(C20,DB!A:B,2,0))</f>
        <v>Wellav UMH160R</v>
      </c>
      <c r="E20" s="16"/>
      <c r="F20" s="16"/>
      <c r="G20" s="15"/>
      <c r="H20" s="13"/>
      <c r="J20" s="15">
        <v>18.0</v>
      </c>
      <c r="K20" s="15" t="s">
        <v>165</v>
      </c>
      <c r="L20" s="15" t="s">
        <v>14</v>
      </c>
      <c r="M20" s="15" t="str">
        <f>IF(L20="","",VLOOKUP(L20,DB!A:B,2,0))</f>
        <v>Loop A</v>
      </c>
      <c r="N20" s="15"/>
      <c r="O20" s="15" t="s">
        <v>97</v>
      </c>
      <c r="P20" s="15"/>
    </row>
    <row r="21" ht="12.75" customHeight="1">
      <c r="A21" s="11">
        <v>19.0</v>
      </c>
      <c r="B21" s="12" t="s">
        <v>166</v>
      </c>
      <c r="C21" s="12" t="s">
        <v>41</v>
      </c>
      <c r="D21" s="12" t="str">
        <f>IF(C21="","",VLOOKUP(C21,DB!A:B,2,0))</f>
        <v>Wellav UMH160R</v>
      </c>
      <c r="E21" s="12"/>
      <c r="F21" s="12"/>
      <c r="G21" s="11"/>
      <c r="H21" s="13"/>
      <c r="J21" s="11">
        <v>19.0</v>
      </c>
      <c r="K21" s="11" t="s">
        <v>167</v>
      </c>
      <c r="L21" s="11" t="s">
        <v>16</v>
      </c>
      <c r="M21" s="11" t="str">
        <f>IF(L21="","",VLOOKUP(L21,DB!A:B,2,0))</f>
        <v>Loop B</v>
      </c>
      <c r="N21" s="11"/>
      <c r="O21" s="11" t="s">
        <v>94</v>
      </c>
      <c r="P21" s="11"/>
    </row>
    <row r="22" ht="12.75" customHeight="1">
      <c r="A22" s="15">
        <v>20.0</v>
      </c>
      <c r="B22" s="16" t="s">
        <v>168</v>
      </c>
      <c r="C22" s="16" t="s">
        <v>48</v>
      </c>
      <c r="D22" s="16" t="str">
        <f>IF(C22="","",VLOOKUP(C22,DB!A:B,2,0))</f>
        <v>Cisco</v>
      </c>
      <c r="E22" s="16"/>
      <c r="F22" s="16"/>
      <c r="G22" s="15"/>
      <c r="H22" s="13"/>
      <c r="J22" s="15">
        <v>20.0</v>
      </c>
      <c r="K22" s="15" t="s">
        <v>169</v>
      </c>
      <c r="L22" s="15" t="s">
        <v>16</v>
      </c>
      <c r="M22" s="15" t="str">
        <f>IF(L22="","",VLOOKUP(L22,DB!A:B,2,0))</f>
        <v>Loop B</v>
      </c>
      <c r="N22" s="15"/>
      <c r="O22" s="15" t="s">
        <v>97</v>
      </c>
      <c r="P22" s="15"/>
    </row>
    <row r="23" ht="12.75" customHeight="1">
      <c r="A23" s="11">
        <v>21.0</v>
      </c>
      <c r="B23" s="12" t="s">
        <v>170</v>
      </c>
      <c r="C23" s="12" t="s">
        <v>42</v>
      </c>
      <c r="D23" s="12" t="str">
        <f>IF(C23="","",VLOOKUP(C23,DB!A:B,2,0))</f>
        <v>Receptor cable vision</v>
      </c>
      <c r="E23" s="12"/>
      <c r="F23" s="12"/>
      <c r="G23" s="11" t="s">
        <v>171</v>
      </c>
      <c r="H23" s="13"/>
      <c r="J23" s="11">
        <v>21.0</v>
      </c>
      <c r="K23" s="11" t="s">
        <v>172</v>
      </c>
      <c r="L23" s="11" t="s">
        <v>18</v>
      </c>
      <c r="M23" s="11" t="str">
        <f>IF(L23="","",VLOOKUP(L23,DB!A:B,2,0))</f>
        <v>Loop C</v>
      </c>
      <c r="N23" s="11"/>
      <c r="O23" s="11" t="s">
        <v>94</v>
      </c>
      <c r="P23" s="11"/>
    </row>
    <row r="24" ht="12.75" customHeight="1">
      <c r="A24" s="15">
        <v>22.0</v>
      </c>
      <c r="B24" s="16" t="s">
        <v>173</v>
      </c>
      <c r="C24" s="16" t="s">
        <v>85</v>
      </c>
      <c r="D24" s="16" t="str">
        <f>IF(C24="","",VLOOKUP(C24,DB!A:B,2,0))</f>
        <v/>
      </c>
      <c r="E24" s="16"/>
      <c r="F24" s="16" t="s">
        <v>174</v>
      </c>
      <c r="G24" s="15"/>
      <c r="H24" s="13"/>
      <c r="J24" s="15">
        <v>22.0</v>
      </c>
      <c r="K24" s="15" t="s">
        <v>175</v>
      </c>
      <c r="L24" s="15" t="s">
        <v>18</v>
      </c>
      <c r="M24" s="15" t="str">
        <f>IF(L24="","",VLOOKUP(L24,DB!A:B,2,0))</f>
        <v>Loop C</v>
      </c>
      <c r="N24" s="15"/>
      <c r="O24" s="15" t="s">
        <v>97</v>
      </c>
      <c r="P24" s="15"/>
    </row>
    <row r="25" ht="12.75" customHeight="1">
      <c r="A25" s="11">
        <v>23.0</v>
      </c>
      <c r="B25" s="12" t="s">
        <v>176</v>
      </c>
      <c r="C25" s="12" t="s">
        <v>60</v>
      </c>
      <c r="D25" s="12" t="str">
        <f>IF(C25="","",VLOOKUP(C25,DB!A:B,2,0))</f>
        <v>Videocasetera</v>
      </c>
      <c r="E25" s="12"/>
      <c r="F25" s="12"/>
      <c r="G25" s="11"/>
      <c r="H25" s="13"/>
      <c r="J25" s="11">
        <v>23.0</v>
      </c>
      <c r="K25" s="11" t="s">
        <v>177</v>
      </c>
      <c r="L25" s="11" t="s">
        <v>26</v>
      </c>
      <c r="M25" s="11" t="str">
        <f>IF(L25="","",VLOOKUP(L25,DB!A:B,2,0))</f>
        <v>Blackmagic Multiview 16</v>
      </c>
      <c r="N25" s="11"/>
      <c r="O25" s="11" t="s">
        <v>94</v>
      </c>
      <c r="P25" s="11"/>
    </row>
    <row r="26" ht="12.75" customHeight="1">
      <c r="A26" s="15">
        <v>24.0</v>
      </c>
      <c r="B26" s="16" t="s">
        <v>178</v>
      </c>
      <c r="C26" s="26" t="s">
        <v>87</v>
      </c>
      <c r="D26" s="16" t="str">
        <f>IF(C26="","",VLOOKUP(C26,DB!A:B,2,0))</f>
        <v/>
      </c>
      <c r="E26" s="16"/>
      <c r="F26" s="16"/>
      <c r="G26" s="27" t="s">
        <v>179</v>
      </c>
      <c r="H26" s="28"/>
      <c r="I26" s="19"/>
      <c r="J26" s="15">
        <v>24.0</v>
      </c>
      <c r="K26" s="15" t="s">
        <v>180</v>
      </c>
      <c r="L26" s="15" t="s">
        <v>86</v>
      </c>
      <c r="M26" s="15" t="str">
        <f>IF(L26="","",VLOOKUP(L26,DB!A:B,2,0))</f>
        <v/>
      </c>
      <c r="N26" s="15"/>
      <c r="O26" s="15"/>
      <c r="P26" s="15"/>
    </row>
    <row r="27" ht="12.75" customHeight="1">
      <c r="A27" s="11">
        <v>25.0</v>
      </c>
      <c r="B27" s="23" t="s">
        <v>38</v>
      </c>
      <c r="C27" s="24" t="s">
        <v>38</v>
      </c>
      <c r="D27" s="12" t="str">
        <f>IF(C27="","",VLOOKUP(C27,DB!A:B,2,0))</f>
        <v/>
      </c>
      <c r="E27" s="12"/>
      <c r="F27" s="12"/>
      <c r="G27" s="11"/>
      <c r="H27" s="13"/>
      <c r="I27" s="19"/>
      <c r="J27" s="11">
        <v>25.0</v>
      </c>
      <c r="K27" s="11" t="s">
        <v>181</v>
      </c>
      <c r="L27" s="11" t="s">
        <v>78</v>
      </c>
      <c r="M27" s="11" t="str">
        <f>IF(L27="","",VLOOKUP(L27,DB!A:B,2,0))</f>
        <v>FOR A HVS-390HS</v>
      </c>
      <c r="N27" s="11"/>
      <c r="O27" s="11" t="s">
        <v>143</v>
      </c>
      <c r="P27" s="11"/>
    </row>
    <row r="28" ht="12.75" customHeight="1">
      <c r="A28" s="15">
        <v>26.0</v>
      </c>
      <c r="B28" s="16" t="s">
        <v>182</v>
      </c>
      <c r="C28" s="16" t="s">
        <v>46</v>
      </c>
      <c r="D28" s="16" t="str">
        <f>IF(C28="","",VLOOKUP(C28,DB!A:B,2,0))</f>
        <v>openGear X</v>
      </c>
      <c r="E28" s="16" t="s">
        <v>183</v>
      </c>
      <c r="F28" s="16" t="s">
        <v>114</v>
      </c>
      <c r="G28" s="15" t="s">
        <v>184</v>
      </c>
      <c r="H28" s="13"/>
      <c r="I28" s="19"/>
      <c r="J28" s="15">
        <v>26.0</v>
      </c>
      <c r="K28" s="15" t="s">
        <v>185</v>
      </c>
      <c r="L28" s="15" t="s">
        <v>78</v>
      </c>
      <c r="M28" s="15" t="str">
        <f>IF(L28="","",VLOOKUP(L28,DB!A:B,2,0))</f>
        <v>FOR A HVS-390HS</v>
      </c>
      <c r="N28" s="15"/>
      <c r="O28" s="15" t="s">
        <v>146</v>
      </c>
      <c r="P28" s="15"/>
    </row>
    <row r="29" ht="12.75" customHeight="1">
      <c r="A29" s="11">
        <v>27.0</v>
      </c>
      <c r="B29" s="12" t="s">
        <v>186</v>
      </c>
      <c r="C29" s="12" t="s">
        <v>46</v>
      </c>
      <c r="D29" s="12" t="str">
        <f>IF(C29="","",VLOOKUP(C29,DB!A:B,2,0))</f>
        <v>openGear X</v>
      </c>
      <c r="E29" s="12" t="s">
        <v>137</v>
      </c>
      <c r="F29" s="12" t="s">
        <v>114</v>
      </c>
      <c r="G29" s="11" t="s">
        <v>187</v>
      </c>
      <c r="H29" s="13"/>
      <c r="I29" s="19"/>
      <c r="J29" s="11">
        <v>27.0</v>
      </c>
      <c r="K29" s="11" t="s">
        <v>188</v>
      </c>
      <c r="L29" s="11" t="s">
        <v>78</v>
      </c>
      <c r="M29" s="11" t="str">
        <f>IF(L29="","",VLOOKUP(L29,DB!A:B,2,0))</f>
        <v>FOR A HVS-390HS</v>
      </c>
      <c r="N29" s="11"/>
      <c r="O29" s="11" t="s">
        <v>150</v>
      </c>
      <c r="P29" s="11"/>
    </row>
    <row r="30" ht="12.75" customHeight="1">
      <c r="A30" s="15">
        <v>28.0</v>
      </c>
      <c r="B30" s="16"/>
      <c r="C30" s="16" t="s">
        <v>46</v>
      </c>
      <c r="D30" s="16" t="str">
        <f>IF(C30="","",VLOOKUP(C30,DB!A:B,2,0))</f>
        <v>openGear X</v>
      </c>
      <c r="E30" s="16" t="s">
        <v>159</v>
      </c>
      <c r="F30" s="16" t="s">
        <v>114</v>
      </c>
      <c r="G30" s="15" t="s">
        <v>189</v>
      </c>
      <c r="H30" s="13"/>
      <c r="I30" s="19"/>
      <c r="J30" s="15">
        <v>28.0</v>
      </c>
      <c r="K30" s="15" t="s">
        <v>190</v>
      </c>
      <c r="L30" s="15" t="s">
        <v>78</v>
      </c>
      <c r="M30" s="15" t="str">
        <f>IF(L30="","",VLOOKUP(L30,DB!A:B,2,0))</f>
        <v>FOR A HVS-390HS</v>
      </c>
      <c r="N30" s="15"/>
      <c r="O30" s="15" t="s">
        <v>154</v>
      </c>
      <c r="P30" s="15"/>
    </row>
    <row r="31" ht="12.75" customHeight="1">
      <c r="A31" s="11">
        <v>29.0</v>
      </c>
      <c r="B31" s="12" t="s">
        <v>191</v>
      </c>
      <c r="C31" s="24" t="s">
        <v>66</v>
      </c>
      <c r="D31" s="12" t="str">
        <f>IF(C31="","",VLOOKUP(C31,DB!A:B,2,0))</f>
        <v>PC Rack</v>
      </c>
      <c r="E31" s="12" t="s">
        <v>192</v>
      </c>
      <c r="F31" s="12" t="s">
        <v>193</v>
      </c>
      <c r="G31" s="11"/>
      <c r="H31" s="13"/>
      <c r="I31" s="19"/>
      <c r="J31" s="11">
        <v>29.0</v>
      </c>
      <c r="K31" s="11" t="s">
        <v>194</v>
      </c>
      <c r="L31" s="25" t="s">
        <v>86</v>
      </c>
      <c r="M31" s="11" t="str">
        <f>IF(L31="","",VLOOKUP(L31,DB!A:B,2,0))</f>
        <v/>
      </c>
      <c r="N31" s="12"/>
      <c r="O31" s="11"/>
      <c r="P31" s="25" t="s">
        <v>195</v>
      </c>
    </row>
    <row r="32" ht="12.75" customHeight="1">
      <c r="A32" s="15">
        <v>30.0</v>
      </c>
      <c r="B32" s="16" t="s">
        <v>196</v>
      </c>
      <c r="C32" s="16" t="s">
        <v>76</v>
      </c>
      <c r="D32" s="16" t="str">
        <f>IF(C32="","",VLOOKUP(C32,DB!A:B,2,0))</f>
        <v>Blackmagic Multiview 4</v>
      </c>
      <c r="E32" s="16"/>
      <c r="F32" s="16" t="s">
        <v>114</v>
      </c>
      <c r="G32" s="15"/>
      <c r="H32" s="13"/>
      <c r="I32" s="19"/>
      <c r="J32" s="15">
        <v>30.0</v>
      </c>
      <c r="K32" s="15" t="s">
        <v>197</v>
      </c>
      <c r="L32" s="27" t="s">
        <v>66</v>
      </c>
      <c r="M32" s="15" t="str">
        <f>IF(L32="","",VLOOKUP(L32,DB!A:B,2,0))</f>
        <v>PC Rack</v>
      </c>
      <c r="N32" s="16" t="s">
        <v>192</v>
      </c>
      <c r="O32" s="15" t="s">
        <v>198</v>
      </c>
      <c r="P32" s="15"/>
    </row>
    <row r="33" ht="12.75" customHeight="1">
      <c r="A33" s="11">
        <v>31.0</v>
      </c>
      <c r="B33" s="12" t="s">
        <v>199</v>
      </c>
      <c r="C33" s="24" t="s">
        <v>68</v>
      </c>
      <c r="D33" s="12" t="str">
        <f>IF(C33="","",VLOOKUP(C33,DB!A:B,2,0))</f>
        <v>Datavideo TC-200</v>
      </c>
      <c r="E33" s="12"/>
      <c r="F33" s="12" t="s">
        <v>114</v>
      </c>
      <c r="G33" s="11"/>
      <c r="H33" s="13"/>
      <c r="I33" s="19"/>
      <c r="J33" s="11">
        <v>31.0</v>
      </c>
      <c r="K33" s="11" t="s">
        <v>200</v>
      </c>
      <c r="L33" s="25" t="s">
        <v>68</v>
      </c>
      <c r="M33" s="11" t="str">
        <f>IF(L33="","",VLOOKUP(L33,DB!A:B,2,0))</f>
        <v>Datavideo TC-200</v>
      </c>
      <c r="N33" s="11"/>
      <c r="O33" s="11" t="s">
        <v>112</v>
      </c>
      <c r="P33" s="11"/>
    </row>
    <row r="34" ht="12.75" customHeight="1">
      <c r="A34" s="15">
        <v>32.0</v>
      </c>
      <c r="B34" s="16" t="s">
        <v>87</v>
      </c>
      <c r="C34" s="26" t="s">
        <v>87</v>
      </c>
      <c r="D34" s="16" t="str">
        <f>IF(C34="","",VLOOKUP(C34,DB!A:B,2,0))</f>
        <v/>
      </c>
      <c r="E34" s="16"/>
      <c r="F34" s="16"/>
      <c r="G34" s="15"/>
      <c r="H34" s="13"/>
      <c r="I34" s="19"/>
      <c r="J34" s="15">
        <v>32.0</v>
      </c>
      <c r="K34" s="15" t="s">
        <v>201</v>
      </c>
      <c r="L34" s="29" t="s">
        <v>38</v>
      </c>
      <c r="M34" s="15" t="str">
        <f>IF(L34="","",VLOOKUP(L34,DB!A:B,2,0))</f>
        <v/>
      </c>
      <c r="N34" s="15"/>
      <c r="O34" s="15"/>
      <c r="P34" s="15"/>
    </row>
    <row r="35" ht="12.75" customHeight="1">
      <c r="A35" s="11">
        <v>33.0</v>
      </c>
      <c r="B35" s="12" t="s">
        <v>202</v>
      </c>
      <c r="C35" s="12" t="s">
        <v>84</v>
      </c>
      <c r="D35" s="12" t="str">
        <f>IF(C35="","",VLOOKUP(C35,DB!A:B,2,0))</f>
        <v/>
      </c>
      <c r="E35" s="12"/>
      <c r="F35" s="12"/>
      <c r="G35" s="11" t="s">
        <v>203</v>
      </c>
      <c r="H35" s="13"/>
      <c r="I35" s="19"/>
      <c r="J35" s="11">
        <v>33.0</v>
      </c>
      <c r="K35" s="11" t="s">
        <v>204</v>
      </c>
      <c r="L35" s="11" t="s">
        <v>32</v>
      </c>
      <c r="M35" s="11" t="str">
        <f>IF(L35="","",VLOOKUP(L35,DB!A:B,2,0))</f>
        <v>Patch Panel</v>
      </c>
      <c r="N35" s="11"/>
      <c r="O35" s="11">
        <v>16.0</v>
      </c>
      <c r="P35" s="11"/>
    </row>
    <row r="36" ht="12.75" customHeight="1">
      <c r="A36" s="15">
        <v>34.0</v>
      </c>
      <c r="B36" s="16" t="s">
        <v>205</v>
      </c>
      <c r="C36" s="16" t="s">
        <v>30</v>
      </c>
      <c r="D36" s="16" t="str">
        <f>IF(C36="","",VLOOKUP(C36,DB!A:B,2,0))</f>
        <v>Patch Panel</v>
      </c>
      <c r="E36" s="16"/>
      <c r="F36" s="26" t="s">
        <v>206</v>
      </c>
      <c r="G36" s="15"/>
      <c r="H36" s="28"/>
      <c r="I36" s="30"/>
      <c r="J36" s="15">
        <v>34.0</v>
      </c>
      <c r="K36" s="15" t="s">
        <v>207</v>
      </c>
      <c r="L36" s="15" t="s">
        <v>32</v>
      </c>
      <c r="M36" s="15" t="str">
        <f>IF(L36="","",VLOOKUP(L36,DB!A:B,2,0))</f>
        <v>Patch Panel</v>
      </c>
      <c r="N36" s="15"/>
      <c r="O36" s="15">
        <v>15.0</v>
      </c>
      <c r="P36" s="15" t="s">
        <v>208</v>
      </c>
    </row>
    <row r="37" ht="12.75" customHeight="1">
      <c r="A37" s="11">
        <v>35.0</v>
      </c>
      <c r="B37" s="12" t="s">
        <v>209</v>
      </c>
      <c r="C37" s="12" t="s">
        <v>30</v>
      </c>
      <c r="D37" s="12" t="str">
        <f>IF(C37="","",VLOOKUP(C37,DB!A:B,2,0))</f>
        <v>Patch Panel</v>
      </c>
      <c r="E37" s="12"/>
      <c r="F37" s="24" t="s">
        <v>210</v>
      </c>
      <c r="G37" s="11"/>
      <c r="H37" s="28"/>
      <c r="I37" s="30"/>
      <c r="J37" s="11">
        <v>35.0</v>
      </c>
      <c r="K37" s="11" t="s">
        <v>211</v>
      </c>
      <c r="L37" s="11" t="s">
        <v>32</v>
      </c>
      <c r="M37" s="11" t="str">
        <f>IF(L37="","",VLOOKUP(L37,DB!A:B,2,0))</f>
        <v>Patch Panel</v>
      </c>
      <c r="N37" s="11"/>
      <c r="O37" s="11">
        <v>14.0</v>
      </c>
      <c r="P37" s="11" t="s">
        <v>208</v>
      </c>
    </row>
    <row r="38" ht="12.75" customHeight="1">
      <c r="A38" s="15">
        <v>36.0</v>
      </c>
      <c r="B38" s="16" t="s">
        <v>212</v>
      </c>
      <c r="C38" s="16" t="s">
        <v>30</v>
      </c>
      <c r="D38" s="16" t="str">
        <f>IF(C38="","",VLOOKUP(C38,DB!A:B,2,0))</f>
        <v>Patch Panel</v>
      </c>
      <c r="E38" s="16"/>
      <c r="F38" s="26" t="s">
        <v>213</v>
      </c>
      <c r="G38" s="15"/>
      <c r="H38" s="28"/>
      <c r="I38" s="30"/>
      <c r="J38" s="15">
        <v>36.0</v>
      </c>
      <c r="K38" s="15" t="s">
        <v>214</v>
      </c>
      <c r="L38" s="15" t="s">
        <v>32</v>
      </c>
      <c r="M38" s="15" t="str">
        <f>IF(L38="","",VLOOKUP(L38,DB!A:B,2,0))</f>
        <v>Patch Panel</v>
      </c>
      <c r="N38" s="15"/>
      <c r="O38" s="15">
        <v>13.0</v>
      </c>
      <c r="P38" s="15" t="s">
        <v>208</v>
      </c>
    </row>
    <row r="39" ht="12.75" customHeight="1">
      <c r="A39" s="11">
        <v>37.0</v>
      </c>
      <c r="B39" s="12" t="s">
        <v>215</v>
      </c>
      <c r="C39" s="12" t="s">
        <v>30</v>
      </c>
      <c r="D39" s="12" t="str">
        <f>IF(C39="","",VLOOKUP(C39,DB!A:B,2,0))</f>
        <v>Patch Panel</v>
      </c>
      <c r="E39" s="12"/>
      <c r="F39" s="24" t="s">
        <v>216</v>
      </c>
      <c r="G39" s="11"/>
      <c r="H39" s="28"/>
      <c r="I39" s="30"/>
      <c r="J39" s="11">
        <v>37.0</v>
      </c>
      <c r="K39" s="11" t="s">
        <v>217</v>
      </c>
      <c r="L39" s="11" t="s">
        <v>32</v>
      </c>
      <c r="M39" s="11" t="str">
        <f>IF(L39="","",VLOOKUP(L39,DB!A:B,2,0))</f>
        <v>Patch Panel</v>
      </c>
      <c r="N39" s="11"/>
      <c r="O39" s="11">
        <v>12.0</v>
      </c>
      <c r="P39" s="11"/>
    </row>
    <row r="40" ht="12.75" customHeight="1">
      <c r="A40" s="15">
        <v>38.0</v>
      </c>
      <c r="B40" s="16" t="s">
        <v>218</v>
      </c>
      <c r="C40" s="16" t="s">
        <v>30</v>
      </c>
      <c r="D40" s="16" t="str">
        <f>IF(C40="","",VLOOKUP(C40,DB!A:B,2,0))</f>
        <v>Patch Panel</v>
      </c>
      <c r="E40" s="16"/>
      <c r="F40" s="26" t="s">
        <v>219</v>
      </c>
      <c r="G40" s="15"/>
      <c r="H40" s="28"/>
      <c r="I40" s="30"/>
      <c r="J40" s="15">
        <v>38.0</v>
      </c>
      <c r="K40" s="15" t="s">
        <v>220</v>
      </c>
      <c r="L40" s="15" t="s">
        <v>32</v>
      </c>
      <c r="M40" s="15" t="str">
        <f>IF(L40="","",VLOOKUP(L40,DB!A:B,2,0))</f>
        <v>Patch Panel</v>
      </c>
      <c r="N40" s="15"/>
      <c r="O40" s="15">
        <v>11.0</v>
      </c>
      <c r="P40" s="15"/>
    </row>
    <row r="41" ht="12.75" customHeight="1">
      <c r="A41" s="11">
        <v>39.0</v>
      </c>
      <c r="B41" s="12" t="s">
        <v>221</v>
      </c>
      <c r="C41" s="12" t="s">
        <v>30</v>
      </c>
      <c r="D41" s="12" t="str">
        <f>IF(C41="","",VLOOKUP(C41,DB!A:B,2,0))</f>
        <v>Patch Panel</v>
      </c>
      <c r="E41" s="12"/>
      <c r="F41" s="24" t="s">
        <v>222</v>
      </c>
      <c r="G41" s="11"/>
      <c r="H41" s="28"/>
      <c r="I41" s="30"/>
      <c r="J41" s="11">
        <v>39.0</v>
      </c>
      <c r="K41" s="11"/>
      <c r="L41" s="11" t="s">
        <v>32</v>
      </c>
      <c r="M41" s="11" t="str">
        <f>IF(L41="","",VLOOKUP(L41,DB!A:B,2,0))</f>
        <v>Patch Panel</v>
      </c>
      <c r="N41" s="11"/>
      <c r="O41" s="11">
        <v>10.0</v>
      </c>
      <c r="P41" s="11"/>
    </row>
    <row r="42" ht="12.75" customHeight="1">
      <c r="A42" s="15">
        <v>40.0</v>
      </c>
      <c r="B42" s="16" t="s">
        <v>223</v>
      </c>
      <c r="C42" s="16" t="s">
        <v>30</v>
      </c>
      <c r="D42" s="16" t="str">
        <f>IF(C42="","",VLOOKUP(C42,DB!A:B,2,0))</f>
        <v>Patch Panel</v>
      </c>
      <c r="E42" s="16"/>
      <c r="F42" s="26" t="s">
        <v>224</v>
      </c>
      <c r="G42" s="15"/>
      <c r="H42" s="28"/>
      <c r="I42" s="30"/>
      <c r="J42" s="15">
        <v>40.0</v>
      </c>
      <c r="K42" s="15" t="s">
        <v>204</v>
      </c>
      <c r="L42" s="15" t="s">
        <v>32</v>
      </c>
      <c r="M42" s="15" t="str">
        <f>IF(L42="","",VLOOKUP(L42,DB!A:B,2,0))</f>
        <v>Patch Panel</v>
      </c>
      <c r="N42" s="15"/>
      <c r="O42" s="15">
        <v>9.0</v>
      </c>
      <c r="P42" s="15"/>
    </row>
    <row r="43" ht="12.75" customHeight="1">
      <c r="A43" s="11">
        <v>41.0</v>
      </c>
      <c r="B43" s="12" t="s">
        <v>225</v>
      </c>
      <c r="C43" s="12" t="s">
        <v>71</v>
      </c>
      <c r="D43" s="12" t="str">
        <f>IF(C43="","",VLOOKUP(C43,DB!A:B,2,0))</f>
        <v>Sony HXCU-100</v>
      </c>
      <c r="E43" s="12"/>
      <c r="F43" s="24" t="s">
        <v>95</v>
      </c>
      <c r="G43" s="11"/>
      <c r="H43" s="13"/>
      <c r="J43" s="11">
        <v>41.0</v>
      </c>
      <c r="K43" s="11" t="s">
        <v>226</v>
      </c>
      <c r="L43" s="11" t="s">
        <v>32</v>
      </c>
      <c r="M43" s="11" t="str">
        <f>IF(L43="","",VLOOKUP(L43,DB!A:B,2,0))</f>
        <v>Patch Panel</v>
      </c>
      <c r="N43" s="11"/>
      <c r="O43" s="11">
        <v>8.0</v>
      </c>
      <c r="P43" s="11"/>
    </row>
    <row r="44" ht="12.75" customHeight="1">
      <c r="A44" s="15">
        <v>42.0</v>
      </c>
      <c r="B44" s="16" t="s">
        <v>227</v>
      </c>
      <c r="C44" s="16" t="s">
        <v>73</v>
      </c>
      <c r="D44" s="16" t="str">
        <f>IF(C44="","",VLOOKUP(C44,DB!A:B,2,0))</f>
        <v>Sony HXCU-100</v>
      </c>
      <c r="E44" s="16"/>
      <c r="F44" s="26" t="s">
        <v>95</v>
      </c>
      <c r="G44" s="15"/>
      <c r="H44" s="13"/>
      <c r="J44" s="15">
        <v>42.0</v>
      </c>
      <c r="K44" s="15" t="s">
        <v>228</v>
      </c>
      <c r="L44" s="15" t="s">
        <v>32</v>
      </c>
      <c r="M44" s="15" t="str">
        <f>IF(L44="","",VLOOKUP(L44,DB!A:B,2,0))</f>
        <v>Patch Panel</v>
      </c>
      <c r="N44" s="15"/>
      <c r="O44" s="15">
        <v>7.0</v>
      </c>
      <c r="P44" s="15"/>
    </row>
    <row r="45" ht="12.75" customHeight="1">
      <c r="A45" s="11">
        <v>43.0</v>
      </c>
      <c r="B45" s="12" t="s">
        <v>229</v>
      </c>
      <c r="C45" s="12" t="s">
        <v>74</v>
      </c>
      <c r="D45" s="12" t="str">
        <f>IF(C45="","",VLOOKUP(C45,DB!A:B,2,0))</f>
        <v>Sony HXCU-100</v>
      </c>
      <c r="E45" s="12"/>
      <c r="F45" s="24" t="s">
        <v>95</v>
      </c>
      <c r="G45" s="11"/>
      <c r="H45" s="13"/>
      <c r="J45" s="11">
        <v>43.0</v>
      </c>
      <c r="K45" s="11" t="s">
        <v>230</v>
      </c>
      <c r="L45" s="11" t="s">
        <v>32</v>
      </c>
      <c r="M45" s="11" t="str">
        <f>IF(L45="","",VLOOKUP(L45,DB!A:B,2,0))</f>
        <v>Patch Panel</v>
      </c>
      <c r="N45" s="11"/>
      <c r="O45" s="11">
        <v>6.0</v>
      </c>
      <c r="P45" s="11"/>
    </row>
    <row r="46" ht="12.75" customHeight="1">
      <c r="A46" s="15">
        <v>44.0</v>
      </c>
      <c r="B46" s="16" t="s">
        <v>231</v>
      </c>
      <c r="C46" s="16" t="s">
        <v>75</v>
      </c>
      <c r="D46" s="16" t="str">
        <f>IF(C46="","",VLOOKUP(C46,DB!A:B,2,0))</f>
        <v>Sony HXCU-100</v>
      </c>
      <c r="E46" s="16"/>
      <c r="F46" s="26" t="s">
        <v>95</v>
      </c>
      <c r="G46" s="15"/>
      <c r="H46" s="13"/>
      <c r="J46" s="15">
        <v>44.0</v>
      </c>
      <c r="K46" s="15" t="s">
        <v>232</v>
      </c>
      <c r="L46" s="15" t="s">
        <v>32</v>
      </c>
      <c r="M46" s="15" t="str">
        <f>IF(L46="","",VLOOKUP(L46,DB!A:B,2,0))</f>
        <v>Patch Panel</v>
      </c>
      <c r="N46" s="15"/>
      <c r="O46" s="15">
        <v>5.0</v>
      </c>
      <c r="P46" s="15" t="s">
        <v>208</v>
      </c>
    </row>
    <row r="47" ht="12.75" customHeight="1">
      <c r="A47" s="11">
        <v>45.0</v>
      </c>
      <c r="B47" s="23" t="s">
        <v>87</v>
      </c>
      <c r="C47" s="24" t="s">
        <v>87</v>
      </c>
      <c r="D47" s="12" t="str">
        <f>IF(C47="","",VLOOKUP(C47,DB!A:B,2,0))</f>
        <v/>
      </c>
      <c r="E47" s="12"/>
      <c r="F47" s="12"/>
      <c r="G47" s="11"/>
      <c r="H47" s="13"/>
      <c r="J47" s="11">
        <v>45.0</v>
      </c>
      <c r="K47" s="11"/>
      <c r="L47" s="11" t="s">
        <v>32</v>
      </c>
      <c r="M47" s="11" t="str">
        <f>IF(L47="","",VLOOKUP(L47,DB!A:B,2,0))</f>
        <v>Patch Panel</v>
      </c>
      <c r="N47" s="11"/>
      <c r="O47" s="11">
        <v>4.0</v>
      </c>
      <c r="P47" s="11"/>
    </row>
    <row r="48" ht="12.75" customHeight="1">
      <c r="A48" s="15">
        <v>46.0</v>
      </c>
      <c r="B48" s="16" t="s">
        <v>87</v>
      </c>
      <c r="C48" s="26" t="s">
        <v>87</v>
      </c>
      <c r="D48" s="16" t="str">
        <f>IF(C48="","",VLOOKUP(C48,DB!A:B,2,0))</f>
        <v/>
      </c>
      <c r="E48" s="16"/>
      <c r="F48" s="16"/>
      <c r="G48" s="15"/>
      <c r="H48" s="13"/>
      <c r="J48" s="15">
        <v>46.0</v>
      </c>
      <c r="K48" s="15" t="s">
        <v>233</v>
      </c>
      <c r="L48" s="15" t="s">
        <v>32</v>
      </c>
      <c r="M48" s="15" t="str">
        <f>IF(L48="","",VLOOKUP(L48,DB!A:B,2,0))</f>
        <v>Patch Panel</v>
      </c>
      <c r="N48" s="15"/>
      <c r="O48" s="15">
        <v>3.0</v>
      </c>
      <c r="P48" s="15"/>
    </row>
    <row r="49" ht="12.75" customHeight="1">
      <c r="A49" s="11">
        <v>47.0</v>
      </c>
      <c r="B49" s="23" t="s">
        <v>87</v>
      </c>
      <c r="C49" s="24" t="s">
        <v>87</v>
      </c>
      <c r="D49" s="12" t="str">
        <f>IF(C49="","",VLOOKUP(C49,DB!A:B,2,0))</f>
        <v/>
      </c>
      <c r="E49" s="12"/>
      <c r="F49" s="12"/>
      <c r="G49" s="11"/>
      <c r="H49" s="13"/>
      <c r="J49" s="11">
        <v>47.0</v>
      </c>
      <c r="K49" s="11" t="s">
        <v>234</v>
      </c>
      <c r="L49" s="11" t="s">
        <v>32</v>
      </c>
      <c r="M49" s="11" t="str">
        <f>IF(L49="","",VLOOKUP(L49,DB!A:B,2,0))</f>
        <v>Patch Panel</v>
      </c>
      <c r="N49" s="11"/>
      <c r="O49" s="11">
        <v>2.0</v>
      </c>
      <c r="P49" s="11"/>
    </row>
    <row r="50" ht="12.75" customHeight="1">
      <c r="A50" s="15">
        <v>48.0</v>
      </c>
      <c r="B50" s="16" t="s">
        <v>87</v>
      </c>
      <c r="C50" s="26" t="s">
        <v>87</v>
      </c>
      <c r="D50" s="16" t="str">
        <f>IF(C50="","",VLOOKUP(C50,DB!A:B,2,0))</f>
        <v/>
      </c>
      <c r="E50" s="16"/>
      <c r="F50" s="16"/>
      <c r="G50" s="15"/>
      <c r="H50" s="13"/>
      <c r="J50" s="15">
        <v>48.0</v>
      </c>
      <c r="K50" s="15" t="s">
        <v>235</v>
      </c>
      <c r="L50" s="15" t="s">
        <v>32</v>
      </c>
      <c r="M50" s="15" t="str">
        <f>IF(L50="","",VLOOKUP(L50,DB!A:B,2,0))</f>
        <v>Patch Panel</v>
      </c>
      <c r="N50" s="15"/>
      <c r="O50" s="15">
        <v>1.0</v>
      </c>
      <c r="P50" s="15"/>
    </row>
    <row r="51" ht="12.75" customHeight="1">
      <c r="A51" s="11">
        <v>49.0</v>
      </c>
      <c r="B51" s="12" t="s">
        <v>236</v>
      </c>
      <c r="C51" s="24" t="s">
        <v>38</v>
      </c>
      <c r="D51" s="12" t="str">
        <f>IF(C51="","",VLOOKUP(C51,DB!A:B,2,0))</f>
        <v/>
      </c>
      <c r="E51" s="12"/>
      <c r="F51" s="12"/>
      <c r="G51" s="11"/>
      <c r="H51" s="13"/>
      <c r="J51" s="11">
        <v>49.0</v>
      </c>
      <c r="K51" s="11" t="s">
        <v>207</v>
      </c>
      <c r="L51" s="11" t="s">
        <v>46</v>
      </c>
      <c r="M51" s="11" t="str">
        <f>IF(L51="","",VLOOKUP(L51,DB!A:B,2,0))</f>
        <v>openGear X</v>
      </c>
      <c r="N51" s="11">
        <v>9.0</v>
      </c>
      <c r="O51" s="11" t="s">
        <v>112</v>
      </c>
      <c r="P51" s="11"/>
    </row>
    <row r="52" ht="12.75" customHeight="1">
      <c r="A52" s="15">
        <v>50.0</v>
      </c>
      <c r="B52" s="16" t="s">
        <v>87</v>
      </c>
      <c r="C52" s="26" t="s">
        <v>86</v>
      </c>
      <c r="D52" s="16" t="str">
        <f>IF(C52="","",VLOOKUP(C52,DB!A:B,2,0))</f>
        <v/>
      </c>
      <c r="E52" s="16"/>
      <c r="F52" s="16"/>
      <c r="G52" s="27" t="s">
        <v>237</v>
      </c>
      <c r="H52" s="13"/>
      <c r="J52" s="15">
        <v>50.0</v>
      </c>
      <c r="K52" s="15" t="s">
        <v>238</v>
      </c>
      <c r="L52" s="15" t="s">
        <v>86</v>
      </c>
      <c r="M52" s="15" t="str">
        <f>IF(L52="","",VLOOKUP(L52,DB!A:B,2,0))</f>
        <v/>
      </c>
      <c r="N52" s="15"/>
      <c r="O52" s="15"/>
      <c r="P52" s="15"/>
    </row>
    <row r="53" ht="12.75" customHeight="1">
      <c r="A53" s="11">
        <v>51.0</v>
      </c>
      <c r="B53" s="23" t="s">
        <v>87</v>
      </c>
      <c r="C53" s="24" t="s">
        <v>86</v>
      </c>
      <c r="D53" s="12" t="str">
        <f>IF(C53="","",VLOOKUP(C53,DB!A:B,2,0))</f>
        <v/>
      </c>
      <c r="E53" s="12"/>
      <c r="F53" s="12"/>
      <c r="G53" s="25" t="s">
        <v>237</v>
      </c>
      <c r="H53" s="13"/>
      <c r="J53" s="11">
        <v>51.0</v>
      </c>
      <c r="K53" s="11" t="s">
        <v>239</v>
      </c>
      <c r="L53" s="11" t="s">
        <v>85</v>
      </c>
      <c r="M53" s="11" t="str">
        <f>IF(L53="","",VLOOKUP(L53,DB!A:B,2,0))</f>
        <v/>
      </c>
      <c r="N53" s="11"/>
      <c r="O53" s="11" t="s">
        <v>94</v>
      </c>
      <c r="P53" s="11"/>
    </row>
    <row r="54" ht="12.75" customHeight="1">
      <c r="A54" s="15">
        <v>52.0</v>
      </c>
      <c r="B54" s="16" t="s">
        <v>87</v>
      </c>
      <c r="C54" s="26" t="s">
        <v>87</v>
      </c>
      <c r="D54" s="16" t="str">
        <f>IF(C54="","",VLOOKUP(C54,DB!A:B,2,0))</f>
        <v/>
      </c>
      <c r="E54" s="16"/>
      <c r="F54" s="16"/>
      <c r="G54" s="27"/>
      <c r="H54" s="13"/>
      <c r="J54" s="15">
        <v>52.0</v>
      </c>
      <c r="K54" s="15" t="s">
        <v>240</v>
      </c>
      <c r="L54" s="15" t="s">
        <v>55</v>
      </c>
      <c r="M54" s="15" t="str">
        <f>IF(L54="","",VLOOKUP(L54,DB!A:B,2,0))</f>
        <v>AJA FS2</v>
      </c>
      <c r="N54" s="15"/>
      <c r="O54" s="15" t="s">
        <v>97</v>
      </c>
      <c r="P54" s="15"/>
    </row>
    <row r="55" ht="12.75" customHeight="1">
      <c r="A55" s="11">
        <v>53.0</v>
      </c>
      <c r="B55" s="12" t="s">
        <v>241</v>
      </c>
      <c r="C55" s="24" t="s">
        <v>66</v>
      </c>
      <c r="D55" s="12" t="str">
        <f>IF(C55="","",VLOOKUP(C55,DB!A:B,2,0))</f>
        <v>PC Rack</v>
      </c>
      <c r="E55" s="12" t="s">
        <v>192</v>
      </c>
      <c r="F55" s="12" t="s">
        <v>174</v>
      </c>
      <c r="G55" s="11"/>
      <c r="H55" s="13"/>
      <c r="J55" s="11">
        <v>53.0</v>
      </c>
      <c r="K55" s="11" t="s">
        <v>242</v>
      </c>
      <c r="L55" s="11" t="s">
        <v>86</v>
      </c>
      <c r="M55" s="11" t="str">
        <f>IF(L55="","",VLOOKUP(L55,DB!A:B,2,0))</f>
        <v/>
      </c>
      <c r="N55" s="11"/>
      <c r="O55" s="11"/>
      <c r="P55" s="11"/>
    </row>
    <row r="56" ht="12.75" customHeight="1">
      <c r="A56" s="15">
        <v>54.0</v>
      </c>
      <c r="B56" s="16" t="s">
        <v>243</v>
      </c>
      <c r="C56" s="26" t="s">
        <v>38</v>
      </c>
      <c r="D56" s="16" t="str">
        <f>IF(C56="","",VLOOKUP(C56,DB!A:B,2,0))</f>
        <v/>
      </c>
      <c r="E56" s="16"/>
      <c r="F56" s="16"/>
      <c r="G56" s="15"/>
      <c r="H56" s="13"/>
      <c r="J56" s="15">
        <v>54.0</v>
      </c>
      <c r="K56" s="15" t="s">
        <v>244</v>
      </c>
      <c r="L56" s="27" t="s">
        <v>62</v>
      </c>
      <c r="M56" s="15" t="str">
        <f>IF(L56="","",VLOOKUP(L56,DB!A:B,2,0))</f>
        <v>Thomson Up-Link</v>
      </c>
      <c r="N56" s="15"/>
      <c r="O56" s="15" t="s">
        <v>112</v>
      </c>
      <c r="P56" s="15"/>
    </row>
    <row r="57" ht="12.75" customHeight="1">
      <c r="A57" s="11">
        <v>55.0</v>
      </c>
      <c r="B57" s="12" t="s">
        <v>245</v>
      </c>
      <c r="C57" s="12" t="s">
        <v>10</v>
      </c>
      <c r="D57" s="12" t="str">
        <f>IF(C57="","",VLOOKUP(C57,DB!A:B,2,0))</f>
        <v>CGX</v>
      </c>
      <c r="E57" s="12" t="s">
        <v>192</v>
      </c>
      <c r="F57" s="12" t="s">
        <v>102</v>
      </c>
      <c r="G57" s="11"/>
      <c r="H57" s="13"/>
      <c r="J57" s="11">
        <v>55.0</v>
      </c>
      <c r="K57" s="11"/>
      <c r="L57" s="25" t="s">
        <v>38</v>
      </c>
      <c r="M57" s="11" t="str">
        <f>IF(L57="","",VLOOKUP(L57,DB!A:B,2,0))</f>
        <v/>
      </c>
      <c r="N57" s="11"/>
      <c r="O57" s="11"/>
      <c r="P57" s="11"/>
    </row>
    <row r="58" ht="12.75" customHeight="1">
      <c r="A58" s="15">
        <v>56.0</v>
      </c>
      <c r="B58" s="16" t="s">
        <v>87</v>
      </c>
      <c r="C58" s="26" t="s">
        <v>87</v>
      </c>
      <c r="D58" s="16" t="str">
        <f>IF(C58="","",VLOOKUP(C58,DB!A:B,2,0))</f>
        <v/>
      </c>
      <c r="E58" s="16"/>
      <c r="F58" s="16"/>
      <c r="G58" s="15"/>
      <c r="H58" s="13"/>
      <c r="J58" s="15">
        <v>56.0</v>
      </c>
      <c r="K58" s="15" t="s">
        <v>246</v>
      </c>
      <c r="L58" s="15" t="s">
        <v>10</v>
      </c>
      <c r="M58" s="15" t="str">
        <f>IF(L58="","",VLOOKUP(L58,DB!A:B,2,0))</f>
        <v>CGX</v>
      </c>
      <c r="N58" s="15" t="s">
        <v>192</v>
      </c>
      <c r="O58" s="15" t="s">
        <v>105</v>
      </c>
      <c r="P58" s="15"/>
    </row>
    <row r="59" ht="12.75" customHeight="1">
      <c r="A59" s="11">
        <v>57.0</v>
      </c>
      <c r="B59" s="12" t="s">
        <v>247</v>
      </c>
      <c r="C59" s="12" t="s">
        <v>53</v>
      </c>
      <c r="D59" s="12" t="str">
        <f>IF(C59="","",VLOOKUP(C59,DB!A:B,2,0))</f>
        <v>AJA FS4</v>
      </c>
      <c r="E59" s="12"/>
      <c r="F59" s="12" t="s">
        <v>183</v>
      </c>
      <c r="G59" s="11"/>
      <c r="H59" s="13"/>
      <c r="J59" s="11">
        <v>57.0</v>
      </c>
      <c r="K59" s="11" t="s">
        <v>247</v>
      </c>
      <c r="L59" s="11" t="s">
        <v>53</v>
      </c>
      <c r="M59" s="11" t="str">
        <f>IF(L59="","",VLOOKUP(L59,DB!A:B,2,0))</f>
        <v>AJA FS4</v>
      </c>
      <c r="N59" s="11"/>
      <c r="O59" s="11"/>
      <c r="P59" s="11"/>
    </row>
    <row r="60" ht="12.75" customHeight="1">
      <c r="A60" s="15">
        <v>58.0</v>
      </c>
      <c r="B60" s="16" t="s">
        <v>248</v>
      </c>
      <c r="C60" s="16" t="s">
        <v>53</v>
      </c>
      <c r="D60" s="16" t="str">
        <f>IF(C60="","",VLOOKUP(C60,DB!A:B,2,0))</f>
        <v>AJA FS4</v>
      </c>
      <c r="E60" s="16"/>
      <c r="F60" s="16" t="s">
        <v>137</v>
      </c>
      <c r="G60" s="15"/>
      <c r="H60" s="13"/>
      <c r="J60" s="15">
        <v>58.0</v>
      </c>
      <c r="K60" s="15" t="s">
        <v>248</v>
      </c>
      <c r="L60" s="15" t="s">
        <v>53</v>
      </c>
      <c r="M60" s="15" t="str">
        <f>IF(L60="","",VLOOKUP(L60,DB!A:B,2,0))</f>
        <v>AJA FS4</v>
      </c>
      <c r="N60" s="15"/>
      <c r="O60" s="15"/>
      <c r="P60" s="15"/>
    </row>
    <row r="61" ht="12.75" customHeight="1">
      <c r="A61" s="11">
        <v>59.0</v>
      </c>
      <c r="B61" s="12" t="s">
        <v>249</v>
      </c>
      <c r="C61" s="12" t="s">
        <v>53</v>
      </c>
      <c r="D61" s="12" t="str">
        <f>IF(C61="","",VLOOKUP(C61,DB!A:B,2,0))</f>
        <v>AJA FS4</v>
      </c>
      <c r="E61" s="12"/>
      <c r="F61" s="12" t="s">
        <v>159</v>
      </c>
      <c r="G61" s="11"/>
      <c r="H61" s="13"/>
      <c r="J61" s="11">
        <v>59.0</v>
      </c>
      <c r="K61" s="11" t="s">
        <v>250</v>
      </c>
      <c r="L61" s="11" t="s">
        <v>53</v>
      </c>
      <c r="M61" s="11" t="str">
        <f>IF(L61="","",VLOOKUP(L61,DB!A:B,2,0))</f>
        <v>AJA FS4</v>
      </c>
      <c r="N61" s="11"/>
      <c r="O61" s="11"/>
      <c r="P61" s="11"/>
    </row>
    <row r="62" ht="12.75" customHeight="1">
      <c r="A62" s="15">
        <v>60.0</v>
      </c>
      <c r="B62" s="16" t="s">
        <v>251</v>
      </c>
      <c r="C62" s="16" t="s">
        <v>53</v>
      </c>
      <c r="D62" s="16" t="str">
        <f>IF(C62="","",VLOOKUP(C62,DB!A:B,2,0))</f>
        <v>AJA FS4</v>
      </c>
      <c r="E62" s="16"/>
      <c r="F62" s="16" t="s">
        <v>152</v>
      </c>
      <c r="G62" s="15"/>
      <c r="H62" s="13"/>
      <c r="J62" s="15">
        <v>60.0</v>
      </c>
      <c r="K62" s="15" t="s">
        <v>252</v>
      </c>
      <c r="L62" s="15" t="s">
        <v>53</v>
      </c>
      <c r="M62" s="15" t="str">
        <f>IF(L62="","",VLOOKUP(L62,DB!A:B,2,0))</f>
        <v>AJA FS4</v>
      </c>
      <c r="N62" s="15"/>
      <c r="O62" s="15"/>
      <c r="P62" s="15"/>
    </row>
    <row r="63" ht="12.75" customHeight="1">
      <c r="A63" s="11">
        <v>61.0</v>
      </c>
      <c r="B63" s="23" t="s">
        <v>87</v>
      </c>
      <c r="C63" s="24" t="s">
        <v>87</v>
      </c>
      <c r="D63" s="12" t="str">
        <f>IF(C63="","",VLOOKUP(C63,DB!A:B,2,0))</f>
        <v/>
      </c>
      <c r="E63" s="12"/>
      <c r="F63" s="12"/>
      <c r="G63" s="11"/>
      <c r="H63" s="13"/>
      <c r="J63" s="11">
        <v>61.0</v>
      </c>
      <c r="K63" s="11" t="s">
        <v>253</v>
      </c>
      <c r="L63" s="25" t="s">
        <v>64</v>
      </c>
      <c r="M63" s="11" t="str">
        <f>IF(L63="","",VLOOKUP(L63,DB!A:B,2,0))</f>
        <v>Leader LV 7770</v>
      </c>
      <c r="N63" s="11"/>
      <c r="O63" s="11" t="s">
        <v>94</v>
      </c>
      <c r="P63" s="11"/>
    </row>
    <row r="64" ht="12.75" customHeight="1">
      <c r="A64" s="15">
        <v>62.0</v>
      </c>
      <c r="B64" s="16" t="s">
        <v>254</v>
      </c>
      <c r="C64" s="16" t="s">
        <v>50</v>
      </c>
      <c r="D64" s="16" t="str">
        <f>IF(C64="","",VLOOKUP(C64,DB!A:B,2,0))</f>
        <v>openGear X</v>
      </c>
      <c r="E64" s="16" t="s">
        <v>148</v>
      </c>
      <c r="F64" s="16" t="s">
        <v>255</v>
      </c>
      <c r="G64" s="15"/>
      <c r="H64" s="13"/>
      <c r="J64" s="15">
        <v>62.0</v>
      </c>
      <c r="K64" s="15" t="s">
        <v>256</v>
      </c>
      <c r="L64" s="27" t="s">
        <v>64</v>
      </c>
      <c r="M64" s="15" t="str">
        <f>IF(L64="","",VLOOKUP(L64,DB!A:B,2,0))</f>
        <v>Leader LV 7770</v>
      </c>
      <c r="N64" s="15"/>
      <c r="O64" s="15" t="s">
        <v>97</v>
      </c>
      <c r="P64" s="15"/>
    </row>
    <row r="65" ht="12.75" customHeight="1">
      <c r="A65" s="11">
        <v>63.0</v>
      </c>
      <c r="B65" s="12" t="s">
        <v>257</v>
      </c>
      <c r="C65" s="12" t="s">
        <v>26</v>
      </c>
      <c r="D65" s="12" t="str">
        <f>IF(C65="","",VLOOKUP(C65,DB!A:B,2,0))</f>
        <v>Blackmagic Multiview 16</v>
      </c>
      <c r="E65" s="12"/>
      <c r="F65" s="24" t="s">
        <v>258</v>
      </c>
      <c r="G65" s="11" t="s">
        <v>259</v>
      </c>
      <c r="H65" s="13"/>
      <c r="J65" s="11">
        <v>63.0</v>
      </c>
      <c r="K65" s="11" t="s">
        <v>260</v>
      </c>
      <c r="L65" s="25" t="s">
        <v>38</v>
      </c>
      <c r="M65" s="11" t="str">
        <f>IF(L65="","",VLOOKUP(L65,DB!A:B,2,0))</f>
        <v/>
      </c>
      <c r="N65" s="11"/>
      <c r="O65" s="11"/>
      <c r="P65" s="11"/>
    </row>
    <row r="66" ht="12.75" customHeight="1">
      <c r="A66" s="15">
        <v>64.0</v>
      </c>
      <c r="B66" s="16" t="s">
        <v>261</v>
      </c>
      <c r="C66" s="16" t="s">
        <v>28</v>
      </c>
      <c r="D66" s="16" t="str">
        <f>IF(C66="","",VLOOKUP(C66,DB!A:B,2,0))</f>
        <v>Blackmagic 12 x 12</v>
      </c>
      <c r="E66" s="16"/>
      <c r="F66" s="16" t="s">
        <v>262</v>
      </c>
      <c r="G66" s="15"/>
      <c r="H66" s="13"/>
      <c r="J66" s="15">
        <v>64.0</v>
      </c>
      <c r="K66" s="15" t="s">
        <v>263</v>
      </c>
      <c r="L66" s="27" t="s">
        <v>38</v>
      </c>
      <c r="M66" s="15" t="str">
        <f>IF(L66="","",VLOOKUP(L66,DB!A:B,2,0))</f>
        <v/>
      </c>
      <c r="N66" s="15"/>
      <c r="O66" s="15"/>
      <c r="P66" s="15"/>
    </row>
    <row r="67" ht="12.75" customHeight="1">
      <c r="H67" s="19"/>
    </row>
  </sheetData>
  <mergeCells count="4">
    <mergeCell ref="A1:B1"/>
    <mergeCell ref="C1:G1"/>
    <mergeCell ref="J1:K1"/>
    <mergeCell ref="L1:P1"/>
  </mergeCells>
  <dataValidations>
    <dataValidation type="list" allowBlank="1" showErrorMessage="1" sqref="L3:L66">
      <formula1>DB!$A$2:$A$82</formula1>
    </dataValidation>
    <dataValidation type="list" allowBlank="1" showErrorMessage="1" sqref="C3:C66">
      <formula1>DB!$A$2:$A$84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9.13"/>
    <col customWidth="1" min="3" max="3" width="17.63"/>
    <col customWidth="1" min="4" max="4" width="7.38"/>
    <col customWidth="1" min="5" max="5" width="11.5"/>
    <col customWidth="1" min="6" max="6" width="2.88"/>
    <col customWidth="1" min="7" max="7" width="11.5"/>
    <col customWidth="1" min="8" max="8" width="7.75"/>
    <col customWidth="1" min="9" max="9" width="8.38"/>
    <col customWidth="1" min="10" max="10" width="13.63"/>
    <col customWidth="1" min="11" max="11" width="6.25"/>
    <col customWidth="1" min="12" max="12" width="7.38"/>
    <col customWidth="1" min="13" max="13" width="11.5"/>
    <col customWidth="1" min="14" max="14" width="3.13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  <c r="G1" s="21"/>
      <c r="H1" s="31" t="s">
        <v>88</v>
      </c>
      <c r="I1" s="4" t="s">
        <v>89</v>
      </c>
      <c r="J1" s="5"/>
      <c r="K1" s="5"/>
      <c r="L1" s="5"/>
      <c r="M1" s="6"/>
      <c r="N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91</v>
      </c>
      <c r="E2" s="8" t="s">
        <v>92</v>
      </c>
      <c r="F2" s="9"/>
      <c r="G2" s="22"/>
      <c r="H2" s="8" t="s">
        <v>114</v>
      </c>
      <c r="I2" s="8" t="s">
        <v>0</v>
      </c>
      <c r="J2" s="8" t="s">
        <v>1</v>
      </c>
      <c r="K2" s="8" t="s">
        <v>90</v>
      </c>
      <c r="L2" s="8" t="s">
        <v>91</v>
      </c>
      <c r="M2" s="8" t="s">
        <v>92</v>
      </c>
      <c r="N2" s="22"/>
    </row>
    <row r="3" ht="12.75" customHeight="1">
      <c r="A3" s="11">
        <v>1.0</v>
      </c>
      <c r="B3" s="24" t="s">
        <v>24</v>
      </c>
      <c r="C3" s="12" t="str">
        <f>IF(B3="","",VLOOKUP(B3,DB!A:B,2,0))</f>
        <v>AJA KUMO 6464</v>
      </c>
      <c r="D3" s="12" t="s">
        <v>264</v>
      </c>
      <c r="E3" s="11" t="s">
        <v>177</v>
      </c>
      <c r="F3" s="13"/>
      <c r="H3" s="11">
        <v>1.0</v>
      </c>
      <c r="I3" s="25" t="s">
        <v>87</v>
      </c>
      <c r="J3" s="11" t="str">
        <f>IF(I3="","",VLOOKUP(I3,DB!A:B,2,0))</f>
        <v/>
      </c>
      <c r="K3" s="11"/>
      <c r="L3" s="11"/>
      <c r="M3" s="11"/>
    </row>
    <row r="4" ht="12.75" customHeight="1">
      <c r="A4" s="15">
        <v>2.0</v>
      </c>
      <c r="B4" s="16" t="s">
        <v>28</v>
      </c>
      <c r="C4" s="16" t="str">
        <f>IF(B4="","",VLOOKUP(B4,DB!A:B,2,0))</f>
        <v>Blackmagic 12 x 12</v>
      </c>
      <c r="D4" s="16" t="s">
        <v>95</v>
      </c>
      <c r="E4" s="15"/>
      <c r="F4" s="13"/>
      <c r="H4" s="15">
        <v>2.0</v>
      </c>
      <c r="I4" s="27" t="s">
        <v>87</v>
      </c>
      <c r="J4" s="15" t="str">
        <f>IF(I4="","",VLOOKUP(I4,DB!A:B,2,0))</f>
        <v/>
      </c>
      <c r="K4" s="15"/>
      <c r="L4" s="15"/>
      <c r="M4" s="15"/>
    </row>
    <row r="5" ht="12.75" customHeight="1">
      <c r="A5" s="11">
        <v>3.0</v>
      </c>
      <c r="B5" s="23" t="s">
        <v>28</v>
      </c>
      <c r="C5" s="12" t="str">
        <f>IF(B5="","",VLOOKUP(B5,DB!A:B,2,0))</f>
        <v>Blackmagic 12 x 12</v>
      </c>
      <c r="D5" s="23" t="s">
        <v>265</v>
      </c>
      <c r="E5" s="11"/>
      <c r="F5" s="13"/>
      <c r="H5" s="11">
        <v>3.0</v>
      </c>
      <c r="I5" s="25" t="s">
        <v>87</v>
      </c>
      <c r="J5" s="11" t="str">
        <f>IF(I5="","",VLOOKUP(I5,DB!A:B,2,0))</f>
        <v/>
      </c>
      <c r="K5" s="11"/>
      <c r="L5" s="11"/>
      <c r="M5" s="11"/>
    </row>
    <row r="6" ht="12.75" customHeight="1">
      <c r="A6" s="15">
        <v>4.0</v>
      </c>
      <c r="B6" s="16" t="s">
        <v>28</v>
      </c>
      <c r="C6" s="16" t="str">
        <f>IF(B6="","",VLOOKUP(B6,DB!A:B,2,0))</f>
        <v>Blackmagic 12 x 12</v>
      </c>
      <c r="D6" s="16" t="s">
        <v>266</v>
      </c>
      <c r="E6" s="15"/>
      <c r="F6" s="13"/>
      <c r="H6" s="15">
        <v>4.0</v>
      </c>
      <c r="I6" s="27" t="s">
        <v>87</v>
      </c>
      <c r="J6" s="15" t="str">
        <f>IF(I6="","",VLOOKUP(I6,DB!A:B,2,0))</f>
        <v/>
      </c>
      <c r="K6" s="15"/>
      <c r="L6" s="15"/>
      <c r="M6" s="15"/>
    </row>
    <row r="7" ht="12.75" customHeight="1">
      <c r="A7" s="11">
        <v>5.0</v>
      </c>
      <c r="B7" s="23" t="s">
        <v>28</v>
      </c>
      <c r="C7" s="12" t="str">
        <f>IF(B7="","",VLOOKUP(B7,DB!A:B,2,0))</f>
        <v>Blackmagic 12 x 12</v>
      </c>
      <c r="D7" s="23" t="s">
        <v>267</v>
      </c>
      <c r="E7" s="11"/>
      <c r="F7" s="13"/>
      <c r="H7" s="11">
        <v>5.0</v>
      </c>
      <c r="I7" s="25" t="s">
        <v>87</v>
      </c>
      <c r="J7" s="11" t="str">
        <f>IF(I7="","",VLOOKUP(I7,DB!A:B,2,0))</f>
        <v/>
      </c>
      <c r="K7" s="11"/>
      <c r="L7" s="11"/>
      <c r="M7" s="11"/>
    </row>
    <row r="8" ht="12.75" customHeight="1">
      <c r="A8" s="15">
        <v>6.0</v>
      </c>
      <c r="B8" s="16" t="s">
        <v>28</v>
      </c>
      <c r="C8" s="16" t="str">
        <f>IF(B8="","",VLOOKUP(B8,DB!A:B,2,0))</f>
        <v>Blackmagic 12 x 12</v>
      </c>
      <c r="D8" s="16" t="s">
        <v>268</v>
      </c>
      <c r="E8" s="15"/>
      <c r="F8" s="13"/>
      <c r="H8" s="15">
        <v>6.0</v>
      </c>
      <c r="I8" s="27" t="s">
        <v>87</v>
      </c>
      <c r="J8" s="15" t="str">
        <f>IF(I8="","",VLOOKUP(I8,DB!A:B,2,0))</f>
        <v/>
      </c>
      <c r="K8" s="15"/>
      <c r="L8" s="15"/>
      <c r="M8" s="15"/>
    </row>
    <row r="9" ht="12.75" customHeight="1">
      <c r="A9" s="11">
        <v>7.0</v>
      </c>
      <c r="B9" s="23" t="s">
        <v>28</v>
      </c>
      <c r="C9" s="12" t="str">
        <f>IF(B9="","",VLOOKUP(B9,DB!A:B,2,0))</f>
        <v>Blackmagic 12 x 12</v>
      </c>
      <c r="D9" s="23" t="s">
        <v>269</v>
      </c>
      <c r="E9" s="11"/>
      <c r="F9" s="13"/>
      <c r="H9" s="11">
        <v>7.0</v>
      </c>
      <c r="I9" s="25" t="s">
        <v>87</v>
      </c>
      <c r="J9" s="11" t="str">
        <f>IF(I9="","",VLOOKUP(I9,DB!A:B,2,0))</f>
        <v/>
      </c>
      <c r="K9" s="11"/>
      <c r="L9" s="11"/>
      <c r="M9" s="11"/>
    </row>
    <row r="10" ht="12.75" customHeight="1">
      <c r="A10" s="15">
        <v>8.0</v>
      </c>
      <c r="B10" s="16" t="s">
        <v>28</v>
      </c>
      <c r="C10" s="16" t="str">
        <f>IF(B10="","",VLOOKUP(B10,DB!A:B,2,0))</f>
        <v>Blackmagic 12 x 12</v>
      </c>
      <c r="D10" s="16" t="s">
        <v>270</v>
      </c>
      <c r="E10" s="15"/>
      <c r="F10" s="13"/>
      <c r="H10" s="15">
        <v>8.0</v>
      </c>
      <c r="I10" s="27" t="s">
        <v>87</v>
      </c>
      <c r="J10" s="15" t="str">
        <f>IF(I10="","",VLOOKUP(I10,DB!A:B,2,0))</f>
        <v/>
      </c>
      <c r="K10" s="15"/>
      <c r="L10" s="15"/>
      <c r="M10" s="15"/>
    </row>
    <row r="11" ht="12.75" customHeight="1">
      <c r="A11" s="11">
        <v>9.0</v>
      </c>
      <c r="B11" s="23" t="s">
        <v>28</v>
      </c>
      <c r="C11" s="12" t="str">
        <f>IF(B11="","",VLOOKUP(B11,DB!A:B,2,0))</f>
        <v>Blackmagic 12 x 12</v>
      </c>
      <c r="D11" s="23" t="s">
        <v>271</v>
      </c>
      <c r="E11" s="11"/>
      <c r="F11" s="13"/>
      <c r="H11" s="11">
        <v>9.0</v>
      </c>
      <c r="I11" s="25" t="s">
        <v>87</v>
      </c>
      <c r="J11" s="11" t="str">
        <f>IF(I11="","",VLOOKUP(I11,DB!A:B,2,0))</f>
        <v/>
      </c>
      <c r="K11" s="11"/>
      <c r="L11" s="11"/>
      <c r="M11" s="11"/>
    </row>
    <row r="12" ht="12.75" customHeight="1">
      <c r="A12" s="15">
        <v>10.0</v>
      </c>
      <c r="B12" s="16" t="s">
        <v>28</v>
      </c>
      <c r="C12" s="16" t="str">
        <f>IF(B12="","",VLOOKUP(B12,DB!A:B,2,0))</f>
        <v>Blackmagic 12 x 12</v>
      </c>
      <c r="D12" s="16" t="s">
        <v>272</v>
      </c>
      <c r="E12" s="15"/>
      <c r="F12" s="13"/>
      <c r="H12" s="15">
        <v>10.0</v>
      </c>
      <c r="I12" s="27" t="s">
        <v>87</v>
      </c>
      <c r="J12" s="15" t="str">
        <f>IF(I12="","",VLOOKUP(I12,DB!A:B,2,0))</f>
        <v/>
      </c>
      <c r="K12" s="15"/>
      <c r="L12" s="15"/>
      <c r="M12" s="15"/>
    </row>
    <row r="13" ht="12.75" customHeight="1">
      <c r="A13" s="11">
        <v>11.0</v>
      </c>
      <c r="B13" s="23" t="s">
        <v>24</v>
      </c>
      <c r="C13" s="12" t="str">
        <f>IF(B13="","",VLOOKUP(B13,DB!A:B,2,0))</f>
        <v>AJA KUMO 6464</v>
      </c>
      <c r="D13" s="12" t="s">
        <v>262</v>
      </c>
      <c r="E13" s="11"/>
      <c r="F13" s="13"/>
      <c r="H13" s="11">
        <v>11.0</v>
      </c>
      <c r="I13" s="25" t="s">
        <v>87</v>
      </c>
      <c r="J13" s="11" t="str">
        <f>IF(I13="","",VLOOKUP(I13,DB!A:B,2,0))</f>
        <v/>
      </c>
      <c r="K13" s="11"/>
      <c r="L13" s="11"/>
      <c r="M13" s="11"/>
    </row>
    <row r="14" ht="12.75" customHeight="1">
      <c r="A14" s="15">
        <v>12.0</v>
      </c>
      <c r="B14" s="16" t="s">
        <v>24</v>
      </c>
      <c r="C14" s="16" t="str">
        <f>IF(B14="","",VLOOKUP(B14,DB!A:B,2,0))</f>
        <v>AJA KUMO 6464</v>
      </c>
      <c r="D14" s="16" t="s">
        <v>273</v>
      </c>
      <c r="E14" s="15"/>
      <c r="F14" s="13"/>
      <c r="H14" s="15">
        <v>12.0</v>
      </c>
      <c r="I14" s="27" t="s">
        <v>87</v>
      </c>
      <c r="J14" s="15" t="str">
        <f>IF(I14="","",VLOOKUP(I14,DB!A:B,2,0))</f>
        <v/>
      </c>
      <c r="K14" s="15"/>
      <c r="L14" s="15"/>
      <c r="M14" s="15"/>
    </row>
    <row r="15" ht="12.75" customHeight="1">
      <c r="A15" s="11">
        <v>13.0</v>
      </c>
      <c r="B15" s="23" t="s">
        <v>24</v>
      </c>
      <c r="C15" s="12" t="str">
        <f>IF(B15="","",VLOOKUP(B15,DB!A:B,2,0))</f>
        <v>AJA KUMO 6464</v>
      </c>
      <c r="D15" s="12" t="s">
        <v>274</v>
      </c>
      <c r="E15" s="11"/>
      <c r="F15" s="13"/>
      <c r="H15" s="11">
        <v>13.0</v>
      </c>
      <c r="I15" s="11" t="s">
        <v>46</v>
      </c>
      <c r="J15" s="11" t="str">
        <f>IF(I15="","",VLOOKUP(I15,DB!A:B,2,0))</f>
        <v>openGear X</v>
      </c>
      <c r="K15" s="11">
        <v>4.0</v>
      </c>
      <c r="L15" s="11" t="s">
        <v>275</v>
      </c>
      <c r="M15" s="11"/>
    </row>
    <row r="16" ht="12.75" customHeight="1">
      <c r="A16" s="15">
        <v>14.0</v>
      </c>
      <c r="B16" s="16" t="s">
        <v>24</v>
      </c>
      <c r="C16" s="16" t="str">
        <f>IF(B16="","",VLOOKUP(B16,DB!A:B,2,0))</f>
        <v>AJA KUMO 6464</v>
      </c>
      <c r="D16" s="16" t="s">
        <v>276</v>
      </c>
      <c r="E16" s="15"/>
      <c r="F16" s="13"/>
      <c r="H16" s="15">
        <v>14.0</v>
      </c>
      <c r="I16" s="15" t="s">
        <v>46</v>
      </c>
      <c r="J16" s="15" t="str">
        <f>IF(I16="","",VLOOKUP(I16,DB!A:B,2,0))</f>
        <v>openGear X</v>
      </c>
      <c r="K16" s="15">
        <v>5.0</v>
      </c>
      <c r="L16" s="15" t="s">
        <v>275</v>
      </c>
      <c r="M16" s="15"/>
    </row>
    <row r="17" ht="12.75" customHeight="1">
      <c r="A17" s="11">
        <v>15.0</v>
      </c>
      <c r="B17" s="23" t="s">
        <v>24</v>
      </c>
      <c r="C17" s="12" t="str">
        <f>IF(B17="","",VLOOKUP(B17,DB!A:B,2,0))</f>
        <v>AJA KUMO 6464</v>
      </c>
      <c r="D17" s="12" t="s">
        <v>277</v>
      </c>
      <c r="E17" s="11"/>
      <c r="F17" s="13"/>
      <c r="H17" s="11">
        <v>15.0</v>
      </c>
      <c r="I17" s="11" t="s">
        <v>46</v>
      </c>
      <c r="J17" s="11" t="str">
        <f>IF(I17="","",VLOOKUP(I17,DB!A:B,2,0))</f>
        <v>openGear X</v>
      </c>
      <c r="K17" s="11">
        <v>6.0</v>
      </c>
      <c r="L17" s="11" t="s">
        <v>275</v>
      </c>
      <c r="M17" s="11"/>
    </row>
    <row r="18" ht="12.75" customHeight="1">
      <c r="A18" s="15">
        <v>16.0</v>
      </c>
      <c r="B18" s="26" t="s">
        <v>24</v>
      </c>
      <c r="C18" s="16" t="str">
        <f>IF(B18="","",VLOOKUP(B18,DB!A:B,2,0))</f>
        <v>AJA KUMO 6464</v>
      </c>
      <c r="D18" s="16" t="s">
        <v>278</v>
      </c>
      <c r="E18" s="15"/>
      <c r="F18" s="13"/>
      <c r="H18" s="32">
        <v>16.0</v>
      </c>
      <c r="I18" s="32" t="s">
        <v>46</v>
      </c>
      <c r="J18" s="15" t="str">
        <f>IF(I18="","",VLOOKUP(I18,DB!A:B,2,0))</f>
        <v>openGear X</v>
      </c>
      <c r="K18" s="32">
        <v>7.0</v>
      </c>
      <c r="L18" s="32" t="s">
        <v>275</v>
      </c>
      <c r="M18" s="32"/>
    </row>
    <row r="19" ht="12.75" customHeight="1">
      <c r="F19" s="19"/>
      <c r="H19" s="10"/>
      <c r="I19" s="10"/>
      <c r="J19" s="11" t="str">
        <f>IF(I19="","",VLOOKUP(I19,DB!A:B,2,0))</f>
        <v/>
      </c>
      <c r="K19" s="10"/>
      <c r="L19" s="10"/>
      <c r="M19" s="10"/>
    </row>
    <row r="20" ht="12.75" customHeight="1">
      <c r="F20" s="19"/>
      <c r="H20" s="14" t="s">
        <v>258</v>
      </c>
      <c r="I20" s="20" t="s">
        <v>24</v>
      </c>
      <c r="J20" s="15" t="str">
        <f>IF(I20="","",VLOOKUP(I20,DB!A:B,2,0))</f>
        <v>AJA KUMO 6464</v>
      </c>
      <c r="K20" s="14"/>
      <c r="L20" s="14" t="s">
        <v>279</v>
      </c>
      <c r="M20" s="14" t="s">
        <v>280</v>
      </c>
    </row>
    <row r="21" ht="12.75" customHeight="1">
      <c r="F21" s="19"/>
    </row>
  </sheetData>
  <mergeCells count="2">
    <mergeCell ref="B1:E1"/>
    <mergeCell ref="I1:M1"/>
  </mergeCells>
  <dataValidations>
    <dataValidation type="list" allowBlank="1" showErrorMessage="1" sqref="B3:B18 I3:I18 I20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9.75"/>
    <col customWidth="1" min="3" max="3" width="18.63"/>
    <col customWidth="1" min="4" max="4" width="7.38"/>
    <col customWidth="1" min="5" max="5" width="9.38"/>
    <col customWidth="1" min="6" max="6" width="2.88"/>
    <col customWidth="1" min="7" max="7" width="11.5"/>
    <col customWidth="1" min="8" max="8" width="7.5"/>
    <col customWidth="1" min="9" max="9" width="8.38"/>
    <col customWidth="1" min="10" max="10" width="22.75"/>
    <col customWidth="1" min="11" max="11" width="7.38"/>
    <col customWidth="1" min="12" max="12" width="9.13"/>
    <col customWidth="1" min="13" max="13" width="3.13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  <c r="G1" s="21"/>
      <c r="H1" s="31" t="s">
        <v>88</v>
      </c>
      <c r="I1" s="4" t="s">
        <v>89</v>
      </c>
      <c r="J1" s="5"/>
      <c r="K1" s="5"/>
      <c r="L1" s="6"/>
      <c r="M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91</v>
      </c>
      <c r="E2" s="8" t="s">
        <v>92</v>
      </c>
      <c r="F2" s="9"/>
      <c r="G2" s="22"/>
      <c r="H2" s="8" t="s">
        <v>114</v>
      </c>
      <c r="I2" s="8" t="s">
        <v>0</v>
      </c>
      <c r="J2" s="8" t="s">
        <v>1</v>
      </c>
      <c r="K2" s="8" t="s">
        <v>91</v>
      </c>
      <c r="L2" s="8" t="s">
        <v>92</v>
      </c>
      <c r="M2" s="22"/>
    </row>
    <row r="3" ht="12.75" customHeight="1">
      <c r="A3" s="11">
        <v>1.0</v>
      </c>
      <c r="B3" s="12" t="s">
        <v>24</v>
      </c>
      <c r="C3" s="12" t="str">
        <f>IF(B3="","",VLOOKUP(B3,DB!A:B,2,0))</f>
        <v>AJA KUMO 6464</v>
      </c>
      <c r="D3" s="12" t="s">
        <v>93</v>
      </c>
      <c r="E3" s="11" t="s">
        <v>116</v>
      </c>
      <c r="F3" s="13"/>
      <c r="H3" s="11">
        <v>1.0</v>
      </c>
      <c r="I3" s="25" t="s">
        <v>38</v>
      </c>
      <c r="J3" s="11" t="str">
        <f>IF(I3="","",VLOOKUP(I3,DB!A:B,2,0))</f>
        <v/>
      </c>
      <c r="K3" s="11"/>
      <c r="L3" s="11"/>
    </row>
    <row r="4" ht="12.75" customHeight="1">
      <c r="A4" s="15">
        <v>2.0</v>
      </c>
      <c r="B4" s="16" t="s">
        <v>24</v>
      </c>
      <c r="C4" s="16" t="str">
        <f>IF(B4="","",VLOOKUP(B4,DB!A:B,2,0))</f>
        <v>AJA KUMO 6464</v>
      </c>
      <c r="D4" s="16" t="s">
        <v>95</v>
      </c>
      <c r="E4" s="15" t="s">
        <v>118</v>
      </c>
      <c r="F4" s="13"/>
      <c r="H4" s="15">
        <v>2.0</v>
      </c>
      <c r="I4" s="15" t="s">
        <v>26</v>
      </c>
      <c r="J4" s="15" t="str">
        <f>IF(I4="","",VLOOKUP(I4,DB!A:B,2,0))</f>
        <v>Blackmagic Multiview 16</v>
      </c>
      <c r="K4" s="15" t="s">
        <v>97</v>
      </c>
      <c r="L4" s="15"/>
    </row>
    <row r="5" ht="12.75" customHeight="1">
      <c r="A5" s="11">
        <v>3.0</v>
      </c>
      <c r="B5" s="12" t="s">
        <v>24</v>
      </c>
      <c r="C5" s="12" t="str">
        <f>IF(B5="","",VLOOKUP(B5,DB!A:B,2,0))</f>
        <v>AJA KUMO 6464</v>
      </c>
      <c r="D5" s="12" t="s">
        <v>265</v>
      </c>
      <c r="E5" s="11" t="s">
        <v>120</v>
      </c>
      <c r="F5" s="13"/>
      <c r="H5" s="11">
        <v>3.0</v>
      </c>
      <c r="I5" s="11" t="s">
        <v>26</v>
      </c>
      <c r="J5" s="11" t="str">
        <f>IF(I5="","",VLOOKUP(I5,DB!A:B,2,0))</f>
        <v>Blackmagic Multiview 16</v>
      </c>
      <c r="K5" s="11" t="s">
        <v>99</v>
      </c>
      <c r="L5" s="11"/>
    </row>
    <row r="6" ht="12.75" customHeight="1">
      <c r="A6" s="15">
        <v>4.0</v>
      </c>
      <c r="B6" s="16" t="s">
        <v>24</v>
      </c>
      <c r="C6" s="16" t="str">
        <f>IF(B6="","",VLOOKUP(B6,DB!A:B,2,0))</f>
        <v>AJA KUMO 6464</v>
      </c>
      <c r="D6" s="16" t="s">
        <v>266</v>
      </c>
      <c r="E6" s="15" t="s">
        <v>122</v>
      </c>
      <c r="F6" s="13"/>
      <c r="H6" s="15">
        <v>4.0</v>
      </c>
      <c r="I6" s="15" t="s">
        <v>26</v>
      </c>
      <c r="J6" s="15" t="str">
        <f>IF(I6="","",VLOOKUP(I6,DB!A:B,2,0))</f>
        <v>Blackmagic Multiview 16</v>
      </c>
      <c r="K6" s="15" t="s">
        <v>100</v>
      </c>
      <c r="L6" s="15"/>
    </row>
    <row r="7" ht="12.75" customHeight="1">
      <c r="A7" s="11">
        <v>5.0</v>
      </c>
      <c r="B7" s="12" t="s">
        <v>24</v>
      </c>
      <c r="C7" s="12" t="str">
        <f>IF(B7="","",VLOOKUP(B7,DB!A:B,2,0))</f>
        <v>AJA KUMO 6464</v>
      </c>
      <c r="D7" s="12" t="s">
        <v>267</v>
      </c>
      <c r="E7" s="11" t="s">
        <v>124</v>
      </c>
      <c r="F7" s="13"/>
      <c r="H7" s="11">
        <v>5.0</v>
      </c>
      <c r="I7" s="11" t="s">
        <v>26</v>
      </c>
      <c r="J7" s="11" t="str">
        <f>IF(I7="","",VLOOKUP(I7,DB!A:B,2,0))</f>
        <v>Blackmagic Multiview 16</v>
      </c>
      <c r="K7" s="11" t="s">
        <v>96</v>
      </c>
      <c r="L7" s="11"/>
    </row>
    <row r="8" ht="12.75" customHeight="1">
      <c r="A8" s="15">
        <v>6.0</v>
      </c>
      <c r="B8" s="16" t="s">
        <v>24</v>
      </c>
      <c r="C8" s="16" t="str">
        <f>IF(B8="","",VLOOKUP(B8,DB!A:B,2,0))</f>
        <v>AJA KUMO 6464</v>
      </c>
      <c r="D8" s="16" t="s">
        <v>268</v>
      </c>
      <c r="E8" s="15" t="s">
        <v>127</v>
      </c>
      <c r="F8" s="13"/>
      <c r="H8" s="15">
        <v>6.0</v>
      </c>
      <c r="I8" s="15" t="s">
        <v>26</v>
      </c>
      <c r="J8" s="15" t="str">
        <f>IF(I8="","",VLOOKUP(I8,DB!A:B,2,0))</f>
        <v>Blackmagic Multiview 16</v>
      </c>
      <c r="K8" s="15" t="s">
        <v>98</v>
      </c>
      <c r="L8" s="15"/>
    </row>
    <row r="9" ht="12.75" customHeight="1">
      <c r="A9" s="11">
        <v>7.0</v>
      </c>
      <c r="B9" s="12" t="s">
        <v>24</v>
      </c>
      <c r="C9" s="12" t="str">
        <f>IF(B9="","",VLOOKUP(B9,DB!A:B,2,0))</f>
        <v>AJA KUMO 6464</v>
      </c>
      <c r="D9" s="12" t="s">
        <v>269</v>
      </c>
      <c r="E9" s="11" t="s">
        <v>129</v>
      </c>
      <c r="F9" s="13"/>
      <c r="H9" s="11">
        <v>7.0</v>
      </c>
      <c r="I9" s="11" t="s">
        <v>26</v>
      </c>
      <c r="J9" s="11" t="str">
        <f>IF(I9="","",VLOOKUP(I9,DB!A:B,2,0))</f>
        <v>Blackmagic Multiview 16</v>
      </c>
      <c r="K9" s="11" t="s">
        <v>130</v>
      </c>
      <c r="L9" s="11"/>
    </row>
    <row r="10" ht="12.75" customHeight="1">
      <c r="A10" s="15">
        <v>8.0</v>
      </c>
      <c r="B10" s="16" t="s">
        <v>24</v>
      </c>
      <c r="C10" s="16" t="str">
        <f>IF(B10="","",VLOOKUP(B10,DB!A:B,2,0))</f>
        <v>AJA KUMO 6464</v>
      </c>
      <c r="D10" s="16" t="s">
        <v>270</v>
      </c>
      <c r="E10" s="15" t="s">
        <v>132</v>
      </c>
      <c r="F10" s="13"/>
      <c r="H10" s="15">
        <v>8.0</v>
      </c>
      <c r="I10" s="15" t="s">
        <v>26</v>
      </c>
      <c r="J10" s="15" t="str">
        <f>IF(I10="","",VLOOKUP(I10,DB!A:B,2,0))</f>
        <v>Blackmagic Multiview 16</v>
      </c>
      <c r="K10" s="15" t="s">
        <v>133</v>
      </c>
      <c r="L10" s="15"/>
    </row>
    <row r="11" ht="12.75" customHeight="1">
      <c r="A11" s="11">
        <v>9.0</v>
      </c>
      <c r="B11" s="12" t="s">
        <v>24</v>
      </c>
      <c r="C11" s="12" t="str">
        <f>IF(B11="","",VLOOKUP(B11,DB!A:B,2,0))</f>
        <v>AJA KUMO 6464</v>
      </c>
      <c r="D11" s="12" t="s">
        <v>271</v>
      </c>
      <c r="E11" s="11" t="s">
        <v>134</v>
      </c>
      <c r="F11" s="13"/>
      <c r="H11" s="11">
        <v>9.0</v>
      </c>
      <c r="I11" s="11" t="s">
        <v>26</v>
      </c>
      <c r="J11" s="11" t="str">
        <f>IF(I11="","",VLOOKUP(I11,DB!A:B,2,0))</f>
        <v>Blackmagic Multiview 16</v>
      </c>
      <c r="K11" s="11" t="s">
        <v>135</v>
      </c>
      <c r="L11" s="11"/>
    </row>
    <row r="12" ht="12.75" customHeight="1">
      <c r="A12" s="15">
        <v>10.0</v>
      </c>
      <c r="B12" s="16" t="s">
        <v>24</v>
      </c>
      <c r="C12" s="16" t="str">
        <f>IF(B12="","",VLOOKUP(B12,DB!A:B,2,0))</f>
        <v>AJA KUMO 6464</v>
      </c>
      <c r="D12" s="16" t="s">
        <v>272</v>
      </c>
      <c r="E12" s="15" t="s">
        <v>138</v>
      </c>
      <c r="F12" s="13"/>
      <c r="H12" s="15">
        <v>10.0</v>
      </c>
      <c r="I12" s="15" t="s">
        <v>26</v>
      </c>
      <c r="J12" s="15" t="str">
        <f>IF(I12="","",VLOOKUP(I12,DB!A:B,2,0))</f>
        <v>Blackmagic Multiview 16</v>
      </c>
      <c r="K12" s="15" t="s">
        <v>139</v>
      </c>
      <c r="L12" s="15"/>
    </row>
    <row r="13" ht="12.75" customHeight="1">
      <c r="A13" s="11">
        <v>11.0</v>
      </c>
      <c r="B13" s="23" t="s">
        <v>87</v>
      </c>
      <c r="C13" s="12" t="str">
        <f>IF(B13="","",VLOOKUP(B13,DB!A:B,2,0))</f>
        <v/>
      </c>
      <c r="D13" s="12"/>
      <c r="E13" s="11"/>
      <c r="F13" s="13"/>
      <c r="H13" s="11">
        <v>11.0</v>
      </c>
      <c r="I13" s="11" t="s">
        <v>24</v>
      </c>
      <c r="J13" s="11" t="str">
        <f>IF(I13="","",VLOOKUP(I13,DB!A:B,2,0))</f>
        <v>AJA KUMO 6464</v>
      </c>
      <c r="K13" s="25" t="s">
        <v>281</v>
      </c>
      <c r="L13" s="11" t="s">
        <v>261</v>
      </c>
    </row>
    <row r="14" ht="12.75" customHeight="1">
      <c r="A14" s="15">
        <v>12.0</v>
      </c>
      <c r="B14" s="26" t="s">
        <v>38</v>
      </c>
      <c r="C14" s="16" t="str">
        <f>IF(B14="","",VLOOKUP(B14,DB!A:B,2,0))</f>
        <v/>
      </c>
      <c r="D14" s="16"/>
      <c r="E14" s="15"/>
      <c r="F14" s="13"/>
      <c r="H14" s="15">
        <v>12.0</v>
      </c>
      <c r="I14" s="27" t="s">
        <v>38</v>
      </c>
      <c r="J14" s="15" t="str">
        <f>IF(I14="","",VLOOKUP(I14,DB!A:B,2,0))</f>
        <v/>
      </c>
      <c r="K14" s="15"/>
      <c r="L14" s="15"/>
    </row>
    <row r="15" ht="12.75" customHeight="1">
      <c r="F15" s="19"/>
    </row>
  </sheetData>
  <mergeCells count="2">
    <mergeCell ref="B1:E1"/>
    <mergeCell ref="I1:L1"/>
  </mergeCells>
  <dataValidations>
    <dataValidation type="list" allowBlank="1" showErrorMessage="1" sqref="B3:B14 I3:I14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2.13"/>
    <col customWidth="1" min="3" max="3" width="13.63"/>
    <col customWidth="1" min="4" max="4" width="7.38"/>
    <col customWidth="1" min="5" max="5" width="40.5"/>
    <col customWidth="1" min="6" max="6" width="2.88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</row>
    <row r="2" ht="12.75" customHeight="1">
      <c r="A2" s="8" t="s">
        <v>282</v>
      </c>
      <c r="B2" s="8" t="s">
        <v>0</v>
      </c>
      <c r="C2" s="8" t="s">
        <v>1</v>
      </c>
      <c r="D2" s="8" t="s">
        <v>91</v>
      </c>
      <c r="E2" s="8" t="s">
        <v>92</v>
      </c>
      <c r="F2" s="9"/>
    </row>
    <row r="3" ht="12.75" customHeight="1">
      <c r="A3" s="15">
        <v>16.0</v>
      </c>
      <c r="B3" s="26" t="s">
        <v>86</v>
      </c>
      <c r="C3" s="16" t="str">
        <f>IF(B3="","",VLOOKUP(B3,DB!A:B,2,0))</f>
        <v/>
      </c>
      <c r="D3" s="16" t="s">
        <v>283</v>
      </c>
      <c r="E3" s="27" t="s">
        <v>284</v>
      </c>
      <c r="F3" s="13"/>
    </row>
    <row r="4" ht="12.75" customHeight="1">
      <c r="A4" s="11">
        <v>15.0</v>
      </c>
      <c r="B4" s="12" t="s">
        <v>24</v>
      </c>
      <c r="C4" s="23" t="str">
        <f>IF(B4="","",VLOOKUP(B4,DB!A:B,2,0))</f>
        <v>AJA KUMO 6464</v>
      </c>
      <c r="D4" s="12" t="s">
        <v>285</v>
      </c>
      <c r="E4" s="11" t="s">
        <v>205</v>
      </c>
      <c r="F4" s="13"/>
    </row>
    <row r="5" ht="12.75" customHeight="1">
      <c r="A5" s="15">
        <v>14.0</v>
      </c>
      <c r="B5" s="16" t="s">
        <v>24</v>
      </c>
      <c r="C5" s="16" t="str">
        <f>IF(B5="","",VLOOKUP(B5,DB!A:B,2,0))</f>
        <v>AJA KUMO 6464</v>
      </c>
      <c r="D5" s="16" t="s">
        <v>286</v>
      </c>
      <c r="E5" s="15" t="s">
        <v>209</v>
      </c>
      <c r="F5" s="13"/>
    </row>
    <row r="6" ht="12.75" customHeight="1">
      <c r="A6" s="11">
        <v>13.0</v>
      </c>
      <c r="B6" s="12" t="s">
        <v>24</v>
      </c>
      <c r="C6" s="23" t="str">
        <f>IF(B6="","",VLOOKUP(B6,DB!A:B,2,0))</f>
        <v>AJA KUMO 6464</v>
      </c>
      <c r="D6" s="12" t="s">
        <v>287</v>
      </c>
      <c r="E6" s="11" t="s">
        <v>212</v>
      </c>
      <c r="F6" s="13"/>
    </row>
    <row r="7" ht="12.75" customHeight="1">
      <c r="A7" s="15">
        <v>12.0</v>
      </c>
      <c r="B7" s="16" t="s">
        <v>24</v>
      </c>
      <c r="C7" s="16" t="str">
        <f>IF(B7="","",VLOOKUP(B7,DB!A:B,2,0))</f>
        <v>AJA KUMO 6464</v>
      </c>
      <c r="D7" s="16" t="s">
        <v>288</v>
      </c>
      <c r="E7" s="15" t="s">
        <v>215</v>
      </c>
      <c r="F7" s="13"/>
    </row>
    <row r="8" ht="12.75" customHeight="1">
      <c r="A8" s="11">
        <v>11.0</v>
      </c>
      <c r="B8" s="12" t="s">
        <v>24</v>
      </c>
      <c r="C8" s="23" t="str">
        <f>IF(B8="","",VLOOKUP(B8,DB!A:B,2,0))</f>
        <v>AJA KUMO 6464</v>
      </c>
      <c r="D8" s="12" t="s">
        <v>289</v>
      </c>
      <c r="E8" s="11" t="s">
        <v>218</v>
      </c>
      <c r="F8" s="13"/>
    </row>
    <row r="9" ht="12.75" customHeight="1">
      <c r="A9" s="15">
        <v>10.0</v>
      </c>
      <c r="B9" s="16" t="s">
        <v>24</v>
      </c>
      <c r="C9" s="16" t="str">
        <f>IF(B9="","",VLOOKUP(B9,DB!A:B,2,0))</f>
        <v>AJA KUMO 6464</v>
      </c>
      <c r="D9" s="16" t="s">
        <v>290</v>
      </c>
      <c r="E9" s="15" t="s">
        <v>221</v>
      </c>
      <c r="F9" s="13"/>
    </row>
    <row r="10" ht="12.75" customHeight="1">
      <c r="A10" s="11">
        <v>9.0</v>
      </c>
      <c r="B10" s="12" t="s">
        <v>24</v>
      </c>
      <c r="C10" s="23" t="str">
        <f>IF(B10="","",VLOOKUP(B10,DB!A:B,2,0))</f>
        <v>AJA KUMO 6464</v>
      </c>
      <c r="D10" s="12" t="s">
        <v>291</v>
      </c>
      <c r="E10" s="11" t="s">
        <v>223</v>
      </c>
      <c r="F10" s="13"/>
    </row>
    <row r="11" ht="12.75" customHeight="1">
      <c r="A11" s="15">
        <v>8.0</v>
      </c>
      <c r="B11" s="16" t="s">
        <v>87</v>
      </c>
      <c r="C11" s="16" t="str">
        <f>IF(B11="","",VLOOKUP(B11,DB!A:B,2,0))</f>
        <v/>
      </c>
      <c r="D11" s="16"/>
      <c r="E11" s="15"/>
      <c r="F11" s="13"/>
    </row>
    <row r="12" ht="12.75" customHeight="1">
      <c r="A12" s="11">
        <v>7.0</v>
      </c>
      <c r="B12" s="12" t="s">
        <v>87</v>
      </c>
      <c r="C12" s="23" t="str">
        <f>IF(B12="","",VLOOKUP(B12,DB!A:B,2,0))</f>
        <v/>
      </c>
      <c r="D12" s="12"/>
      <c r="E12" s="11"/>
      <c r="F12" s="13"/>
    </row>
    <row r="13" ht="12.75" customHeight="1">
      <c r="A13" s="15">
        <v>6.0</v>
      </c>
      <c r="B13" s="16" t="s">
        <v>87</v>
      </c>
      <c r="C13" s="16" t="str">
        <f>IF(B13="","",VLOOKUP(B13,DB!A:B,2,0))</f>
        <v/>
      </c>
      <c r="D13" s="16"/>
      <c r="E13" s="15"/>
      <c r="F13" s="13"/>
    </row>
    <row r="14" ht="12.75" customHeight="1">
      <c r="A14" s="11">
        <v>5.0</v>
      </c>
      <c r="B14" s="12" t="s">
        <v>87</v>
      </c>
      <c r="C14" s="23" t="str">
        <f>IF(B14="","",VLOOKUP(B14,DB!A:B,2,0))</f>
        <v/>
      </c>
      <c r="D14" s="12"/>
      <c r="E14" s="11"/>
      <c r="F14" s="13"/>
    </row>
    <row r="15" ht="12.75" customHeight="1">
      <c r="A15" s="15">
        <v>4.0</v>
      </c>
      <c r="B15" s="16" t="s">
        <v>87</v>
      </c>
      <c r="C15" s="16" t="str">
        <f>IF(B15="","",VLOOKUP(B15,DB!A:B,2,0))</f>
        <v/>
      </c>
      <c r="D15" s="16"/>
      <c r="E15" s="15"/>
      <c r="F15" s="13"/>
    </row>
    <row r="16" ht="12.75" customHeight="1">
      <c r="A16" s="11">
        <v>3.0</v>
      </c>
      <c r="B16" s="12" t="s">
        <v>87</v>
      </c>
      <c r="C16" s="23" t="str">
        <f>IF(B16="","",VLOOKUP(B16,DB!A:B,2,0))</f>
        <v/>
      </c>
      <c r="D16" s="12"/>
      <c r="E16" s="11"/>
      <c r="F16" s="13"/>
    </row>
    <row r="17" ht="12.75" customHeight="1">
      <c r="A17" s="15">
        <v>2.0</v>
      </c>
      <c r="B17" s="16" t="s">
        <v>87</v>
      </c>
      <c r="C17" s="16" t="str">
        <f>IF(B17="","",VLOOKUP(B17,DB!A:B,2,0))</f>
        <v/>
      </c>
      <c r="D17" s="16"/>
      <c r="E17" s="15"/>
      <c r="F17" s="13"/>
    </row>
    <row r="18" ht="12.75" customHeight="1">
      <c r="A18" s="11">
        <v>1.0</v>
      </c>
      <c r="B18" s="12" t="s">
        <v>87</v>
      </c>
      <c r="C18" s="23" t="str">
        <f>IF(B18="","",VLOOKUP(B18,DB!A:B,2,0))</f>
        <v/>
      </c>
      <c r="D18" s="12"/>
      <c r="E18" s="11"/>
      <c r="F18" s="13"/>
    </row>
    <row r="19" ht="12.75" customHeight="1">
      <c r="F19" s="19"/>
    </row>
  </sheetData>
  <mergeCells count="1">
    <mergeCell ref="B1:E1"/>
  </mergeCells>
  <dataValidations>
    <dataValidation type="list" allowBlank="1" showErrorMessage="1" sqref="B3:B18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2.25"/>
    <col customWidth="1" min="3" max="3" width="20.38"/>
    <col customWidth="1" min="4" max="4" width="8.25"/>
    <col customWidth="1" min="5" max="5" width="27.88"/>
    <col customWidth="1" min="6" max="6" width="2.88"/>
  </cols>
  <sheetData>
    <row r="1" ht="12.75" customHeight="1">
      <c r="A1" s="31" t="s">
        <v>89</v>
      </c>
      <c r="B1" s="4" t="s">
        <v>88</v>
      </c>
      <c r="C1" s="5"/>
      <c r="D1" s="5"/>
      <c r="E1" s="6"/>
      <c r="F1" s="7"/>
    </row>
    <row r="2" ht="12.75" customHeight="1">
      <c r="A2" s="8" t="s">
        <v>282</v>
      </c>
      <c r="B2" s="8" t="s">
        <v>0</v>
      </c>
      <c r="C2" s="8" t="s">
        <v>1</v>
      </c>
      <c r="D2" s="8" t="s">
        <v>91</v>
      </c>
      <c r="E2" s="8" t="s">
        <v>92</v>
      </c>
      <c r="F2" s="9"/>
    </row>
    <row r="3" ht="12.75" customHeight="1">
      <c r="A3" s="15">
        <v>16.0</v>
      </c>
      <c r="B3" s="26" t="s">
        <v>24</v>
      </c>
      <c r="C3" s="16" t="str">
        <f>IF(B3="","",VLOOKUP(B3,DB!A:B,2,0))</f>
        <v>AJA KUMO 6464</v>
      </c>
      <c r="D3" s="16" t="s">
        <v>292</v>
      </c>
      <c r="E3" s="15" t="s">
        <v>204</v>
      </c>
      <c r="F3" s="13"/>
    </row>
    <row r="4" ht="12.75" customHeight="1">
      <c r="A4" s="11">
        <v>15.0</v>
      </c>
      <c r="B4" s="12" t="s">
        <v>24</v>
      </c>
      <c r="C4" s="23" t="str">
        <f>IF(B4="","",VLOOKUP(B4,DB!A:B,2,0))</f>
        <v>AJA KUMO 6464</v>
      </c>
      <c r="D4" s="12" t="s">
        <v>293</v>
      </c>
      <c r="E4" s="11" t="s">
        <v>207</v>
      </c>
      <c r="F4" s="13"/>
    </row>
    <row r="5" ht="12.75" customHeight="1">
      <c r="A5" s="15">
        <v>14.0</v>
      </c>
      <c r="B5" s="16" t="s">
        <v>24</v>
      </c>
      <c r="C5" s="16" t="str">
        <f>IF(B5="","",VLOOKUP(B5,DB!A:B,2,0))</f>
        <v>AJA KUMO 6464</v>
      </c>
      <c r="D5" s="16" t="s">
        <v>294</v>
      </c>
      <c r="E5" s="15" t="s">
        <v>211</v>
      </c>
      <c r="F5" s="13"/>
    </row>
    <row r="6" ht="12.75" customHeight="1">
      <c r="A6" s="11">
        <v>13.0</v>
      </c>
      <c r="B6" s="12" t="s">
        <v>24</v>
      </c>
      <c r="C6" s="23" t="str">
        <f>IF(B6="","",VLOOKUP(B6,DB!A:B,2,0))</f>
        <v>AJA KUMO 6464</v>
      </c>
      <c r="D6" s="12" t="s">
        <v>295</v>
      </c>
      <c r="E6" s="11" t="s">
        <v>214</v>
      </c>
      <c r="F6" s="13"/>
    </row>
    <row r="7" ht="12.75" customHeight="1">
      <c r="A7" s="15">
        <v>12.0</v>
      </c>
      <c r="B7" s="16" t="s">
        <v>24</v>
      </c>
      <c r="C7" s="16" t="str">
        <f>IF(B7="","",VLOOKUP(B7,DB!A:B,2,0))</f>
        <v>AJA KUMO 6464</v>
      </c>
      <c r="D7" s="16" t="s">
        <v>296</v>
      </c>
      <c r="E7" s="15" t="s">
        <v>217</v>
      </c>
      <c r="F7" s="13"/>
    </row>
    <row r="8" ht="12.75" customHeight="1">
      <c r="A8" s="11">
        <v>11.0</v>
      </c>
      <c r="B8" s="12" t="s">
        <v>24</v>
      </c>
      <c r="C8" s="23" t="str">
        <f>IF(B8="","",VLOOKUP(B8,DB!A:B,2,0))</f>
        <v>AJA KUMO 6464</v>
      </c>
      <c r="D8" s="12" t="s">
        <v>297</v>
      </c>
      <c r="E8" s="11" t="s">
        <v>220</v>
      </c>
      <c r="F8" s="13"/>
    </row>
    <row r="9" ht="12.75" customHeight="1">
      <c r="A9" s="15">
        <v>10.0</v>
      </c>
      <c r="B9" s="16" t="s">
        <v>24</v>
      </c>
      <c r="C9" s="16" t="str">
        <f>IF(B9="","",VLOOKUP(B9,DB!A:B,2,0))</f>
        <v>AJA KUMO 6464</v>
      </c>
      <c r="D9" s="16" t="s">
        <v>298</v>
      </c>
      <c r="E9" s="15"/>
      <c r="F9" s="13"/>
    </row>
    <row r="10" ht="12.75" customHeight="1">
      <c r="A10" s="11">
        <v>9.0</v>
      </c>
      <c r="B10" s="12" t="s">
        <v>24</v>
      </c>
      <c r="C10" s="23" t="str">
        <f>IF(B10="","",VLOOKUP(B10,DB!A:B,2,0))</f>
        <v>AJA KUMO 6464</v>
      </c>
      <c r="D10" s="12" t="s">
        <v>299</v>
      </c>
      <c r="E10" s="11" t="s">
        <v>204</v>
      </c>
      <c r="F10" s="13"/>
    </row>
    <row r="11" ht="12.75" customHeight="1">
      <c r="A11" s="15">
        <v>8.0</v>
      </c>
      <c r="B11" s="16" t="s">
        <v>24</v>
      </c>
      <c r="C11" s="16" t="str">
        <f>IF(B11="","",VLOOKUP(B11,DB!A:B,2,0))</f>
        <v>AJA KUMO 6464</v>
      </c>
      <c r="D11" s="16" t="s">
        <v>300</v>
      </c>
      <c r="E11" s="15" t="s">
        <v>301</v>
      </c>
      <c r="F11" s="13"/>
    </row>
    <row r="12" ht="12.75" customHeight="1">
      <c r="A12" s="11">
        <v>7.0</v>
      </c>
      <c r="B12" s="12" t="s">
        <v>24</v>
      </c>
      <c r="C12" s="23" t="str">
        <f>IF(B12="","",VLOOKUP(B12,DB!A:B,2,0))</f>
        <v>AJA KUMO 6464</v>
      </c>
      <c r="D12" s="12" t="s">
        <v>302</v>
      </c>
      <c r="E12" s="11" t="s">
        <v>228</v>
      </c>
      <c r="F12" s="13"/>
    </row>
    <row r="13" ht="12.75" customHeight="1">
      <c r="A13" s="15">
        <v>6.0</v>
      </c>
      <c r="B13" s="16" t="s">
        <v>24</v>
      </c>
      <c r="C13" s="16" t="str">
        <f>IF(B13="","",VLOOKUP(B13,DB!A:B,2,0))</f>
        <v>AJA KUMO 6464</v>
      </c>
      <c r="D13" s="16" t="s">
        <v>303</v>
      </c>
      <c r="E13" s="15" t="s">
        <v>230</v>
      </c>
      <c r="F13" s="13"/>
    </row>
    <row r="14" ht="12.75" customHeight="1">
      <c r="A14" s="11">
        <v>5.0</v>
      </c>
      <c r="B14" s="12" t="s">
        <v>24</v>
      </c>
      <c r="C14" s="23" t="str">
        <f>IF(B14="","",VLOOKUP(B14,DB!A:B,2,0))</f>
        <v>AJA KUMO 6464</v>
      </c>
      <c r="D14" s="12" t="s">
        <v>304</v>
      </c>
      <c r="E14" s="11" t="s">
        <v>232</v>
      </c>
      <c r="F14" s="13"/>
    </row>
    <row r="15" ht="12.75" customHeight="1">
      <c r="A15" s="15">
        <v>4.0</v>
      </c>
      <c r="B15" s="16" t="s">
        <v>24</v>
      </c>
      <c r="C15" s="16" t="str">
        <f>IF(B15="","",VLOOKUP(B15,DB!A:B,2,0))</f>
        <v>AJA KUMO 6464</v>
      </c>
      <c r="D15" s="16" t="s">
        <v>305</v>
      </c>
      <c r="E15" s="15"/>
      <c r="F15" s="13"/>
    </row>
    <row r="16" ht="12.75" customHeight="1">
      <c r="A16" s="11">
        <v>3.0</v>
      </c>
      <c r="B16" s="12" t="s">
        <v>24</v>
      </c>
      <c r="C16" s="23" t="str">
        <f>IF(B16="","",VLOOKUP(B16,DB!A:B,2,0))</f>
        <v>AJA KUMO 6464</v>
      </c>
      <c r="D16" s="12" t="s">
        <v>306</v>
      </c>
      <c r="E16" s="11" t="s">
        <v>233</v>
      </c>
      <c r="F16" s="13"/>
    </row>
    <row r="17" ht="12.75" customHeight="1">
      <c r="A17" s="15">
        <v>2.0</v>
      </c>
      <c r="B17" s="16" t="s">
        <v>24</v>
      </c>
      <c r="C17" s="16" t="str">
        <f>IF(B17="","",VLOOKUP(B17,DB!A:B,2,0))</f>
        <v>AJA KUMO 6464</v>
      </c>
      <c r="D17" s="16" t="s">
        <v>307</v>
      </c>
      <c r="E17" s="15" t="s">
        <v>234</v>
      </c>
      <c r="F17" s="13"/>
    </row>
    <row r="18" ht="12.75" customHeight="1">
      <c r="A18" s="11">
        <v>1.0</v>
      </c>
      <c r="B18" s="12" t="s">
        <v>24</v>
      </c>
      <c r="C18" s="23" t="str">
        <f>IF(B18="","",VLOOKUP(B18,DB!A:B,2,0))</f>
        <v>AJA KUMO 6464</v>
      </c>
      <c r="D18" s="12" t="s">
        <v>308</v>
      </c>
      <c r="E18" s="11" t="s">
        <v>235</v>
      </c>
      <c r="F18" s="13"/>
    </row>
    <row r="19" ht="12.75" customHeight="1">
      <c r="F19" s="19" t="str">
        <f>IF(B3="","",VLOOKUP(B3,DB!A:B,2,0))</f>
        <v>AJA KUMO 6464</v>
      </c>
    </row>
  </sheetData>
  <mergeCells count="1">
    <mergeCell ref="B1:E1"/>
  </mergeCells>
  <dataValidations>
    <dataValidation type="list" allowBlank="1" showErrorMessage="1" sqref="B3:B18">
      <formula1>DB!$A$2:$A$82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25"/>
    <col customWidth="1" min="2" max="2" width="14.88"/>
    <col customWidth="1" min="3" max="3" width="7.25"/>
    <col customWidth="1" min="4" max="4" width="9.25"/>
    <col customWidth="1" min="5" max="5" width="8.38"/>
    <col customWidth="1" min="6" max="6" width="15.63"/>
    <col customWidth="1" min="7" max="7" width="7.25"/>
    <col customWidth="1" min="8" max="8" width="7.38"/>
    <col customWidth="1" min="9" max="9" width="41.38"/>
    <col customWidth="1" min="10" max="10" width="2.88"/>
  </cols>
  <sheetData>
    <row r="1" ht="12.75" customHeight="1">
      <c r="A1" s="4" t="s">
        <v>88</v>
      </c>
      <c r="B1" s="5"/>
      <c r="C1" s="5"/>
      <c r="D1" s="6"/>
      <c r="E1" s="4" t="s">
        <v>89</v>
      </c>
      <c r="F1" s="5"/>
      <c r="G1" s="5"/>
      <c r="H1" s="5"/>
      <c r="I1" s="6"/>
      <c r="J1" s="7"/>
    </row>
    <row r="2" ht="12.75" customHeight="1">
      <c r="A2" s="8" t="s">
        <v>0</v>
      </c>
      <c r="B2" s="8" t="s">
        <v>1</v>
      </c>
      <c r="C2" s="8" t="s">
        <v>90</v>
      </c>
      <c r="D2" s="8" t="s">
        <v>91</v>
      </c>
      <c r="E2" s="8" t="s">
        <v>0</v>
      </c>
      <c r="F2" s="8" t="s">
        <v>1</v>
      </c>
      <c r="G2" s="8" t="s">
        <v>90</v>
      </c>
      <c r="H2" s="8" t="s">
        <v>91</v>
      </c>
      <c r="I2" s="8" t="s">
        <v>92</v>
      </c>
      <c r="J2" s="9"/>
    </row>
    <row r="3" ht="12.75" customHeight="1">
      <c r="A3" s="10" t="s">
        <v>309</v>
      </c>
      <c r="B3" s="11" t="str">
        <f>IF(A3="","",VLOOKUP(A3,DB!A:B,2,0))</f>
        <v>Raspberry PI</v>
      </c>
      <c r="C3" s="11">
        <v>1.0</v>
      </c>
      <c r="D3" s="11" t="s">
        <v>310</v>
      </c>
      <c r="E3" s="12" t="s">
        <v>46</v>
      </c>
      <c r="F3" s="12" t="str">
        <f>IF(E3="","",VLOOKUP(E3,DB!A:B,2,0))</f>
        <v>openGear X</v>
      </c>
      <c r="G3" s="12" t="s">
        <v>183</v>
      </c>
      <c r="H3" s="12" t="s">
        <v>311</v>
      </c>
      <c r="I3" s="11" t="s">
        <v>312</v>
      </c>
      <c r="J3" s="13"/>
    </row>
    <row r="4" ht="12.75" customHeight="1">
      <c r="A4" s="14" t="s">
        <v>309</v>
      </c>
      <c r="B4" s="15" t="str">
        <f>IF(A4="","",VLOOKUP(A4,DB!A:B,2,0))</f>
        <v>Raspberry PI</v>
      </c>
      <c r="C4" s="15">
        <v>2.0</v>
      </c>
      <c r="D4" s="15" t="s">
        <v>310</v>
      </c>
      <c r="E4" s="16" t="s">
        <v>46</v>
      </c>
      <c r="F4" s="16" t="str">
        <f>IF(E4="","",VLOOKUP(E4,DB!A:B,2,0))</f>
        <v>openGear X</v>
      </c>
      <c r="G4" s="16" t="s">
        <v>137</v>
      </c>
      <c r="H4" s="16" t="s">
        <v>311</v>
      </c>
      <c r="I4" s="15" t="s">
        <v>313</v>
      </c>
      <c r="J4" s="13"/>
    </row>
    <row r="5" ht="12.75" customHeight="1">
      <c r="A5" s="17" t="s">
        <v>87</v>
      </c>
      <c r="B5" s="11" t="str">
        <f>IF(A5="","",VLOOKUP(A5,DB!A:B,2,0))</f>
        <v/>
      </c>
      <c r="C5" s="11">
        <v>3.0</v>
      </c>
      <c r="D5" s="11"/>
      <c r="E5" s="24" t="s">
        <v>87</v>
      </c>
      <c r="F5" s="12" t="str">
        <f>IF(E5="","",VLOOKUP(E5,DB!A:B,2,0))</f>
        <v/>
      </c>
      <c r="G5" s="24"/>
      <c r="H5" s="12"/>
      <c r="I5" s="11"/>
      <c r="J5" s="13"/>
    </row>
    <row r="6" ht="12.75" customHeight="1">
      <c r="J6" s="19"/>
    </row>
  </sheetData>
  <mergeCells count="2">
    <mergeCell ref="A1:D1"/>
    <mergeCell ref="E1:I1"/>
  </mergeCells>
  <dataValidations>
    <dataValidation type="list" allowBlank="1" showErrorMessage="1" sqref="A3:A5 E3:E5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9.0"/>
    <col customWidth="1" min="2" max="2" width="11.88"/>
    <col customWidth="1" min="4" max="4" width="9.5"/>
    <col customWidth="1" min="5" max="5" width="19.13"/>
    <col customWidth="1" min="6" max="6" width="6.25"/>
    <col customWidth="1" min="7" max="7" width="8.25"/>
    <col customWidth="1" min="8" max="8" width="27.88"/>
    <col customWidth="1" min="9" max="9" width="2.88"/>
  </cols>
  <sheetData>
    <row r="1" ht="12.75" customHeight="1">
      <c r="A1" s="4" t="s">
        <v>88</v>
      </c>
      <c r="B1" s="5"/>
      <c r="C1" s="6"/>
      <c r="D1" s="4" t="s">
        <v>89</v>
      </c>
      <c r="E1" s="5"/>
      <c r="F1" s="5"/>
      <c r="G1" s="5"/>
      <c r="H1" s="6"/>
      <c r="I1" s="7"/>
    </row>
    <row r="2" ht="12.75" customHeight="1">
      <c r="A2" s="8" t="s">
        <v>314</v>
      </c>
      <c r="B2" s="8" t="s">
        <v>90</v>
      </c>
      <c r="C2" s="8" t="s">
        <v>91</v>
      </c>
      <c r="D2" s="8" t="s">
        <v>0</v>
      </c>
      <c r="E2" s="8" t="s">
        <v>1</v>
      </c>
      <c r="F2" s="8" t="s">
        <v>90</v>
      </c>
      <c r="G2" s="8" t="s">
        <v>91</v>
      </c>
      <c r="H2" s="8" t="s">
        <v>92</v>
      </c>
      <c r="I2" s="9"/>
    </row>
    <row r="3" ht="12.75" customHeight="1">
      <c r="A3" s="10">
        <v>1.0</v>
      </c>
      <c r="B3" s="11" t="s">
        <v>315</v>
      </c>
      <c r="C3" s="11" t="s">
        <v>316</v>
      </c>
      <c r="D3" s="12" t="s">
        <v>24</v>
      </c>
      <c r="E3" s="12" t="str">
        <f>IF(D3="","",VLOOKUP(D3,DB!A:B,2,0))</f>
        <v>AJA KUMO 6464</v>
      </c>
      <c r="F3" s="12"/>
      <c r="G3" s="12" t="s">
        <v>317</v>
      </c>
      <c r="H3" s="11" t="s">
        <v>182</v>
      </c>
      <c r="I3" s="13"/>
    </row>
    <row r="4" ht="12.75" customHeight="1">
      <c r="A4" s="14"/>
      <c r="B4" s="15"/>
      <c r="C4" s="15" t="s">
        <v>318</v>
      </c>
      <c r="D4" s="16" t="s">
        <v>87</v>
      </c>
      <c r="E4" s="16" t="str">
        <f>IF(D4="","",VLOOKUP(D4,DB!A:B,2,0))</f>
        <v/>
      </c>
      <c r="F4" s="16"/>
      <c r="G4" s="16"/>
      <c r="H4" s="15"/>
      <c r="I4" s="13"/>
    </row>
    <row r="5" ht="12.75" customHeight="1">
      <c r="A5" s="10"/>
      <c r="B5" s="11"/>
      <c r="C5" s="11" t="s">
        <v>311</v>
      </c>
      <c r="D5" s="12" t="s">
        <v>309</v>
      </c>
      <c r="E5" s="12" t="str">
        <f>IF(D5="","",VLOOKUP(D5,DB!A:B,2,0))</f>
        <v>Raspberry PI</v>
      </c>
      <c r="F5" s="12"/>
      <c r="G5" s="12" t="s">
        <v>310</v>
      </c>
      <c r="H5" s="11" t="s">
        <v>312</v>
      </c>
      <c r="I5" s="13"/>
    </row>
    <row r="6" ht="12.75" customHeight="1">
      <c r="A6" s="14"/>
      <c r="B6" s="15"/>
      <c r="C6" s="15"/>
      <c r="D6" s="16"/>
      <c r="E6" s="16" t="str">
        <f>IF(D6="","",VLOOKUP(D6,DB!A:B,2,0))</f>
        <v/>
      </c>
      <c r="F6" s="16"/>
      <c r="G6" s="16"/>
      <c r="H6" s="15"/>
      <c r="I6" s="13"/>
    </row>
    <row r="7" ht="12.75" customHeight="1">
      <c r="A7" s="10">
        <v>2.0</v>
      </c>
      <c r="B7" s="11" t="s">
        <v>315</v>
      </c>
      <c r="C7" s="11" t="s">
        <v>316</v>
      </c>
      <c r="D7" s="12" t="s">
        <v>24</v>
      </c>
      <c r="E7" s="12" t="str">
        <f>IF(D7="","",VLOOKUP(D7,DB!A:B,2,0))</f>
        <v>AJA KUMO 6464</v>
      </c>
      <c r="F7" s="12"/>
      <c r="G7" s="12" t="s">
        <v>319</v>
      </c>
      <c r="H7" s="11" t="s">
        <v>186</v>
      </c>
      <c r="I7" s="13"/>
    </row>
    <row r="8" ht="12.75" customHeight="1">
      <c r="A8" s="14"/>
      <c r="B8" s="15"/>
      <c r="C8" s="15" t="s">
        <v>318</v>
      </c>
      <c r="D8" s="16" t="s">
        <v>87</v>
      </c>
      <c r="E8" s="16" t="str">
        <f>IF(D8="","",VLOOKUP(D8,DB!A:B,2,0))</f>
        <v/>
      </c>
      <c r="F8" s="16"/>
      <c r="G8" s="16"/>
      <c r="H8" s="15"/>
      <c r="I8" s="13"/>
    </row>
    <row r="9" ht="12.75" customHeight="1">
      <c r="A9" s="10"/>
      <c r="B9" s="11"/>
      <c r="C9" s="11" t="s">
        <v>311</v>
      </c>
      <c r="D9" s="12" t="s">
        <v>309</v>
      </c>
      <c r="E9" s="12" t="str">
        <f>IF(D9="","",VLOOKUP(D9,DB!A:B,2,0))</f>
        <v>Raspberry PI</v>
      </c>
      <c r="F9" s="12"/>
      <c r="G9" s="12" t="s">
        <v>310</v>
      </c>
      <c r="H9" s="11" t="s">
        <v>320</v>
      </c>
      <c r="I9" s="13"/>
    </row>
    <row r="10" ht="12.75" customHeight="1">
      <c r="A10" s="32"/>
      <c r="B10" s="32"/>
      <c r="C10" s="32"/>
      <c r="D10" s="33"/>
      <c r="E10" s="16" t="str">
        <f>IF(D10="","",VLOOKUP(D10,DB!A:B,2,0))</f>
        <v/>
      </c>
      <c r="F10" s="33"/>
      <c r="G10" s="33"/>
      <c r="H10" s="32"/>
      <c r="I10" s="13"/>
    </row>
    <row r="11" ht="12.75" customHeight="1">
      <c r="A11" s="10">
        <v>3.0</v>
      </c>
      <c r="B11" s="11" t="s">
        <v>315</v>
      </c>
      <c r="C11" s="11" t="s">
        <v>316</v>
      </c>
      <c r="D11" s="12" t="s">
        <v>24</v>
      </c>
      <c r="E11" s="12" t="str">
        <f>IF(D11="","",VLOOKUP(D11,DB!A:B,2,0))</f>
        <v>AJA KUMO 6464</v>
      </c>
      <c r="F11" s="12"/>
      <c r="G11" s="12" t="s">
        <v>321</v>
      </c>
      <c r="H11" s="11"/>
      <c r="I11" s="19"/>
    </row>
    <row r="12" ht="12.75" customHeight="1">
      <c r="A12" s="14"/>
      <c r="B12" s="15"/>
      <c r="C12" s="15" t="s">
        <v>318</v>
      </c>
      <c r="D12" s="16" t="s">
        <v>87</v>
      </c>
      <c r="E12" s="16" t="str">
        <f>IF(D12="","",VLOOKUP(D12,DB!A:B,2,0))</f>
        <v/>
      </c>
      <c r="F12" s="16"/>
      <c r="G12" s="16"/>
      <c r="H12" s="15"/>
      <c r="I12" s="19"/>
    </row>
    <row r="13" ht="12.75" customHeight="1">
      <c r="A13" s="10"/>
      <c r="B13" s="11"/>
      <c r="C13" s="11" t="s">
        <v>311</v>
      </c>
      <c r="D13" s="12" t="s">
        <v>87</v>
      </c>
      <c r="E13" s="12" t="str">
        <f>IF(D13="","",VLOOKUP(D13,DB!A:B,2,0))</f>
        <v/>
      </c>
      <c r="F13" s="12"/>
      <c r="G13" s="12"/>
      <c r="H13" s="11"/>
      <c r="I13" s="19"/>
    </row>
    <row r="14" ht="12.75" customHeight="1">
      <c r="A14" s="14"/>
      <c r="B14" s="15"/>
      <c r="C14" s="15"/>
      <c r="D14" s="16"/>
      <c r="E14" s="16" t="str">
        <f>IF(D14="","",VLOOKUP(D14,DB!A:B,2,0))</f>
        <v/>
      </c>
      <c r="F14" s="16"/>
      <c r="G14" s="16"/>
      <c r="H14" s="15"/>
      <c r="I14" s="19"/>
    </row>
    <row r="15" ht="12.75" customHeight="1">
      <c r="A15" s="10">
        <v>4.0</v>
      </c>
      <c r="B15" s="11" t="s">
        <v>322</v>
      </c>
      <c r="C15" s="11" t="s">
        <v>275</v>
      </c>
      <c r="D15" s="12" t="s">
        <v>26</v>
      </c>
      <c r="E15" s="12" t="str">
        <f>IF(D15="","",VLOOKUP(D15,DB!A:B,2,0))</f>
        <v>Blackmagic Multiview 16</v>
      </c>
      <c r="F15" s="12"/>
      <c r="G15" s="12" t="s">
        <v>274</v>
      </c>
      <c r="H15" s="11" t="s">
        <v>149</v>
      </c>
      <c r="I15" s="19"/>
    </row>
    <row r="16" ht="12.75" customHeight="1">
      <c r="A16" s="14"/>
      <c r="B16" s="15"/>
      <c r="C16" s="15" t="s">
        <v>323</v>
      </c>
      <c r="D16" s="16" t="s">
        <v>78</v>
      </c>
      <c r="E16" s="16" t="str">
        <f>IF(D16="","",VLOOKUP(D16,DB!A:B,2,0))</f>
        <v>FOR A HVS-390HS</v>
      </c>
      <c r="F16" s="16"/>
      <c r="G16" s="16" t="s">
        <v>130</v>
      </c>
      <c r="H16" s="15"/>
      <c r="I16" s="19"/>
    </row>
    <row r="17" ht="12.75" customHeight="1">
      <c r="A17" s="10"/>
      <c r="B17" s="11"/>
      <c r="C17" s="11" t="s">
        <v>324</v>
      </c>
      <c r="D17" s="12" t="s">
        <v>85</v>
      </c>
      <c r="E17" s="12" t="str">
        <f>IF(D17="","",VLOOKUP(D17,DB!A:B,2,0))</f>
        <v/>
      </c>
      <c r="F17" s="12"/>
      <c r="G17" s="12" t="s">
        <v>146</v>
      </c>
      <c r="H17" s="11"/>
      <c r="I17" s="19"/>
    </row>
    <row r="18" ht="12.75" customHeight="1">
      <c r="A18" s="14"/>
      <c r="B18" s="15"/>
      <c r="C18" s="15" t="s">
        <v>325</v>
      </c>
      <c r="D18" s="16" t="s">
        <v>85</v>
      </c>
      <c r="E18" s="16" t="str">
        <f>IF(D18="","",VLOOKUP(D18,DB!A:B,2,0))</f>
        <v/>
      </c>
      <c r="F18" s="16"/>
      <c r="G18" s="16" t="s">
        <v>150</v>
      </c>
      <c r="H18" s="15"/>
      <c r="I18" s="19"/>
    </row>
    <row r="19" ht="12.75" customHeight="1">
      <c r="A19" s="10"/>
      <c r="B19" s="11"/>
      <c r="C19" s="11"/>
      <c r="D19" s="12"/>
      <c r="E19" s="12" t="str">
        <f>IF(D19="","",VLOOKUP(D19,DB!A:B,2,0))</f>
        <v/>
      </c>
      <c r="F19" s="12"/>
      <c r="G19" s="12"/>
      <c r="H19" s="11"/>
      <c r="I19" s="19"/>
    </row>
    <row r="20" ht="12.75" customHeight="1">
      <c r="A20" s="14">
        <v>5.0</v>
      </c>
      <c r="B20" s="15" t="s">
        <v>322</v>
      </c>
      <c r="C20" s="15" t="s">
        <v>275</v>
      </c>
      <c r="D20" s="16" t="s">
        <v>26</v>
      </c>
      <c r="E20" s="16" t="str">
        <f>IF(D20="","",VLOOKUP(D20,DB!A:B,2,0))</f>
        <v>Blackmagic Multiview 16</v>
      </c>
      <c r="F20" s="16"/>
      <c r="G20" s="16" t="s">
        <v>276</v>
      </c>
      <c r="H20" s="15" t="s">
        <v>153</v>
      </c>
      <c r="I20" s="19"/>
    </row>
    <row r="21" ht="12.75" customHeight="1">
      <c r="A21" s="10"/>
      <c r="B21" s="11"/>
      <c r="C21" s="11" t="s">
        <v>323</v>
      </c>
      <c r="D21" s="12" t="s">
        <v>78</v>
      </c>
      <c r="E21" s="12" t="str">
        <f>IF(D21="","",VLOOKUP(D21,DB!A:B,2,0))</f>
        <v>FOR A HVS-390HS</v>
      </c>
      <c r="F21" s="12"/>
      <c r="G21" s="12" t="s">
        <v>133</v>
      </c>
      <c r="H21" s="11"/>
      <c r="I21" s="19"/>
    </row>
    <row r="22" ht="12.75" customHeight="1">
      <c r="A22" s="14"/>
      <c r="B22" s="15"/>
      <c r="C22" s="15" t="s">
        <v>324</v>
      </c>
      <c r="D22" s="16" t="s">
        <v>85</v>
      </c>
      <c r="E22" s="16" t="str">
        <f>IF(D22="","",VLOOKUP(D22,DB!A:B,2,0))</f>
        <v/>
      </c>
      <c r="F22" s="16"/>
      <c r="G22" s="16" t="s">
        <v>154</v>
      </c>
      <c r="H22" s="15"/>
      <c r="I22" s="19"/>
    </row>
    <row r="23" ht="12.75" customHeight="1">
      <c r="A23" s="10"/>
      <c r="B23" s="11"/>
      <c r="C23" s="11" t="s">
        <v>325</v>
      </c>
      <c r="D23" s="12" t="s">
        <v>87</v>
      </c>
      <c r="E23" s="12" t="str">
        <f>IF(D23="","",VLOOKUP(D23,DB!A:B,2,0))</f>
        <v/>
      </c>
      <c r="F23" s="12"/>
      <c r="G23" s="12"/>
      <c r="H23" s="11"/>
      <c r="I23" s="19"/>
    </row>
    <row r="24" ht="12.75" customHeight="1">
      <c r="A24" s="14"/>
      <c r="B24" s="15"/>
      <c r="C24" s="15"/>
      <c r="D24" s="16"/>
      <c r="E24" s="16" t="str">
        <f>IF(D24="","",VLOOKUP(D24,DB!A:B,2,0))</f>
        <v/>
      </c>
      <c r="F24" s="16"/>
      <c r="G24" s="16"/>
      <c r="H24" s="15"/>
      <c r="I24" s="19"/>
    </row>
    <row r="25" ht="12.75" customHeight="1">
      <c r="A25" s="10">
        <v>6.0</v>
      </c>
      <c r="B25" s="11" t="s">
        <v>322</v>
      </c>
      <c r="C25" s="11" t="s">
        <v>275</v>
      </c>
      <c r="D25" s="12" t="s">
        <v>26</v>
      </c>
      <c r="E25" s="12" t="str">
        <f>IF(D25="","",VLOOKUP(D25,DB!A:B,2,0))</f>
        <v>Blackmagic Multiview 16</v>
      </c>
      <c r="F25" s="12"/>
      <c r="G25" s="12" t="s">
        <v>277</v>
      </c>
      <c r="H25" s="11" t="s">
        <v>156</v>
      </c>
      <c r="I25" s="19"/>
    </row>
    <row r="26" ht="12.75" customHeight="1">
      <c r="A26" s="14"/>
      <c r="B26" s="15"/>
      <c r="C26" s="15" t="s">
        <v>323</v>
      </c>
      <c r="D26" s="16" t="s">
        <v>78</v>
      </c>
      <c r="E26" s="16" t="str">
        <f>IF(D26="","",VLOOKUP(D26,DB!A:B,2,0))</f>
        <v>FOR A HVS-390HS</v>
      </c>
      <c r="F26" s="16"/>
      <c r="G26" s="16" t="s">
        <v>135</v>
      </c>
      <c r="H26" s="15"/>
      <c r="I26" s="19"/>
    </row>
    <row r="27" ht="12.75" customHeight="1">
      <c r="A27" s="10"/>
      <c r="B27" s="11"/>
      <c r="C27" s="11" t="s">
        <v>324</v>
      </c>
      <c r="D27" s="12" t="s">
        <v>85</v>
      </c>
      <c r="E27" s="12" t="str">
        <f>IF(D27="","",VLOOKUP(D27,DB!A:B,2,0))</f>
        <v/>
      </c>
      <c r="F27" s="12"/>
      <c r="G27" s="12" t="s">
        <v>157</v>
      </c>
      <c r="H27" s="11"/>
      <c r="I27" s="19"/>
    </row>
    <row r="28" ht="12.75" customHeight="1">
      <c r="A28" s="14"/>
      <c r="B28" s="15"/>
      <c r="C28" s="15" t="s">
        <v>325</v>
      </c>
      <c r="D28" s="16" t="s">
        <v>87</v>
      </c>
      <c r="E28" s="16" t="str">
        <f>IF(D28="","",VLOOKUP(D28,DB!A:B,2,0))</f>
        <v/>
      </c>
      <c r="F28" s="16"/>
      <c r="G28" s="16"/>
      <c r="H28" s="15"/>
      <c r="I28" s="19"/>
    </row>
    <row r="29" ht="12.75" customHeight="1">
      <c r="A29" s="10"/>
      <c r="B29" s="11"/>
      <c r="C29" s="11"/>
      <c r="D29" s="12"/>
      <c r="E29" s="12" t="str">
        <f>IF(D29="","",VLOOKUP(D29,DB!A:B,2,0))</f>
        <v/>
      </c>
      <c r="F29" s="12"/>
      <c r="G29" s="12"/>
      <c r="H29" s="11"/>
      <c r="I29" s="19"/>
    </row>
    <row r="30" ht="12.75" customHeight="1">
      <c r="A30" s="14">
        <v>7.0</v>
      </c>
      <c r="B30" s="15" t="s">
        <v>322</v>
      </c>
      <c r="C30" s="15" t="s">
        <v>275</v>
      </c>
      <c r="D30" s="16" t="s">
        <v>26</v>
      </c>
      <c r="E30" s="16" t="str">
        <f>IF(D30="","",VLOOKUP(D30,DB!A:B,2,0))</f>
        <v>Blackmagic Multiview 16</v>
      </c>
      <c r="F30" s="16"/>
      <c r="G30" s="16" t="s">
        <v>278</v>
      </c>
      <c r="H30" s="15" t="s">
        <v>160</v>
      </c>
      <c r="I30" s="19"/>
    </row>
    <row r="31" ht="12.75" customHeight="1">
      <c r="A31" s="10"/>
      <c r="B31" s="11"/>
      <c r="C31" s="11" t="s">
        <v>323</v>
      </c>
      <c r="D31" s="12" t="s">
        <v>78</v>
      </c>
      <c r="E31" s="12" t="str">
        <f>IF(D31="","",VLOOKUP(D31,DB!A:B,2,0))</f>
        <v>FOR A HVS-390HS</v>
      </c>
      <c r="F31" s="12"/>
      <c r="G31" s="12" t="s">
        <v>139</v>
      </c>
      <c r="H31" s="11"/>
      <c r="I31" s="19"/>
    </row>
    <row r="32" ht="12.75" customHeight="1">
      <c r="A32" s="14"/>
      <c r="B32" s="15"/>
      <c r="C32" s="15" t="s">
        <v>324</v>
      </c>
      <c r="D32" s="16" t="s">
        <v>85</v>
      </c>
      <c r="E32" s="16" t="str">
        <f>IF(D32="","",VLOOKUP(D32,DB!A:B,2,0))</f>
        <v/>
      </c>
      <c r="F32" s="16"/>
      <c r="G32" s="16" t="s">
        <v>161</v>
      </c>
      <c r="H32" s="15"/>
      <c r="I32" s="19"/>
    </row>
    <row r="33" ht="12.75" customHeight="1">
      <c r="A33" s="10"/>
      <c r="B33" s="11"/>
      <c r="C33" s="11" t="s">
        <v>325</v>
      </c>
      <c r="D33" s="12" t="s">
        <v>87</v>
      </c>
      <c r="E33" s="12" t="str">
        <f>IF(D33="","",VLOOKUP(D33,DB!A:B,2,0))</f>
        <v/>
      </c>
      <c r="F33" s="12"/>
      <c r="G33" s="12"/>
      <c r="H33" s="11"/>
      <c r="I33" s="19"/>
    </row>
    <row r="34" ht="12.75" customHeight="1">
      <c r="A34" s="14"/>
      <c r="B34" s="15"/>
      <c r="C34" s="15"/>
      <c r="D34" s="16"/>
      <c r="E34" s="16" t="str">
        <f>IF(D34="","",VLOOKUP(D34,DB!A:B,2,0))</f>
        <v/>
      </c>
      <c r="F34" s="16"/>
      <c r="G34" s="16"/>
      <c r="H34" s="15"/>
      <c r="I34" s="19"/>
    </row>
    <row r="35" ht="12.75" customHeight="1">
      <c r="A35" s="10">
        <v>8.0</v>
      </c>
      <c r="B35" s="11" t="s">
        <v>322</v>
      </c>
      <c r="C35" s="11" t="s">
        <v>275</v>
      </c>
      <c r="D35" s="12" t="s">
        <v>87</v>
      </c>
      <c r="E35" s="12" t="str">
        <f>IF(D35="","",VLOOKUP(D35,DB!A:B,2,0))</f>
        <v/>
      </c>
      <c r="F35" s="12"/>
      <c r="G35" s="12"/>
      <c r="H35" s="11"/>
      <c r="I35" s="19"/>
    </row>
    <row r="36" ht="12.75" customHeight="1">
      <c r="A36" s="14"/>
      <c r="B36" s="15"/>
      <c r="C36" s="15" t="s">
        <v>323</v>
      </c>
      <c r="D36" s="16" t="s">
        <v>87</v>
      </c>
      <c r="E36" s="16" t="str">
        <f>IF(D36="","",VLOOKUP(D36,DB!A:B,2,0))</f>
        <v/>
      </c>
      <c r="F36" s="16"/>
      <c r="G36" s="16"/>
      <c r="H36" s="15"/>
      <c r="I36" s="19"/>
    </row>
    <row r="37" ht="12.75" customHeight="1">
      <c r="A37" s="10"/>
      <c r="B37" s="11"/>
      <c r="C37" s="11" t="s">
        <v>324</v>
      </c>
      <c r="D37" s="12" t="s">
        <v>87</v>
      </c>
      <c r="E37" s="12" t="str">
        <f>IF(D37="","",VLOOKUP(D37,DB!A:B,2,0))</f>
        <v/>
      </c>
      <c r="F37" s="12"/>
      <c r="G37" s="12"/>
      <c r="H37" s="11"/>
      <c r="I37" s="19"/>
    </row>
    <row r="38" ht="12.75" customHeight="1">
      <c r="A38" s="14"/>
      <c r="B38" s="15"/>
      <c r="C38" s="15" t="s">
        <v>325</v>
      </c>
      <c r="D38" s="16" t="s">
        <v>87</v>
      </c>
      <c r="E38" s="16" t="str">
        <f>IF(D38="","",VLOOKUP(D38,DB!A:B,2,0))</f>
        <v/>
      </c>
      <c r="F38" s="16"/>
      <c r="G38" s="16"/>
      <c r="H38" s="15"/>
      <c r="I38" s="19"/>
    </row>
    <row r="39" ht="12.75" customHeight="1">
      <c r="A39" s="10"/>
      <c r="B39" s="11"/>
      <c r="C39" s="11"/>
      <c r="D39" s="12"/>
      <c r="E39" s="12" t="str">
        <f>IF(D39="","",VLOOKUP(D39,DB!A:B,2,0))</f>
        <v/>
      </c>
      <c r="F39" s="12"/>
      <c r="G39" s="12"/>
      <c r="H39" s="11"/>
      <c r="I39" s="19"/>
    </row>
    <row r="40" ht="12.75" customHeight="1">
      <c r="A40" s="14">
        <v>9.0</v>
      </c>
      <c r="B40" s="15" t="s">
        <v>326</v>
      </c>
      <c r="C40" s="15" t="s">
        <v>327</v>
      </c>
      <c r="D40" s="16" t="s">
        <v>87</v>
      </c>
      <c r="E40" s="16" t="str">
        <f>IF(D40="","",VLOOKUP(D40,DB!A:B,2,0))</f>
        <v/>
      </c>
      <c r="F40" s="16"/>
      <c r="G40" s="16"/>
      <c r="H40" s="15"/>
      <c r="I40" s="19"/>
    </row>
    <row r="41" ht="12.75" customHeight="1">
      <c r="A41" s="10"/>
      <c r="B41" s="11"/>
      <c r="C41" s="11" t="s">
        <v>328</v>
      </c>
      <c r="D41" s="12" t="s">
        <v>24</v>
      </c>
      <c r="E41" s="12" t="str">
        <f>IF(D41="","",VLOOKUP(D41,DB!A:B,2,0))</f>
        <v>AJA KUMO 6464</v>
      </c>
      <c r="F41" s="12"/>
      <c r="G41" s="12" t="s">
        <v>329</v>
      </c>
      <c r="H41" s="11" t="s">
        <v>207</v>
      </c>
      <c r="I41" s="19"/>
    </row>
    <row r="42" ht="12.75" customHeight="1">
      <c r="A42" s="14"/>
      <c r="B42" s="15"/>
      <c r="C42" s="15" t="s">
        <v>255</v>
      </c>
      <c r="D42" s="16" t="s">
        <v>87</v>
      </c>
      <c r="E42" s="16" t="str">
        <f>IF(D42="","",VLOOKUP(D42,DB!A:B,2,0))</f>
        <v/>
      </c>
      <c r="F42" s="16"/>
      <c r="G42" s="16"/>
      <c r="H42" s="15"/>
      <c r="I42" s="19"/>
    </row>
    <row r="43" ht="12.75" customHeight="1">
      <c r="A43" s="10"/>
      <c r="B43" s="11"/>
      <c r="C43" s="11" t="s">
        <v>330</v>
      </c>
      <c r="D43" s="34" t="s">
        <v>38</v>
      </c>
      <c r="E43" s="12" t="str">
        <f>IF(D43="","",VLOOKUP(D43,DB!A:B,2,0))</f>
        <v/>
      </c>
      <c r="F43" s="12"/>
      <c r="G43" s="12"/>
      <c r="H43" s="35" t="s">
        <v>331</v>
      </c>
      <c r="I43" s="19"/>
    </row>
    <row r="44" ht="12.75" customHeight="1">
      <c r="A44" s="14"/>
      <c r="B44" s="15"/>
      <c r="C44" s="15" t="s">
        <v>332</v>
      </c>
      <c r="D44" s="16" t="s">
        <v>87</v>
      </c>
      <c r="E44" s="16" t="str">
        <f>IF(D44="","",VLOOKUP(D44,DB!A:B,2,0))</f>
        <v/>
      </c>
      <c r="F44" s="16"/>
      <c r="G44" s="16"/>
      <c r="H44" s="15"/>
      <c r="I44" s="19"/>
    </row>
    <row r="45" ht="12.75" customHeight="1">
      <c r="A45" s="10"/>
      <c r="B45" s="11"/>
      <c r="C45" s="11" t="s">
        <v>333</v>
      </c>
      <c r="D45" s="34" t="s">
        <v>38</v>
      </c>
      <c r="E45" s="12" t="str">
        <f>IF(D45="","",VLOOKUP(D45,DB!A:B,2,0))</f>
        <v/>
      </c>
      <c r="F45" s="12"/>
      <c r="G45" s="12"/>
      <c r="H45" s="35" t="s">
        <v>331</v>
      </c>
      <c r="I45" s="19"/>
    </row>
    <row r="46" ht="12.75" customHeight="1">
      <c r="A46" s="14"/>
      <c r="B46" s="15"/>
      <c r="C46" s="15" t="s">
        <v>334</v>
      </c>
      <c r="D46" s="16" t="s">
        <v>87</v>
      </c>
      <c r="E46" s="16" t="str">
        <f>IF(D46="","",VLOOKUP(D46,DB!A:B,2,0))</f>
        <v/>
      </c>
      <c r="F46" s="16"/>
      <c r="G46" s="16"/>
      <c r="H46" s="15"/>
      <c r="I46" s="19"/>
    </row>
    <row r="47" ht="12.75" customHeight="1">
      <c r="A47" s="10"/>
      <c r="B47" s="11"/>
      <c r="C47" s="11" t="s">
        <v>335</v>
      </c>
      <c r="D47" s="12" t="s">
        <v>87</v>
      </c>
      <c r="E47" s="12" t="str">
        <f>IF(D47="","",VLOOKUP(D47,DB!A:B,2,0))</f>
        <v/>
      </c>
      <c r="F47" s="12"/>
      <c r="G47" s="12"/>
      <c r="H47" s="11"/>
      <c r="I47" s="19"/>
    </row>
    <row r="48" ht="12.75" customHeight="1">
      <c r="A48" s="14"/>
      <c r="B48" s="15"/>
      <c r="C48" s="15" t="s">
        <v>336</v>
      </c>
      <c r="D48" s="16" t="s">
        <v>87</v>
      </c>
      <c r="E48" s="16" t="str">
        <f>IF(D48="","",VLOOKUP(D48,DB!A:B,2,0))</f>
        <v/>
      </c>
      <c r="F48" s="16"/>
      <c r="G48" s="16"/>
      <c r="H48" s="15"/>
      <c r="I48" s="19"/>
    </row>
    <row r="49" ht="12.75" customHeight="1">
      <c r="A49" s="10"/>
      <c r="B49" s="11"/>
      <c r="C49" s="11" t="s">
        <v>337</v>
      </c>
      <c r="D49" s="12" t="s">
        <v>87</v>
      </c>
      <c r="E49" s="12" t="str">
        <f>IF(D49="","",VLOOKUP(D49,DB!A:B,2,0))</f>
        <v/>
      </c>
      <c r="F49" s="12"/>
      <c r="G49" s="12"/>
      <c r="H49" s="11"/>
      <c r="I49" s="19"/>
    </row>
    <row r="50" ht="12.75" customHeight="1">
      <c r="A50" s="10"/>
      <c r="B50" s="11"/>
      <c r="C50" s="11"/>
      <c r="D50" s="12"/>
      <c r="E50" s="12"/>
      <c r="F50" s="12"/>
      <c r="G50" s="12"/>
      <c r="H50" s="11"/>
      <c r="I50" s="19"/>
    </row>
  </sheetData>
  <mergeCells count="2">
    <mergeCell ref="A1:C1"/>
    <mergeCell ref="D1:H1"/>
  </mergeCells>
  <dataValidations>
    <dataValidation type="list" allowBlank="1" showErrorMessage="1" sqref="D3:D49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9.88"/>
    <col customWidth="1" min="2" max="3" width="12.75"/>
    <col customWidth="1" min="4" max="4" width="10.88"/>
    <col customWidth="1" min="5" max="5" width="21.75"/>
    <col customWidth="1" min="6" max="6" width="6.38"/>
    <col customWidth="1" min="7" max="7" width="8.25"/>
    <col customWidth="1" min="8" max="8" width="27.88"/>
    <col customWidth="1" min="9" max="9" width="2.88"/>
  </cols>
  <sheetData>
    <row r="1" ht="12.75" customHeight="1">
      <c r="A1" s="4" t="s">
        <v>88</v>
      </c>
      <c r="B1" s="5"/>
      <c r="C1" s="6"/>
      <c r="D1" s="4" t="s">
        <v>89</v>
      </c>
      <c r="E1" s="5"/>
      <c r="F1" s="5"/>
      <c r="G1" s="5"/>
      <c r="H1" s="6"/>
      <c r="I1" s="7"/>
    </row>
    <row r="2" ht="12.75" customHeight="1">
      <c r="A2" s="8" t="s">
        <v>314</v>
      </c>
      <c r="B2" s="8" t="s">
        <v>90</v>
      </c>
      <c r="C2" s="8" t="s">
        <v>91</v>
      </c>
      <c r="D2" s="8" t="s">
        <v>0</v>
      </c>
      <c r="E2" s="8" t="s">
        <v>1</v>
      </c>
      <c r="F2" s="8" t="s">
        <v>90</v>
      </c>
      <c r="G2" s="8" t="s">
        <v>91</v>
      </c>
      <c r="H2" s="8" t="s">
        <v>92</v>
      </c>
      <c r="I2" s="9"/>
    </row>
    <row r="3" ht="12.75" customHeight="1">
      <c r="A3" s="14">
        <v>1.0</v>
      </c>
      <c r="B3" s="15" t="s">
        <v>338</v>
      </c>
      <c r="C3" s="15" t="s">
        <v>275</v>
      </c>
      <c r="D3" s="16" t="s">
        <v>38</v>
      </c>
      <c r="E3" s="16" t="str">
        <f>IF(D3="","",VLOOKUP(D3,DB!A:B,2,0))</f>
        <v/>
      </c>
      <c r="F3" s="16"/>
      <c r="G3" s="16"/>
      <c r="H3" s="15"/>
      <c r="I3" s="19"/>
    </row>
    <row r="4" ht="12.75" customHeight="1">
      <c r="A4" s="36"/>
      <c r="B4" s="35"/>
      <c r="C4" s="35" t="s">
        <v>323</v>
      </c>
      <c r="D4" s="23" t="s">
        <v>38</v>
      </c>
      <c r="E4" s="23" t="str">
        <f>IF(D4="","",VLOOKUP(D4,DB!A:B,2,0))</f>
        <v/>
      </c>
      <c r="F4" s="23"/>
      <c r="G4" s="23"/>
      <c r="H4" s="35"/>
      <c r="I4" s="19"/>
    </row>
    <row r="5" ht="12.75" customHeight="1">
      <c r="A5" s="14"/>
      <c r="B5" s="15"/>
      <c r="C5" s="15" t="s">
        <v>339</v>
      </c>
      <c r="D5" s="16" t="s">
        <v>38</v>
      </c>
      <c r="E5" s="16" t="str">
        <f>IF(D5="","",VLOOKUP(D5,DB!A:B,2,0))</f>
        <v/>
      </c>
      <c r="F5" s="16"/>
      <c r="G5" s="16"/>
      <c r="H5" s="15"/>
      <c r="I5" s="19"/>
    </row>
    <row r="6" ht="12.75" customHeight="1">
      <c r="A6" s="36"/>
      <c r="B6" s="35"/>
      <c r="C6" s="35" t="s">
        <v>340</v>
      </c>
      <c r="D6" s="23" t="s">
        <v>38</v>
      </c>
      <c r="E6" s="23" t="str">
        <f>IF(D6="","",VLOOKUP(D6,DB!A:B,2,0))</f>
        <v/>
      </c>
      <c r="F6" s="23"/>
      <c r="G6" s="23"/>
      <c r="H6" s="35"/>
      <c r="I6" s="19"/>
    </row>
    <row r="7" ht="12.75" customHeight="1">
      <c r="A7" s="14"/>
      <c r="B7" s="15"/>
      <c r="C7" s="15" t="s">
        <v>341</v>
      </c>
      <c r="D7" s="16" t="s">
        <v>87</v>
      </c>
      <c r="E7" s="16" t="str">
        <f>IF(D7="","",VLOOKUP(D7,DB!A:B,2,0))</f>
        <v/>
      </c>
      <c r="F7" s="16"/>
      <c r="G7" s="16"/>
      <c r="H7" s="15"/>
      <c r="I7" s="19"/>
    </row>
    <row r="8" ht="12.75" customHeight="1">
      <c r="A8" s="36"/>
      <c r="B8" s="35"/>
      <c r="C8" s="35" t="s">
        <v>342</v>
      </c>
      <c r="D8" s="23" t="s">
        <v>87</v>
      </c>
      <c r="E8" s="23" t="str">
        <f>IF(D8="","",VLOOKUP(D8,DB!A:B,2,0))</f>
        <v/>
      </c>
      <c r="F8" s="23"/>
      <c r="G8" s="23"/>
      <c r="H8" s="35"/>
      <c r="I8" s="19"/>
    </row>
    <row r="9" ht="12.75" customHeight="1">
      <c r="A9" s="14"/>
      <c r="B9" s="15"/>
      <c r="C9" s="15" t="s">
        <v>343</v>
      </c>
      <c r="D9" s="16" t="s">
        <v>87</v>
      </c>
      <c r="E9" s="16" t="str">
        <f>IF(D9="","",VLOOKUP(D9,DB!A:B,2,0))</f>
        <v/>
      </c>
      <c r="F9" s="16"/>
      <c r="G9" s="16"/>
      <c r="H9" s="15"/>
      <c r="I9" s="19"/>
    </row>
    <row r="10" ht="12.75" customHeight="1">
      <c r="A10" s="36"/>
      <c r="B10" s="35"/>
      <c r="C10" s="35" t="s">
        <v>344</v>
      </c>
      <c r="D10" s="23" t="s">
        <v>87</v>
      </c>
      <c r="E10" s="23" t="str">
        <f>IF(D10="","",VLOOKUP(D10,DB!A:B,2,0))</f>
        <v/>
      </c>
      <c r="F10" s="23"/>
      <c r="G10" s="23"/>
      <c r="H10" s="35"/>
      <c r="I10" s="19"/>
    </row>
    <row r="11" ht="12.75" customHeight="1">
      <c r="A11" s="14"/>
      <c r="B11" s="15"/>
      <c r="C11" s="15" t="s">
        <v>345</v>
      </c>
      <c r="D11" s="16" t="s">
        <v>87</v>
      </c>
      <c r="E11" s="16" t="str">
        <f>IF(D11="","",VLOOKUP(D11,DB!A:B,2,0))</f>
        <v/>
      </c>
      <c r="F11" s="16"/>
      <c r="G11" s="16"/>
      <c r="H11" s="15"/>
      <c r="I11" s="19"/>
    </row>
    <row r="12" ht="12.75" customHeight="1">
      <c r="A12" s="10"/>
      <c r="B12" s="11"/>
      <c r="C12" s="11" t="s">
        <v>346</v>
      </c>
      <c r="D12" s="12" t="s">
        <v>87</v>
      </c>
      <c r="E12" s="23" t="str">
        <f>IF(D12="","",VLOOKUP(D12,DB!A:B,2,0))</f>
        <v/>
      </c>
      <c r="F12" s="12"/>
      <c r="G12" s="12"/>
      <c r="H12" s="11"/>
      <c r="I12" s="19"/>
    </row>
    <row r="13" ht="12.75" customHeight="1">
      <c r="A13" s="37"/>
      <c r="B13" s="37"/>
      <c r="C13" s="15"/>
      <c r="D13" s="16"/>
      <c r="E13" s="16" t="str">
        <f>IF(D13="","",VLOOKUP(D13,DB!A:B,2,0))</f>
        <v/>
      </c>
      <c r="F13" s="16"/>
      <c r="G13" s="16"/>
      <c r="H13" s="15"/>
      <c r="I13" s="38"/>
    </row>
    <row r="14" ht="12.75" customHeight="1">
      <c r="A14" s="36">
        <v>2.0</v>
      </c>
      <c r="B14" s="35" t="s">
        <v>338</v>
      </c>
      <c r="C14" s="35" t="s">
        <v>275</v>
      </c>
      <c r="D14" s="23" t="s">
        <v>38</v>
      </c>
      <c r="E14" s="23" t="str">
        <f>IF(D14="","",VLOOKUP(D14,DB!A:B,2,0))</f>
        <v/>
      </c>
      <c r="F14" s="23"/>
      <c r="G14" s="23"/>
      <c r="H14" s="35"/>
      <c r="I14" s="38"/>
    </row>
    <row r="15" ht="12.75" customHeight="1">
      <c r="A15" s="14"/>
      <c r="B15" s="15"/>
      <c r="C15" s="15" t="s">
        <v>323</v>
      </c>
      <c r="D15" s="16" t="s">
        <v>38</v>
      </c>
      <c r="E15" s="16" t="str">
        <f>IF(D15="","",VLOOKUP(D15,DB!A:B,2,0))</f>
        <v/>
      </c>
      <c r="F15" s="16"/>
      <c r="G15" s="16"/>
      <c r="H15" s="15"/>
      <c r="I15" s="38"/>
    </row>
    <row r="16" ht="12.75" customHeight="1">
      <c r="A16" s="36"/>
      <c r="B16" s="35"/>
      <c r="C16" s="35" t="s">
        <v>339</v>
      </c>
      <c r="D16" s="23" t="s">
        <v>38</v>
      </c>
      <c r="E16" s="23" t="str">
        <f>IF(D16="","",VLOOKUP(D16,DB!A:B,2,0))</f>
        <v/>
      </c>
      <c r="F16" s="23"/>
      <c r="G16" s="23"/>
      <c r="H16" s="35"/>
      <c r="I16" s="38"/>
    </row>
    <row r="17" ht="12.75" customHeight="1">
      <c r="A17" s="14"/>
      <c r="B17" s="15"/>
      <c r="C17" s="15" t="s">
        <v>340</v>
      </c>
      <c r="D17" s="16" t="s">
        <v>38</v>
      </c>
      <c r="E17" s="16" t="str">
        <f>IF(D17="","",VLOOKUP(D17,DB!A:B,2,0))</f>
        <v/>
      </c>
      <c r="F17" s="16"/>
      <c r="G17" s="16"/>
      <c r="H17" s="15"/>
      <c r="I17" s="38"/>
    </row>
    <row r="18" ht="12.75" customHeight="1">
      <c r="A18" s="36"/>
      <c r="B18" s="35"/>
      <c r="C18" s="35" t="s">
        <v>341</v>
      </c>
      <c r="D18" s="23" t="s">
        <v>87</v>
      </c>
      <c r="E18" s="23" t="str">
        <f>IF(D18="","",VLOOKUP(D18,DB!A:B,2,0))</f>
        <v/>
      </c>
      <c r="F18" s="23"/>
      <c r="G18" s="23"/>
      <c r="H18" s="35"/>
      <c r="I18" s="38"/>
    </row>
    <row r="19" ht="12.75" customHeight="1">
      <c r="A19" s="14"/>
      <c r="B19" s="15"/>
      <c r="C19" s="15" t="s">
        <v>342</v>
      </c>
      <c r="D19" s="16" t="s">
        <v>87</v>
      </c>
      <c r="E19" s="16" t="str">
        <f>IF(D19="","",VLOOKUP(D19,DB!A:B,2,0))</f>
        <v/>
      </c>
      <c r="F19" s="16"/>
      <c r="G19" s="16"/>
      <c r="H19" s="15"/>
      <c r="I19" s="38"/>
    </row>
    <row r="20" ht="12.75" customHeight="1">
      <c r="A20" s="36"/>
      <c r="B20" s="35"/>
      <c r="C20" s="35" t="s">
        <v>343</v>
      </c>
      <c r="D20" s="23" t="s">
        <v>87</v>
      </c>
      <c r="E20" s="23" t="str">
        <f>IF(D20="","",VLOOKUP(D20,DB!A:B,2,0))</f>
        <v/>
      </c>
      <c r="F20" s="23"/>
      <c r="G20" s="23"/>
      <c r="H20" s="35"/>
      <c r="I20" s="38"/>
    </row>
    <row r="21" ht="12.75" customHeight="1">
      <c r="A21" s="14"/>
      <c r="B21" s="15"/>
      <c r="C21" s="15" t="s">
        <v>344</v>
      </c>
      <c r="D21" s="16" t="s">
        <v>87</v>
      </c>
      <c r="E21" s="16" t="str">
        <f>IF(D21="","",VLOOKUP(D21,DB!A:B,2,0))</f>
        <v/>
      </c>
      <c r="F21" s="16"/>
      <c r="G21" s="16"/>
      <c r="H21" s="15"/>
      <c r="I21" s="38"/>
    </row>
    <row r="22" ht="12.75" customHeight="1">
      <c r="A22" s="36"/>
      <c r="B22" s="35"/>
      <c r="C22" s="35" t="s">
        <v>345</v>
      </c>
      <c r="D22" s="23" t="s">
        <v>87</v>
      </c>
      <c r="E22" s="23" t="str">
        <f>IF(D22="","",VLOOKUP(D22,DB!A:B,2,0))</f>
        <v/>
      </c>
      <c r="F22" s="23"/>
      <c r="G22" s="23"/>
      <c r="H22" s="35"/>
      <c r="I22" s="38"/>
    </row>
    <row r="23" ht="12.75" customHeight="1">
      <c r="A23" s="14"/>
      <c r="B23" s="15"/>
      <c r="C23" s="15" t="s">
        <v>346</v>
      </c>
      <c r="D23" s="16" t="s">
        <v>87</v>
      </c>
      <c r="E23" s="16" t="str">
        <f>IF(D23="","",VLOOKUP(D23,DB!A:B,2,0))</f>
        <v/>
      </c>
      <c r="F23" s="16"/>
      <c r="G23" s="16"/>
      <c r="H23" s="15"/>
      <c r="I23" s="38"/>
    </row>
    <row r="24" ht="12.75" customHeight="1">
      <c r="A24" s="39"/>
      <c r="B24" s="39"/>
      <c r="C24" s="35"/>
      <c r="D24" s="23"/>
      <c r="E24" s="23" t="str">
        <f>IF(D24="","",VLOOKUP(D24,DB!A:B,2,0))</f>
        <v/>
      </c>
      <c r="F24" s="23"/>
      <c r="G24" s="23"/>
      <c r="H24" s="35"/>
      <c r="I24" s="38"/>
    </row>
    <row r="25" ht="12.75" customHeight="1">
      <c r="A25" s="14">
        <v>3.0</v>
      </c>
      <c r="B25" s="15" t="s">
        <v>338</v>
      </c>
      <c r="C25" s="15" t="s">
        <v>275</v>
      </c>
      <c r="D25" s="16" t="s">
        <v>87</v>
      </c>
      <c r="E25" s="16" t="str">
        <f>IF(D25="","",VLOOKUP(D25,DB!A:B,2,0))</f>
        <v/>
      </c>
      <c r="F25" s="16"/>
      <c r="G25" s="16"/>
      <c r="H25" s="15"/>
      <c r="I25" s="38"/>
    </row>
    <row r="26" ht="12.75" customHeight="1">
      <c r="A26" s="36"/>
      <c r="B26" s="35"/>
      <c r="C26" s="35" t="s">
        <v>323</v>
      </c>
      <c r="D26" s="23" t="s">
        <v>87</v>
      </c>
      <c r="E26" s="23" t="str">
        <f>IF(D26="","",VLOOKUP(D26,DB!A:B,2,0))</f>
        <v/>
      </c>
      <c r="F26" s="23"/>
      <c r="G26" s="23"/>
      <c r="H26" s="35"/>
      <c r="I26" s="38"/>
    </row>
    <row r="27" ht="12.75" customHeight="1">
      <c r="A27" s="14"/>
      <c r="B27" s="15"/>
      <c r="C27" s="15" t="s">
        <v>339</v>
      </c>
      <c r="D27" s="16" t="s">
        <v>38</v>
      </c>
      <c r="E27" s="16" t="str">
        <f>IF(D27="","",VLOOKUP(D27,DB!A:B,2,0))</f>
        <v/>
      </c>
      <c r="F27" s="16"/>
      <c r="G27" s="16"/>
      <c r="H27" s="15"/>
      <c r="I27" s="38"/>
    </row>
    <row r="28" ht="12.75" customHeight="1">
      <c r="A28" s="36"/>
      <c r="B28" s="35"/>
      <c r="C28" s="35" t="s">
        <v>340</v>
      </c>
      <c r="D28" s="23" t="s">
        <v>87</v>
      </c>
      <c r="E28" s="23" t="str">
        <f>IF(D28="","",VLOOKUP(D28,DB!A:B,2,0))</f>
        <v/>
      </c>
      <c r="F28" s="23"/>
      <c r="G28" s="23"/>
      <c r="H28" s="35"/>
      <c r="I28" s="38"/>
    </row>
    <row r="29" ht="12.75" customHeight="1">
      <c r="A29" s="14"/>
      <c r="B29" s="15"/>
      <c r="C29" s="15" t="s">
        <v>341</v>
      </c>
      <c r="D29" s="16" t="s">
        <v>87</v>
      </c>
      <c r="E29" s="16" t="str">
        <f>IF(D29="","",VLOOKUP(D29,DB!A:B,2,0))</f>
        <v/>
      </c>
      <c r="F29" s="16"/>
      <c r="G29" s="16"/>
      <c r="H29" s="15"/>
      <c r="I29" s="38"/>
    </row>
    <row r="30" ht="12.75" customHeight="1">
      <c r="A30" s="36"/>
      <c r="B30" s="35"/>
      <c r="C30" s="35" t="s">
        <v>342</v>
      </c>
      <c r="D30" s="23" t="s">
        <v>87</v>
      </c>
      <c r="E30" s="23" t="str">
        <f>IF(D30="","",VLOOKUP(D30,DB!A:B,2,0))</f>
        <v/>
      </c>
      <c r="F30" s="23"/>
      <c r="G30" s="23"/>
      <c r="H30" s="35"/>
      <c r="I30" s="38"/>
    </row>
    <row r="31" ht="12.75" customHeight="1">
      <c r="A31" s="14"/>
      <c r="B31" s="15"/>
      <c r="C31" s="15" t="s">
        <v>343</v>
      </c>
      <c r="D31" s="16" t="s">
        <v>87</v>
      </c>
      <c r="E31" s="16" t="str">
        <f>IF(D31="","",VLOOKUP(D31,DB!A:B,2,0))</f>
        <v/>
      </c>
      <c r="F31" s="16"/>
      <c r="G31" s="16"/>
      <c r="H31" s="15"/>
      <c r="I31" s="38"/>
    </row>
    <row r="32" ht="12.75" customHeight="1">
      <c r="A32" s="36"/>
      <c r="B32" s="35"/>
      <c r="C32" s="35" t="s">
        <v>344</v>
      </c>
      <c r="D32" s="23" t="s">
        <v>87</v>
      </c>
      <c r="E32" s="23" t="str">
        <f>IF(D32="","",VLOOKUP(D32,DB!A:B,2,0))</f>
        <v/>
      </c>
      <c r="F32" s="23"/>
      <c r="G32" s="23"/>
      <c r="H32" s="35"/>
      <c r="I32" s="38"/>
    </row>
    <row r="33" ht="12.75" customHeight="1">
      <c r="A33" s="14"/>
      <c r="B33" s="15"/>
      <c r="C33" s="15" t="s">
        <v>345</v>
      </c>
      <c r="D33" s="16" t="s">
        <v>87</v>
      </c>
      <c r="E33" s="16" t="str">
        <f>IF(D33="","",VLOOKUP(D33,DB!A:B,2,0))</f>
        <v/>
      </c>
      <c r="F33" s="16"/>
      <c r="G33" s="16"/>
      <c r="H33" s="15"/>
      <c r="I33" s="38"/>
    </row>
    <row r="34" ht="12.75" customHeight="1">
      <c r="A34" s="36"/>
      <c r="B34" s="35"/>
      <c r="C34" s="35" t="s">
        <v>346</v>
      </c>
      <c r="D34" s="23" t="s">
        <v>87</v>
      </c>
      <c r="E34" s="23" t="str">
        <f>IF(D34="","",VLOOKUP(D34,DB!A:B,2,0))</f>
        <v/>
      </c>
      <c r="F34" s="23"/>
      <c r="G34" s="23"/>
      <c r="H34" s="35"/>
      <c r="I34" s="38"/>
    </row>
    <row r="35" ht="12.75" customHeight="1">
      <c r="A35" s="37"/>
      <c r="B35" s="37"/>
      <c r="C35" s="15"/>
      <c r="D35" s="16"/>
      <c r="E35" s="16" t="str">
        <f>IF(D35="","",VLOOKUP(D35,DB!A:B,2,0))</f>
        <v/>
      </c>
      <c r="F35" s="16"/>
      <c r="G35" s="16"/>
      <c r="H35" s="15"/>
      <c r="I35" s="38"/>
    </row>
    <row r="36" ht="12.75" customHeight="1">
      <c r="A36" s="36">
        <v>4.0</v>
      </c>
      <c r="B36" s="35" t="s">
        <v>338</v>
      </c>
      <c r="C36" s="35" t="s">
        <v>275</v>
      </c>
      <c r="D36" s="23" t="s">
        <v>87</v>
      </c>
      <c r="E36" s="23" t="str">
        <f>IF(D36="","",VLOOKUP(D36,DB!A:B,2,0))</f>
        <v/>
      </c>
      <c r="F36" s="23"/>
      <c r="G36" s="23"/>
      <c r="H36" s="35"/>
      <c r="I36" s="38"/>
    </row>
    <row r="37" ht="12.75" customHeight="1">
      <c r="A37" s="14"/>
      <c r="B37" s="15"/>
      <c r="C37" s="15" t="s">
        <v>323</v>
      </c>
      <c r="D37" s="16" t="s">
        <v>87</v>
      </c>
      <c r="E37" s="16" t="str">
        <f>IF(D37="","",VLOOKUP(D37,DB!A:B,2,0))</f>
        <v/>
      </c>
      <c r="F37" s="16"/>
      <c r="G37" s="16"/>
      <c r="H37" s="15"/>
      <c r="I37" s="38"/>
    </row>
    <row r="38" ht="12.75" customHeight="1">
      <c r="A38" s="36"/>
      <c r="B38" s="35"/>
      <c r="C38" s="35" t="s">
        <v>339</v>
      </c>
      <c r="D38" s="23" t="s">
        <v>87</v>
      </c>
      <c r="E38" s="23" t="str">
        <f>IF(D38="","",VLOOKUP(D38,DB!A:B,2,0))</f>
        <v/>
      </c>
      <c r="F38" s="23"/>
      <c r="G38" s="23"/>
      <c r="H38" s="35"/>
      <c r="I38" s="38"/>
    </row>
    <row r="39" ht="12.75" customHeight="1">
      <c r="A39" s="14"/>
      <c r="B39" s="15"/>
      <c r="C39" s="15" t="s">
        <v>340</v>
      </c>
      <c r="D39" s="16" t="s">
        <v>87</v>
      </c>
      <c r="E39" s="16" t="str">
        <f>IF(D39="","",VLOOKUP(D39,DB!A:B,2,0))</f>
        <v/>
      </c>
      <c r="F39" s="16"/>
      <c r="G39" s="16"/>
      <c r="H39" s="15"/>
      <c r="I39" s="38"/>
    </row>
    <row r="40" ht="12.75" customHeight="1">
      <c r="A40" s="36"/>
      <c r="B40" s="35"/>
      <c r="C40" s="35" t="s">
        <v>341</v>
      </c>
      <c r="D40" s="23" t="s">
        <v>87</v>
      </c>
      <c r="E40" s="23" t="str">
        <f>IF(D40="","",VLOOKUP(D40,DB!A:B,2,0))</f>
        <v/>
      </c>
      <c r="F40" s="23"/>
      <c r="G40" s="23"/>
      <c r="H40" s="35"/>
      <c r="I40" s="38"/>
    </row>
    <row r="41" ht="12.75" customHeight="1">
      <c r="A41" s="14"/>
      <c r="B41" s="15"/>
      <c r="C41" s="15" t="s">
        <v>342</v>
      </c>
      <c r="D41" s="16" t="s">
        <v>87</v>
      </c>
      <c r="E41" s="16" t="str">
        <f>IF(D41="","",VLOOKUP(D41,DB!A:B,2,0))</f>
        <v/>
      </c>
      <c r="F41" s="16"/>
      <c r="G41" s="16"/>
      <c r="H41" s="15"/>
      <c r="I41" s="38"/>
    </row>
    <row r="42" ht="12.75" customHeight="1">
      <c r="A42" s="36"/>
      <c r="B42" s="35"/>
      <c r="C42" s="35" t="s">
        <v>343</v>
      </c>
      <c r="D42" s="23" t="s">
        <v>87</v>
      </c>
      <c r="E42" s="23" t="str">
        <f>IF(D42="","",VLOOKUP(D42,DB!A:B,2,0))</f>
        <v/>
      </c>
      <c r="F42" s="23"/>
      <c r="G42" s="23"/>
      <c r="H42" s="35"/>
      <c r="I42" s="38"/>
    </row>
    <row r="43" ht="12.75" customHeight="1">
      <c r="A43" s="14"/>
      <c r="B43" s="15"/>
      <c r="C43" s="15" t="s">
        <v>344</v>
      </c>
      <c r="D43" s="16" t="s">
        <v>87</v>
      </c>
      <c r="E43" s="16" t="str">
        <f>IF(D43="","",VLOOKUP(D43,DB!A:B,2,0))</f>
        <v/>
      </c>
      <c r="F43" s="16"/>
      <c r="G43" s="16"/>
      <c r="H43" s="15"/>
      <c r="I43" s="38"/>
    </row>
    <row r="44" ht="12.75" customHeight="1">
      <c r="A44" s="36"/>
      <c r="B44" s="35"/>
      <c r="C44" s="35" t="s">
        <v>345</v>
      </c>
      <c r="D44" s="23" t="s">
        <v>87</v>
      </c>
      <c r="E44" s="23" t="str">
        <f>IF(D44="","",VLOOKUP(D44,DB!A:B,2,0))</f>
        <v/>
      </c>
      <c r="F44" s="23"/>
      <c r="G44" s="23"/>
      <c r="H44" s="35"/>
      <c r="I44" s="38"/>
    </row>
    <row r="45" ht="12.75" customHeight="1">
      <c r="A45" s="14"/>
      <c r="B45" s="15"/>
      <c r="C45" s="15" t="s">
        <v>346</v>
      </c>
      <c r="D45" s="16" t="s">
        <v>87</v>
      </c>
      <c r="E45" s="16" t="str">
        <f>IF(D45="","",VLOOKUP(D45,DB!A:B,2,0))</f>
        <v/>
      </c>
      <c r="F45" s="16"/>
      <c r="G45" s="16"/>
      <c r="H45" s="15"/>
      <c r="I45" s="38"/>
    </row>
    <row r="46" ht="12.75" customHeight="1">
      <c r="A46" s="39"/>
      <c r="B46" s="39"/>
      <c r="C46" s="35"/>
      <c r="D46" s="23"/>
      <c r="E46" s="23" t="str">
        <f>IF(D46="","",VLOOKUP(D46,DB!A:B,2,0))</f>
        <v/>
      </c>
      <c r="F46" s="23"/>
      <c r="G46" s="23"/>
      <c r="H46" s="35"/>
      <c r="I46" s="38"/>
    </row>
    <row r="47" ht="12.75" customHeight="1">
      <c r="A47" s="14">
        <v>5.0</v>
      </c>
      <c r="B47" s="15" t="s">
        <v>338</v>
      </c>
      <c r="C47" s="15" t="s">
        <v>275</v>
      </c>
      <c r="D47" s="16" t="s">
        <v>38</v>
      </c>
      <c r="E47" s="16" t="str">
        <f>IF(D47="","",VLOOKUP(D47,DB!A:B,2,0))</f>
        <v/>
      </c>
      <c r="F47" s="16"/>
      <c r="G47" s="16"/>
      <c r="H47" s="15"/>
      <c r="I47" s="38"/>
    </row>
    <row r="48" ht="12.75" customHeight="1">
      <c r="A48" s="36"/>
      <c r="B48" s="35"/>
      <c r="C48" s="35" t="s">
        <v>323</v>
      </c>
      <c r="D48" s="23" t="s">
        <v>38</v>
      </c>
      <c r="E48" s="23" t="str">
        <f>IF(D48="","",VLOOKUP(D48,DB!A:B,2,0))</f>
        <v/>
      </c>
      <c r="F48" s="23"/>
      <c r="G48" s="23"/>
      <c r="H48" s="35"/>
      <c r="I48" s="38"/>
    </row>
    <row r="49" ht="12.75" customHeight="1">
      <c r="A49" s="14"/>
      <c r="B49" s="15"/>
      <c r="C49" s="15" t="s">
        <v>339</v>
      </c>
      <c r="D49" s="16" t="s">
        <v>87</v>
      </c>
      <c r="E49" s="16" t="str">
        <f>IF(D49="","",VLOOKUP(D49,DB!A:B,2,0))</f>
        <v/>
      </c>
      <c r="F49" s="16"/>
      <c r="G49" s="16"/>
      <c r="H49" s="15"/>
      <c r="I49" s="38"/>
    </row>
    <row r="50" ht="12.75" customHeight="1">
      <c r="A50" s="36"/>
      <c r="B50" s="35"/>
      <c r="C50" s="35" t="s">
        <v>340</v>
      </c>
      <c r="D50" s="23" t="s">
        <v>38</v>
      </c>
      <c r="E50" s="23" t="str">
        <f>IF(D50="","",VLOOKUP(D50,DB!A:B,2,0))</f>
        <v/>
      </c>
      <c r="F50" s="23"/>
      <c r="G50" s="23"/>
      <c r="H50" s="35"/>
      <c r="I50" s="38"/>
    </row>
    <row r="51" ht="12.75" customHeight="1">
      <c r="A51" s="14"/>
      <c r="B51" s="15"/>
      <c r="C51" s="15" t="s">
        <v>341</v>
      </c>
      <c r="D51" s="16" t="s">
        <v>87</v>
      </c>
      <c r="E51" s="16" t="str">
        <f>IF(D51="","",VLOOKUP(D51,DB!A:B,2,0))</f>
        <v/>
      </c>
      <c r="F51" s="16"/>
      <c r="G51" s="16"/>
      <c r="H51" s="15"/>
      <c r="I51" s="38"/>
    </row>
    <row r="52" ht="12.75" customHeight="1">
      <c r="A52" s="36"/>
      <c r="B52" s="35"/>
      <c r="C52" s="35" t="s">
        <v>342</v>
      </c>
      <c r="D52" s="23" t="s">
        <v>87</v>
      </c>
      <c r="E52" s="23" t="str">
        <f>IF(D52="","",VLOOKUP(D52,DB!A:B,2,0))</f>
        <v/>
      </c>
      <c r="F52" s="23"/>
      <c r="G52" s="23"/>
      <c r="H52" s="35"/>
      <c r="I52" s="38"/>
    </row>
    <row r="53" ht="12.75" customHeight="1">
      <c r="A53" s="14"/>
      <c r="B53" s="15"/>
      <c r="C53" s="15" t="s">
        <v>343</v>
      </c>
      <c r="D53" s="16" t="s">
        <v>87</v>
      </c>
      <c r="E53" s="16" t="str">
        <f>IF(D53="","",VLOOKUP(D53,DB!A:B,2,0))</f>
        <v/>
      </c>
      <c r="F53" s="16"/>
      <c r="G53" s="16"/>
      <c r="H53" s="15"/>
      <c r="I53" s="38"/>
    </row>
    <row r="54" ht="12.75" customHeight="1">
      <c r="A54" s="36"/>
      <c r="B54" s="35"/>
      <c r="C54" s="35" t="s">
        <v>344</v>
      </c>
      <c r="D54" s="23" t="s">
        <v>87</v>
      </c>
      <c r="E54" s="23" t="str">
        <f>IF(D54="","",VLOOKUP(D54,DB!A:B,2,0))</f>
        <v/>
      </c>
      <c r="F54" s="23"/>
      <c r="G54" s="23"/>
      <c r="H54" s="35"/>
      <c r="I54" s="38"/>
    </row>
    <row r="55" ht="12.75" customHeight="1">
      <c r="A55" s="14"/>
      <c r="B55" s="15"/>
      <c r="C55" s="15" t="s">
        <v>345</v>
      </c>
      <c r="D55" s="16" t="s">
        <v>87</v>
      </c>
      <c r="E55" s="16" t="str">
        <f>IF(D55="","",VLOOKUP(D55,DB!A:B,2,0))</f>
        <v/>
      </c>
      <c r="F55" s="16"/>
      <c r="G55" s="16"/>
      <c r="H55" s="15"/>
      <c r="I55" s="38"/>
    </row>
    <row r="56" ht="12.75" customHeight="1">
      <c r="A56" s="36"/>
      <c r="B56" s="35"/>
      <c r="C56" s="35" t="s">
        <v>346</v>
      </c>
      <c r="D56" s="23" t="s">
        <v>87</v>
      </c>
      <c r="E56" s="23" t="str">
        <f>IF(D56="","",VLOOKUP(D56,DB!A:B,2,0))</f>
        <v/>
      </c>
      <c r="F56" s="23"/>
      <c r="G56" s="23"/>
      <c r="H56" s="35"/>
      <c r="I56" s="38"/>
    </row>
    <row r="57" ht="12.75" customHeight="1">
      <c r="A57" s="37"/>
      <c r="B57" s="37"/>
      <c r="C57" s="15"/>
      <c r="D57" s="16"/>
      <c r="E57" s="16" t="str">
        <f>IF(D57="","",VLOOKUP(D57,DB!A:B,2,0))</f>
        <v/>
      </c>
      <c r="F57" s="16"/>
      <c r="G57" s="16"/>
      <c r="H57" s="15"/>
      <c r="I57" s="38"/>
    </row>
    <row r="58" ht="12.75" customHeight="1">
      <c r="A58" s="36">
        <v>6.0</v>
      </c>
      <c r="B58" s="35" t="s">
        <v>326</v>
      </c>
      <c r="C58" s="35" t="s">
        <v>327</v>
      </c>
      <c r="D58" s="23" t="s">
        <v>57</v>
      </c>
      <c r="E58" s="23" t="str">
        <f>IF(D58="","",VLOOKUP(D58,DB!A:B,2,0))</f>
        <v>AJA FS2</v>
      </c>
      <c r="F58" s="23"/>
      <c r="G58" s="23" t="s">
        <v>95</v>
      </c>
      <c r="H58" s="35"/>
      <c r="I58" s="38"/>
    </row>
    <row r="59" ht="12.75" customHeight="1">
      <c r="A59" s="14"/>
      <c r="B59" s="15"/>
      <c r="C59" s="15" t="s">
        <v>347</v>
      </c>
      <c r="D59" s="16" t="s">
        <v>87</v>
      </c>
      <c r="E59" s="16" t="str">
        <f>IF(D59="","",VLOOKUP(D59,DB!A:B,2,0))</f>
        <v/>
      </c>
      <c r="F59" s="16"/>
      <c r="G59" s="16"/>
      <c r="H59" s="15"/>
      <c r="I59" s="38"/>
    </row>
    <row r="60" ht="12.75" customHeight="1">
      <c r="A60" s="36"/>
      <c r="B60" s="35"/>
      <c r="C60" s="35" t="s">
        <v>255</v>
      </c>
      <c r="D60" s="23" t="s">
        <v>24</v>
      </c>
      <c r="E60" s="23" t="str">
        <f>IF(D60="","",VLOOKUP(D60,DB!A:B,2,0))</f>
        <v>AJA KUMO 6464</v>
      </c>
      <c r="F60" s="23"/>
      <c r="G60" s="23" t="s">
        <v>348</v>
      </c>
      <c r="H60" s="35" t="s">
        <v>254</v>
      </c>
      <c r="I60" s="38"/>
    </row>
    <row r="61" ht="12.75" customHeight="1">
      <c r="A61" s="14"/>
      <c r="B61" s="15"/>
      <c r="C61" s="15" t="s">
        <v>349</v>
      </c>
      <c r="D61" s="16" t="s">
        <v>87</v>
      </c>
      <c r="E61" s="16" t="str">
        <f>IF(D61="","",VLOOKUP(D61,DB!A:B,2,0))</f>
        <v/>
      </c>
      <c r="F61" s="16"/>
      <c r="G61" s="16"/>
      <c r="H61" s="15"/>
      <c r="I61" s="38"/>
    </row>
    <row r="62" ht="12.75" customHeight="1">
      <c r="A62" s="36"/>
      <c r="B62" s="35"/>
      <c r="C62" s="35" t="s">
        <v>332</v>
      </c>
      <c r="D62" s="23" t="s">
        <v>38</v>
      </c>
      <c r="E62" s="23" t="str">
        <f>IF(D62="","",VLOOKUP(D62,DB!A:B,2,0))</f>
        <v/>
      </c>
      <c r="F62" s="23"/>
      <c r="G62" s="23"/>
      <c r="H62" s="35"/>
      <c r="I62" s="38"/>
    </row>
    <row r="63" ht="12.75" customHeight="1">
      <c r="A63" s="14"/>
      <c r="B63" s="15"/>
      <c r="C63" s="15" t="s">
        <v>350</v>
      </c>
      <c r="D63" s="16" t="s">
        <v>87</v>
      </c>
      <c r="E63" s="16" t="str">
        <f>IF(D63="","",VLOOKUP(D63,DB!A:B,2,0))</f>
        <v/>
      </c>
      <c r="F63" s="16"/>
      <c r="G63" s="16"/>
      <c r="H63" s="15"/>
      <c r="I63" s="38"/>
    </row>
    <row r="64" ht="12.75" customHeight="1">
      <c r="A64" s="36"/>
      <c r="B64" s="35"/>
      <c r="C64" s="35" t="s">
        <v>334</v>
      </c>
      <c r="D64" s="23" t="s">
        <v>87</v>
      </c>
      <c r="E64" s="23" t="str">
        <f>IF(D64="","",VLOOKUP(D64,DB!A:B,2,0))</f>
        <v/>
      </c>
      <c r="F64" s="23"/>
      <c r="G64" s="23"/>
      <c r="H64" s="35"/>
      <c r="I64" s="38"/>
    </row>
    <row r="65" ht="12.75" customHeight="1">
      <c r="A65" s="14"/>
      <c r="B65" s="15"/>
      <c r="C65" s="15" t="s">
        <v>335</v>
      </c>
      <c r="D65" s="16" t="s">
        <v>87</v>
      </c>
      <c r="E65" s="16" t="str">
        <f>IF(D65="","",VLOOKUP(D65,DB!A:B,2,0))</f>
        <v/>
      </c>
      <c r="F65" s="16"/>
      <c r="G65" s="16"/>
      <c r="H65" s="15"/>
      <c r="I65" s="38"/>
    </row>
    <row r="66" ht="12.75" customHeight="1">
      <c r="A66" s="36"/>
      <c r="B66" s="35"/>
      <c r="C66" s="35" t="s">
        <v>336</v>
      </c>
      <c r="D66" s="23" t="s">
        <v>87</v>
      </c>
      <c r="E66" s="23" t="str">
        <f>IF(D66="","",VLOOKUP(D66,DB!A:B,2,0))</f>
        <v/>
      </c>
      <c r="F66" s="23"/>
      <c r="G66" s="23"/>
      <c r="H66" s="35"/>
      <c r="I66" s="38"/>
    </row>
    <row r="67" ht="12.75" customHeight="1">
      <c r="A67" s="14"/>
      <c r="B67" s="15"/>
      <c r="C67" s="15" t="s">
        <v>337</v>
      </c>
      <c r="D67" s="16" t="s">
        <v>87</v>
      </c>
      <c r="E67" s="16" t="str">
        <f>IF(D67="","",VLOOKUP(D67,DB!A:B,2,0))</f>
        <v/>
      </c>
      <c r="F67" s="16"/>
      <c r="G67" s="16"/>
      <c r="H67" s="15"/>
      <c r="I67" s="38"/>
    </row>
    <row r="68" ht="12.75" customHeight="1">
      <c r="A68" s="36"/>
      <c r="B68" s="35"/>
      <c r="C68" s="35"/>
      <c r="D68" s="23"/>
      <c r="E68" s="23"/>
      <c r="F68" s="23"/>
      <c r="G68" s="23"/>
      <c r="H68" s="35"/>
      <c r="I68" s="38"/>
    </row>
  </sheetData>
  <mergeCells count="2">
    <mergeCell ref="A1:C1"/>
    <mergeCell ref="D1:H1"/>
  </mergeCells>
  <dataValidations>
    <dataValidation type="list" allowBlank="1" showErrorMessage="1" sqref="D3:D67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38"/>
    <col customWidth="1" min="2" max="2" width="11.25"/>
    <col customWidth="1" min="3" max="3" width="20.38"/>
    <col customWidth="1" min="4" max="5" width="8.25"/>
    <col customWidth="1" min="6" max="6" width="27.88"/>
    <col customWidth="1" min="7" max="7" width="13.88"/>
    <col customWidth="1" min="8" max="8" width="7.5"/>
    <col customWidth="1" min="9" max="9" width="8.5"/>
    <col customWidth="1" min="10" max="10" width="27.88"/>
    <col customWidth="1" min="11" max="11" width="7.88"/>
    <col customWidth="1" min="12" max="12" width="30.75"/>
    <col customWidth="1" min="13" max="13" width="3.13"/>
  </cols>
  <sheetData>
    <row r="1" ht="12.75" customHeight="1">
      <c r="A1" s="31" t="s">
        <v>89</v>
      </c>
      <c r="B1" s="4" t="s">
        <v>88</v>
      </c>
      <c r="C1" s="5"/>
      <c r="D1" s="5"/>
      <c r="E1" s="5"/>
      <c r="F1" s="6"/>
      <c r="G1" s="7"/>
      <c r="H1" s="31" t="s">
        <v>88</v>
      </c>
      <c r="I1" s="4" t="s">
        <v>89</v>
      </c>
      <c r="J1" s="5"/>
      <c r="K1" s="5"/>
      <c r="L1" s="6"/>
      <c r="M1" s="22"/>
    </row>
    <row r="2" ht="12.75" customHeight="1">
      <c r="A2" s="8" t="s">
        <v>112</v>
      </c>
      <c r="B2" s="8" t="s">
        <v>0</v>
      </c>
      <c r="C2" s="8" t="s">
        <v>1</v>
      </c>
      <c r="D2" s="8" t="s">
        <v>90</v>
      </c>
      <c r="E2" s="8" t="s">
        <v>91</v>
      </c>
      <c r="F2" s="8" t="s">
        <v>92</v>
      </c>
      <c r="G2" s="9"/>
      <c r="H2" s="8" t="s">
        <v>114</v>
      </c>
      <c r="I2" s="8" t="s">
        <v>0</v>
      </c>
      <c r="J2" s="8" t="s">
        <v>1</v>
      </c>
      <c r="K2" s="8" t="s">
        <v>91</v>
      </c>
      <c r="L2" s="8" t="s">
        <v>92</v>
      </c>
      <c r="M2" s="22"/>
    </row>
    <row r="3" ht="12.75" customHeight="1">
      <c r="A3" s="11">
        <v>1.0</v>
      </c>
      <c r="B3" s="12" t="s">
        <v>71</v>
      </c>
      <c r="C3" s="12" t="str">
        <f>IF(B3="","",VLOOKUP(B3,DB!A:B,2,0))</f>
        <v>Sony HXCU-100</v>
      </c>
      <c r="D3" s="12"/>
      <c r="E3" s="12" t="s">
        <v>93</v>
      </c>
      <c r="F3" s="11" t="s">
        <v>225</v>
      </c>
      <c r="G3" s="13"/>
      <c r="H3" s="11" t="s">
        <v>351</v>
      </c>
      <c r="I3" s="40" t="s">
        <v>38</v>
      </c>
      <c r="J3" s="35" t="str">
        <f>IF(I3="","",VLOOKUP(I3,DB!A:B,2,0))</f>
        <v/>
      </c>
      <c r="K3" s="11"/>
      <c r="L3" s="11"/>
    </row>
    <row r="4" ht="12.75" customHeight="1">
      <c r="A4" s="15">
        <v>2.0</v>
      </c>
      <c r="B4" s="16" t="s">
        <v>73</v>
      </c>
      <c r="C4" s="16" t="str">
        <f>IF(B4="","",VLOOKUP(B4,DB!A:B,2,0))</f>
        <v>Sony HXCU-100</v>
      </c>
      <c r="D4" s="16"/>
      <c r="E4" s="16" t="s">
        <v>93</v>
      </c>
      <c r="F4" s="15" t="s">
        <v>227</v>
      </c>
      <c r="G4" s="13"/>
      <c r="H4" s="15" t="s">
        <v>352</v>
      </c>
      <c r="I4" s="15"/>
      <c r="J4" s="15" t="str">
        <f>IF(I4="","",VLOOKUP(I4,DB!A:B,2,0))</f>
        <v/>
      </c>
      <c r="K4" s="15"/>
      <c r="L4" s="15"/>
    </row>
    <row r="5" ht="12.75" customHeight="1">
      <c r="A5" s="11">
        <v>3.0</v>
      </c>
      <c r="B5" s="12" t="s">
        <v>74</v>
      </c>
      <c r="C5" s="12" t="str">
        <f>IF(B5="","",VLOOKUP(B5,DB!A:B,2,0))</f>
        <v>Sony HXCU-100</v>
      </c>
      <c r="D5" s="12"/>
      <c r="E5" s="12" t="s">
        <v>93</v>
      </c>
      <c r="F5" s="11" t="s">
        <v>229</v>
      </c>
      <c r="G5" s="13"/>
      <c r="H5" s="11" t="s">
        <v>353</v>
      </c>
      <c r="I5" s="11" t="s">
        <v>85</v>
      </c>
      <c r="J5" s="35" t="str">
        <f>IF(I5="","",VLOOKUP(I5,DB!A:B,2,0))</f>
        <v/>
      </c>
      <c r="K5" s="11"/>
      <c r="L5" s="11" t="s">
        <v>354</v>
      </c>
    </row>
    <row r="6" ht="12.75" customHeight="1">
      <c r="A6" s="15">
        <v>4.0</v>
      </c>
      <c r="B6" s="16" t="s">
        <v>75</v>
      </c>
      <c r="C6" s="16" t="str">
        <f>IF(B6="","",VLOOKUP(B6,DB!A:B,2,0))</f>
        <v>Sony HXCU-100</v>
      </c>
      <c r="D6" s="16"/>
      <c r="E6" s="16" t="s">
        <v>93</v>
      </c>
      <c r="F6" s="15" t="s">
        <v>231</v>
      </c>
      <c r="G6" s="13"/>
      <c r="H6" s="15" t="s">
        <v>355</v>
      </c>
      <c r="I6" s="15"/>
      <c r="J6" s="15" t="str">
        <f>IF(I6="","",VLOOKUP(I6,DB!A:B,2,0))</f>
        <v/>
      </c>
      <c r="K6" s="15"/>
      <c r="L6" s="15"/>
    </row>
    <row r="7" ht="12.75" customHeight="1">
      <c r="A7" s="11">
        <v>5.0</v>
      </c>
      <c r="B7" s="12" t="s">
        <v>4</v>
      </c>
      <c r="C7" s="12" t="str">
        <f>IF(B7="","",VLOOKUP(B7,DB!A:B,2,0))</f>
        <v>Player A</v>
      </c>
      <c r="D7" s="12"/>
      <c r="E7" s="12" t="s">
        <v>95</v>
      </c>
      <c r="F7" s="11" t="s">
        <v>356</v>
      </c>
      <c r="G7" s="13"/>
      <c r="H7" s="11" t="s">
        <v>357</v>
      </c>
      <c r="I7" s="11"/>
      <c r="J7" s="35" t="str">
        <f>IF(I7="","",VLOOKUP(I7,DB!A:B,2,0))</f>
        <v/>
      </c>
      <c r="K7" s="11"/>
      <c r="L7" s="11"/>
    </row>
    <row r="8" ht="12.75" customHeight="1">
      <c r="A8" s="15">
        <v>6.0</v>
      </c>
      <c r="B8" s="16" t="s">
        <v>6</v>
      </c>
      <c r="C8" s="16" t="str">
        <f>IF(B8="","",VLOOKUP(B8,DB!A:B,2,0))</f>
        <v>Player B</v>
      </c>
      <c r="D8" s="16"/>
      <c r="E8" s="16" t="s">
        <v>95</v>
      </c>
      <c r="F8" s="15" t="s">
        <v>358</v>
      </c>
      <c r="G8" s="13"/>
      <c r="H8" s="15" t="s">
        <v>126</v>
      </c>
      <c r="I8" s="15" t="s">
        <v>24</v>
      </c>
      <c r="J8" s="15" t="str">
        <f>IF(I8="","",VLOOKUP(I8,DB!A:B,2,0))</f>
        <v>AJA KUMO 6464</v>
      </c>
      <c r="K8" s="15" t="s">
        <v>98</v>
      </c>
      <c r="L8" s="15" t="s">
        <v>125</v>
      </c>
    </row>
    <row r="9" ht="12.75" customHeight="1">
      <c r="A9" s="11">
        <v>7.0</v>
      </c>
      <c r="B9" s="12" t="s">
        <v>46</v>
      </c>
      <c r="C9" s="12" t="str">
        <f>IF(B9="","",VLOOKUP(B9,DB!A:B,2,0))</f>
        <v>openGear X</v>
      </c>
      <c r="D9" s="12" t="s">
        <v>152</v>
      </c>
      <c r="E9" s="12" t="s">
        <v>323</v>
      </c>
      <c r="F9" s="11" t="s">
        <v>149</v>
      </c>
      <c r="G9" s="13"/>
      <c r="H9" s="41"/>
      <c r="I9" s="41"/>
      <c r="J9" s="35" t="str">
        <f>IF(I9="","",VLOOKUP(I9,DB!A:B,2,0))</f>
        <v/>
      </c>
      <c r="K9" s="41"/>
      <c r="L9" s="41"/>
    </row>
    <row r="10" ht="12.75" customHeight="1">
      <c r="A10" s="15">
        <v>8.0</v>
      </c>
      <c r="B10" s="16" t="s">
        <v>46</v>
      </c>
      <c r="C10" s="16" t="str">
        <f>IF(B10="","",VLOOKUP(B10,DB!A:B,2,0))</f>
        <v>openGear X</v>
      </c>
      <c r="D10" s="16" t="s">
        <v>141</v>
      </c>
      <c r="E10" s="16" t="s">
        <v>323</v>
      </c>
      <c r="F10" s="15" t="s">
        <v>153</v>
      </c>
      <c r="G10" s="13"/>
      <c r="H10" s="15" t="s">
        <v>93</v>
      </c>
      <c r="I10" s="15" t="s">
        <v>24</v>
      </c>
      <c r="J10" s="15" t="str">
        <f>IF(I10="","",VLOOKUP(I10,DB!A:B,2,0))</f>
        <v>AJA KUMO 6464</v>
      </c>
      <c r="K10" s="15" t="s">
        <v>96</v>
      </c>
      <c r="L10" s="15" t="s">
        <v>123</v>
      </c>
    </row>
    <row r="11" ht="12.75" customHeight="1">
      <c r="A11" s="11">
        <v>9.0</v>
      </c>
      <c r="B11" s="12" t="s">
        <v>46</v>
      </c>
      <c r="C11" s="12" t="str">
        <f>IF(B11="","",VLOOKUP(B11,DB!A:B,2,0))</f>
        <v>openGear X</v>
      </c>
      <c r="D11" s="12" t="s">
        <v>148</v>
      </c>
      <c r="E11" s="12" t="s">
        <v>323</v>
      </c>
      <c r="F11" s="11" t="s">
        <v>156</v>
      </c>
      <c r="G11" s="13"/>
      <c r="H11" s="11" t="s">
        <v>95</v>
      </c>
      <c r="I11" s="25" t="s">
        <v>80</v>
      </c>
      <c r="J11" s="35" t="str">
        <f>IF(I11="","",VLOOKUP(I11,DB!A:B,2,0))</f>
        <v>AJA HD5DA</v>
      </c>
      <c r="K11" s="11" t="s">
        <v>359</v>
      </c>
      <c r="L11" s="25" t="s">
        <v>360</v>
      </c>
    </row>
    <row r="12" ht="12.75" customHeight="1">
      <c r="A12" s="32">
        <v>10.0</v>
      </c>
      <c r="B12" s="33" t="s">
        <v>46</v>
      </c>
      <c r="C12" s="16" t="str">
        <f>IF(B12="","",VLOOKUP(B12,DB!A:B,2,0))</f>
        <v>openGear X</v>
      </c>
      <c r="D12" s="33" t="s">
        <v>361</v>
      </c>
      <c r="E12" s="33" t="s">
        <v>323</v>
      </c>
      <c r="F12" s="32" t="s">
        <v>160</v>
      </c>
      <c r="G12" s="13"/>
      <c r="H12" s="42"/>
      <c r="I12" s="42"/>
      <c r="J12" s="42"/>
      <c r="K12" s="42"/>
      <c r="L12" s="42"/>
    </row>
    <row r="13" ht="12.75" customHeight="1">
      <c r="A13" s="11">
        <v>11.0</v>
      </c>
      <c r="B13" s="23" t="s">
        <v>24</v>
      </c>
      <c r="C13" s="12" t="str">
        <f>IF(B13="","",VLOOKUP(B13,DB!A:B,2,0))</f>
        <v>AJA KUMO 6464</v>
      </c>
      <c r="D13" s="12"/>
      <c r="E13" s="12" t="s">
        <v>362</v>
      </c>
      <c r="F13" s="11" t="s">
        <v>181</v>
      </c>
      <c r="G13" s="13"/>
      <c r="H13" s="42"/>
      <c r="I13" s="42"/>
      <c r="J13" s="42"/>
      <c r="K13" s="42"/>
      <c r="L13" s="42"/>
    </row>
    <row r="14" ht="12.75" customHeight="1">
      <c r="A14" s="15">
        <v>12.0</v>
      </c>
      <c r="B14" s="16" t="s">
        <v>24</v>
      </c>
      <c r="C14" s="16" t="str">
        <f>IF(B14="","",VLOOKUP(B14,DB!A:B,2,0))</f>
        <v>AJA KUMO 6464</v>
      </c>
      <c r="D14" s="16"/>
      <c r="E14" s="16" t="s">
        <v>363</v>
      </c>
      <c r="F14" s="15" t="s">
        <v>185</v>
      </c>
      <c r="G14" s="13"/>
      <c r="H14" s="42"/>
      <c r="I14" s="42"/>
      <c r="J14" s="42"/>
      <c r="K14" s="42"/>
      <c r="L14" s="42"/>
    </row>
    <row r="15" ht="12.75" customHeight="1">
      <c r="A15" s="11">
        <v>13.0</v>
      </c>
      <c r="B15" s="12" t="s">
        <v>24</v>
      </c>
      <c r="C15" s="12" t="str">
        <f>IF(B15="","",VLOOKUP(B15,DB!A:B,2,0))</f>
        <v>AJA KUMO 6464</v>
      </c>
      <c r="D15" s="12"/>
      <c r="E15" s="12" t="s">
        <v>364</v>
      </c>
      <c r="F15" s="11" t="s">
        <v>188</v>
      </c>
      <c r="G15" s="42"/>
      <c r="H15" s="42"/>
      <c r="I15" s="42"/>
      <c r="J15" s="42"/>
      <c r="K15" s="42"/>
      <c r="L15" s="42"/>
    </row>
    <row r="16" ht="12.75" customHeight="1">
      <c r="A16" s="15">
        <v>14.0</v>
      </c>
      <c r="B16" s="16" t="s">
        <v>24</v>
      </c>
      <c r="C16" s="16" t="str">
        <f>IF(B16="","",VLOOKUP(B16,DB!A:B,2,0))</f>
        <v>AJA KUMO 6464</v>
      </c>
      <c r="D16" s="16"/>
      <c r="E16" s="16" t="s">
        <v>365</v>
      </c>
      <c r="F16" s="15" t="s">
        <v>190</v>
      </c>
      <c r="G16" s="13"/>
      <c r="H16" s="42"/>
      <c r="I16" s="42"/>
      <c r="J16" s="42"/>
      <c r="K16" s="42"/>
      <c r="L16" s="42"/>
    </row>
    <row r="17" ht="12.75" customHeight="1">
      <c r="A17" s="11">
        <v>15.0</v>
      </c>
      <c r="B17" s="34" t="s">
        <v>38</v>
      </c>
      <c r="C17" s="12" t="str">
        <f>IF(B17="","",VLOOKUP(B17,DB!A:B,2,0))</f>
        <v/>
      </c>
      <c r="D17" s="12"/>
      <c r="E17" s="12"/>
      <c r="F17" s="11"/>
      <c r="G17" s="13"/>
      <c r="H17" s="42"/>
      <c r="I17" s="42"/>
      <c r="J17" s="42"/>
      <c r="K17" s="42"/>
      <c r="L17" s="42"/>
    </row>
    <row r="18" ht="12.75" customHeight="1">
      <c r="A18" s="15">
        <v>16.0</v>
      </c>
      <c r="B18" s="26" t="s">
        <v>86</v>
      </c>
      <c r="C18" s="16" t="str">
        <f>IF(B18="","",VLOOKUP(B18,DB!A:B,2,0))</f>
        <v/>
      </c>
      <c r="D18" s="16"/>
      <c r="E18" s="16"/>
      <c r="F18" s="15"/>
      <c r="G18" s="13"/>
      <c r="H18" s="42"/>
      <c r="I18" s="42"/>
      <c r="J18" s="42"/>
      <c r="K18" s="42"/>
      <c r="L18" s="42"/>
    </row>
    <row r="19" ht="12.75" customHeight="1">
      <c r="G19" s="19"/>
    </row>
  </sheetData>
  <mergeCells count="2">
    <mergeCell ref="B1:F1"/>
    <mergeCell ref="I1:L1"/>
  </mergeCells>
  <dataValidations>
    <dataValidation type="list" allowBlank="1" showErrorMessage="1" sqref="I3:I11 B3:B18">
      <formula1>DB!$A$2:$A$81</formula1>
    </dataValidation>
  </dataValidations>
  <printOptions/>
  <pageMargins bottom="1.05277777777778" footer="0.0" header="0.0" left="0.7875" right="0.7875" top="1.05277777777778"/>
  <pageSetup paperSize="9" orientation="portrait"/>
  <headerFooter>
    <oddHeader>&amp;C&amp;A</oddHeader>
    <oddFooter>&amp;CPágina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2026-03-12T16:41:03Z</dcterms:created>
</cp:coreProperties>
</file>